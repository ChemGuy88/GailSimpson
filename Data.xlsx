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rman/Documents/Consulting/Gail Simpson/"/>
    </mc:Choice>
  </mc:AlternateContent>
  <xr:revisionPtr revIDLastSave="0" documentId="13_ncr:1_{BD274EED-FED1-9541-A6DF-EA297E9D73CB}" xr6:coauthVersionLast="36" xr6:coauthVersionMax="36" xr10:uidLastSave="{00000000-0000-0000-0000-000000000000}"/>
  <bookViews>
    <workbookView xWindow="0" yWindow="440" windowWidth="38400" windowHeight="20060" xr2:uid="{A9E06408-3EBC-224B-BA0B-07A232DADE1E}"/>
  </bookViews>
  <sheets>
    <sheet name="Data Input" sheetId="4" r:id="rId1"/>
    <sheet name="Sheet1" sheetId="5" state="hidden" r:id="rId2"/>
    <sheet name="Data Export" sheetId="3" r:id="rId3"/>
    <sheet name="Legend" sheetId="2" r:id="rId4"/>
  </sheets>
  <definedNames>
    <definedName name="_xlnm._FilterDatabase" localSheetId="0" hidden="1">'Data Input'!$A$1:$Q$665</definedName>
  </definedNames>
  <calcPr calcId="1790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R1177" i="3" l="1"/>
  <c r="Q1177" i="3"/>
  <c r="P1177" i="3"/>
  <c r="O1177" i="3"/>
  <c r="N1177" i="3"/>
  <c r="M1177" i="3"/>
  <c r="L1177" i="3"/>
  <c r="K1177" i="3"/>
  <c r="J1177" i="3"/>
  <c r="I1177" i="3"/>
  <c r="H1177" i="3"/>
  <c r="G1177" i="3"/>
  <c r="E1177" i="3"/>
  <c r="C1177" i="3"/>
  <c r="B1177" i="3"/>
  <c r="A1177" i="3"/>
  <c r="R1176" i="3"/>
  <c r="Q1176" i="3"/>
  <c r="P1176" i="3"/>
  <c r="O1176" i="3"/>
  <c r="N1176" i="3"/>
  <c r="M1176" i="3"/>
  <c r="L1176" i="3"/>
  <c r="K1176" i="3"/>
  <c r="J1176" i="3"/>
  <c r="I1176" i="3"/>
  <c r="H1176" i="3"/>
  <c r="G1176" i="3"/>
  <c r="E1176" i="3"/>
  <c r="C1176" i="3"/>
  <c r="T1176" i="3" s="1"/>
  <c r="B1176" i="3"/>
  <c r="A1176" i="3"/>
  <c r="R1175" i="3"/>
  <c r="Q1175" i="3"/>
  <c r="P1175" i="3"/>
  <c r="O1175" i="3"/>
  <c r="N1175" i="3"/>
  <c r="M1175" i="3"/>
  <c r="L1175" i="3"/>
  <c r="K1175" i="3"/>
  <c r="J1175" i="3"/>
  <c r="I1175" i="3"/>
  <c r="H1175" i="3"/>
  <c r="G1175" i="3"/>
  <c r="E1175" i="3"/>
  <c r="C1175" i="3"/>
  <c r="T1175" i="3" s="1"/>
  <c r="B1175" i="3"/>
  <c r="A1175" i="3"/>
  <c r="R1174" i="3"/>
  <c r="Q1174" i="3"/>
  <c r="P1174" i="3"/>
  <c r="O1174" i="3"/>
  <c r="N1174" i="3"/>
  <c r="M1174" i="3"/>
  <c r="L1174" i="3"/>
  <c r="K1174" i="3"/>
  <c r="J1174" i="3"/>
  <c r="I1174" i="3"/>
  <c r="H1174" i="3"/>
  <c r="G1174" i="3"/>
  <c r="E1174" i="3"/>
  <c r="C1174" i="3"/>
  <c r="B1174" i="3"/>
  <c r="A1174" i="3"/>
  <c r="R1173" i="3"/>
  <c r="Q1173" i="3"/>
  <c r="P1173" i="3"/>
  <c r="O1173" i="3"/>
  <c r="N1173" i="3"/>
  <c r="M1173" i="3"/>
  <c r="L1173" i="3"/>
  <c r="K1173" i="3"/>
  <c r="J1173" i="3"/>
  <c r="I1173" i="3"/>
  <c r="H1173" i="3"/>
  <c r="G1173" i="3"/>
  <c r="E1173" i="3"/>
  <c r="C1173" i="3"/>
  <c r="B1173" i="3"/>
  <c r="A1173" i="3"/>
  <c r="R1172" i="3"/>
  <c r="Q1172" i="3"/>
  <c r="P1172" i="3"/>
  <c r="O1172" i="3"/>
  <c r="N1172" i="3"/>
  <c r="M1172" i="3"/>
  <c r="L1172" i="3"/>
  <c r="K1172" i="3"/>
  <c r="J1172" i="3"/>
  <c r="I1172" i="3"/>
  <c r="H1172" i="3"/>
  <c r="G1172" i="3"/>
  <c r="E1172" i="3"/>
  <c r="C1172" i="3"/>
  <c r="B1172" i="3"/>
  <c r="A1172" i="3"/>
  <c r="R1171" i="3"/>
  <c r="Q1171" i="3"/>
  <c r="P1171" i="3"/>
  <c r="O1171" i="3"/>
  <c r="N1171" i="3"/>
  <c r="M1171" i="3"/>
  <c r="L1171" i="3"/>
  <c r="K1171" i="3"/>
  <c r="J1171" i="3"/>
  <c r="I1171" i="3"/>
  <c r="H1171" i="3"/>
  <c r="G1171" i="3"/>
  <c r="E1171" i="3"/>
  <c r="C1171" i="3"/>
  <c r="B1171" i="3"/>
  <c r="A1171" i="3"/>
  <c r="R1170" i="3"/>
  <c r="Q1170" i="3"/>
  <c r="P1170" i="3"/>
  <c r="O1170" i="3"/>
  <c r="N1170" i="3"/>
  <c r="M1170" i="3"/>
  <c r="L1170" i="3"/>
  <c r="K1170" i="3"/>
  <c r="J1170" i="3"/>
  <c r="I1170" i="3"/>
  <c r="H1170" i="3"/>
  <c r="G1170" i="3"/>
  <c r="E1170" i="3"/>
  <c r="C1170" i="3"/>
  <c r="B1170" i="3"/>
  <c r="A1170" i="3"/>
  <c r="R1169" i="3"/>
  <c r="Q1169" i="3"/>
  <c r="P1169" i="3"/>
  <c r="O1169" i="3"/>
  <c r="N1169" i="3"/>
  <c r="M1169" i="3"/>
  <c r="L1169" i="3"/>
  <c r="K1169" i="3"/>
  <c r="J1169" i="3"/>
  <c r="I1169" i="3"/>
  <c r="H1169" i="3"/>
  <c r="G1169" i="3"/>
  <c r="E1169" i="3"/>
  <c r="C1169" i="3"/>
  <c r="B1169" i="3"/>
  <c r="A1169" i="3"/>
  <c r="R1168" i="3"/>
  <c r="Q1168" i="3"/>
  <c r="P1168" i="3"/>
  <c r="O1168" i="3"/>
  <c r="N1168" i="3"/>
  <c r="M1168" i="3"/>
  <c r="L1168" i="3"/>
  <c r="K1168" i="3"/>
  <c r="J1168" i="3"/>
  <c r="I1168" i="3"/>
  <c r="H1168" i="3"/>
  <c r="G1168" i="3"/>
  <c r="E1168" i="3"/>
  <c r="C1168" i="3"/>
  <c r="T1168" i="3" s="1"/>
  <c r="B1168" i="3"/>
  <c r="A1168" i="3"/>
  <c r="R1167" i="3"/>
  <c r="Q1167" i="3"/>
  <c r="P1167" i="3"/>
  <c r="O1167" i="3"/>
  <c r="N1167" i="3"/>
  <c r="M1167" i="3"/>
  <c r="L1167" i="3"/>
  <c r="K1167" i="3"/>
  <c r="J1167" i="3"/>
  <c r="I1167" i="3"/>
  <c r="H1167" i="3"/>
  <c r="G1167" i="3"/>
  <c r="E1167" i="3"/>
  <c r="C1167" i="3"/>
  <c r="T1167" i="3" s="1"/>
  <c r="B1167" i="3"/>
  <c r="A1167" i="3"/>
  <c r="R1166" i="3"/>
  <c r="Q1166" i="3"/>
  <c r="P1166" i="3"/>
  <c r="O1166" i="3"/>
  <c r="N1166" i="3"/>
  <c r="M1166" i="3"/>
  <c r="L1166" i="3"/>
  <c r="K1166" i="3"/>
  <c r="J1166" i="3"/>
  <c r="I1166" i="3"/>
  <c r="H1166" i="3"/>
  <c r="G1166" i="3"/>
  <c r="E1166" i="3"/>
  <c r="C1166" i="3"/>
  <c r="U1166" i="3" s="1"/>
  <c r="B1166" i="3"/>
  <c r="A1166" i="3"/>
  <c r="R1165" i="3"/>
  <c r="Q1165" i="3"/>
  <c r="P1165" i="3"/>
  <c r="O1165" i="3"/>
  <c r="N1165" i="3"/>
  <c r="M1165" i="3"/>
  <c r="L1165" i="3"/>
  <c r="K1165" i="3"/>
  <c r="J1165" i="3"/>
  <c r="I1165" i="3"/>
  <c r="H1165" i="3"/>
  <c r="G1165" i="3"/>
  <c r="E1165" i="3"/>
  <c r="C1165" i="3"/>
  <c r="B1165" i="3"/>
  <c r="A1165" i="3"/>
  <c r="R1164" i="3"/>
  <c r="Q1164" i="3"/>
  <c r="P1164" i="3"/>
  <c r="O1164" i="3"/>
  <c r="N1164" i="3"/>
  <c r="M1164" i="3"/>
  <c r="L1164" i="3"/>
  <c r="K1164" i="3"/>
  <c r="J1164" i="3"/>
  <c r="I1164" i="3"/>
  <c r="H1164" i="3"/>
  <c r="G1164" i="3"/>
  <c r="E1164" i="3"/>
  <c r="C1164" i="3"/>
  <c r="B1164" i="3"/>
  <c r="A1164" i="3"/>
  <c r="R1163" i="3"/>
  <c r="Q1163" i="3"/>
  <c r="P1163" i="3"/>
  <c r="O1163" i="3"/>
  <c r="N1163" i="3"/>
  <c r="M1163" i="3"/>
  <c r="L1163" i="3"/>
  <c r="K1163" i="3"/>
  <c r="J1163" i="3"/>
  <c r="I1163" i="3"/>
  <c r="H1163" i="3"/>
  <c r="G1163" i="3"/>
  <c r="E1163" i="3"/>
  <c r="C1163" i="3"/>
  <c r="B1163" i="3"/>
  <c r="A1163" i="3"/>
  <c r="R1162" i="3"/>
  <c r="Q1162" i="3"/>
  <c r="P1162" i="3"/>
  <c r="O1162" i="3"/>
  <c r="N1162" i="3"/>
  <c r="M1162" i="3"/>
  <c r="L1162" i="3"/>
  <c r="K1162" i="3"/>
  <c r="J1162" i="3"/>
  <c r="I1162" i="3"/>
  <c r="H1162" i="3"/>
  <c r="G1162" i="3"/>
  <c r="E1162" i="3"/>
  <c r="C1162" i="3"/>
  <c r="B1162" i="3"/>
  <c r="A1162" i="3"/>
  <c r="R1161" i="3"/>
  <c r="Q1161" i="3"/>
  <c r="P1161" i="3"/>
  <c r="O1161" i="3"/>
  <c r="N1161" i="3"/>
  <c r="M1161" i="3"/>
  <c r="L1161" i="3"/>
  <c r="K1161" i="3"/>
  <c r="J1161" i="3"/>
  <c r="I1161" i="3"/>
  <c r="H1161" i="3"/>
  <c r="G1161" i="3"/>
  <c r="E1161" i="3"/>
  <c r="C1161" i="3"/>
  <c r="B1161" i="3"/>
  <c r="A1161" i="3"/>
  <c r="R1160" i="3"/>
  <c r="Q1160" i="3"/>
  <c r="P1160" i="3"/>
  <c r="O1160" i="3"/>
  <c r="N1160" i="3"/>
  <c r="M1160" i="3"/>
  <c r="L1160" i="3"/>
  <c r="K1160" i="3"/>
  <c r="J1160" i="3"/>
  <c r="I1160" i="3"/>
  <c r="H1160" i="3"/>
  <c r="G1160" i="3"/>
  <c r="E1160" i="3"/>
  <c r="C1160" i="3"/>
  <c r="T1160" i="3" s="1"/>
  <c r="B1160" i="3"/>
  <c r="A1160" i="3"/>
  <c r="R1159" i="3"/>
  <c r="Q1159" i="3"/>
  <c r="P1159" i="3"/>
  <c r="O1159" i="3"/>
  <c r="N1159" i="3"/>
  <c r="M1159" i="3"/>
  <c r="L1159" i="3"/>
  <c r="K1159" i="3"/>
  <c r="J1159" i="3"/>
  <c r="I1159" i="3"/>
  <c r="H1159" i="3"/>
  <c r="G1159" i="3"/>
  <c r="E1159" i="3"/>
  <c r="C1159" i="3"/>
  <c r="T1159" i="3" s="1"/>
  <c r="B1159" i="3"/>
  <c r="A1159" i="3"/>
  <c r="R1158" i="3"/>
  <c r="Q1158" i="3"/>
  <c r="P1158" i="3"/>
  <c r="O1158" i="3"/>
  <c r="N1158" i="3"/>
  <c r="M1158" i="3"/>
  <c r="L1158" i="3"/>
  <c r="K1158" i="3"/>
  <c r="J1158" i="3"/>
  <c r="I1158" i="3"/>
  <c r="H1158" i="3"/>
  <c r="G1158" i="3"/>
  <c r="E1158" i="3"/>
  <c r="C1158" i="3"/>
  <c r="B1158" i="3"/>
  <c r="A1158" i="3"/>
  <c r="R1157" i="3"/>
  <c r="Q1157" i="3"/>
  <c r="P1157" i="3"/>
  <c r="O1157" i="3"/>
  <c r="N1157" i="3"/>
  <c r="M1157" i="3"/>
  <c r="L1157" i="3"/>
  <c r="K1157" i="3"/>
  <c r="J1157" i="3"/>
  <c r="I1157" i="3"/>
  <c r="H1157" i="3"/>
  <c r="G1157" i="3"/>
  <c r="E1157" i="3"/>
  <c r="C1157" i="3"/>
  <c r="B1157" i="3"/>
  <c r="A1157" i="3"/>
  <c r="R1156" i="3"/>
  <c r="Q1156" i="3"/>
  <c r="P1156" i="3"/>
  <c r="O1156" i="3"/>
  <c r="N1156" i="3"/>
  <c r="M1156" i="3"/>
  <c r="L1156" i="3"/>
  <c r="K1156" i="3"/>
  <c r="J1156" i="3"/>
  <c r="I1156" i="3"/>
  <c r="H1156" i="3"/>
  <c r="G1156" i="3"/>
  <c r="E1156" i="3"/>
  <c r="C1156" i="3"/>
  <c r="B1156" i="3"/>
  <c r="A1156" i="3"/>
  <c r="R1155" i="3"/>
  <c r="Q1155" i="3"/>
  <c r="P1155" i="3"/>
  <c r="O1155" i="3"/>
  <c r="N1155" i="3"/>
  <c r="M1155" i="3"/>
  <c r="L1155" i="3"/>
  <c r="K1155" i="3"/>
  <c r="J1155" i="3"/>
  <c r="I1155" i="3"/>
  <c r="H1155" i="3"/>
  <c r="G1155" i="3"/>
  <c r="E1155" i="3"/>
  <c r="C1155" i="3"/>
  <c r="B1155" i="3"/>
  <c r="A1155" i="3"/>
  <c r="R1154" i="3"/>
  <c r="Q1154" i="3"/>
  <c r="P1154" i="3"/>
  <c r="O1154" i="3"/>
  <c r="N1154" i="3"/>
  <c r="M1154" i="3"/>
  <c r="L1154" i="3"/>
  <c r="K1154" i="3"/>
  <c r="J1154" i="3"/>
  <c r="I1154" i="3"/>
  <c r="H1154" i="3"/>
  <c r="G1154" i="3"/>
  <c r="E1154" i="3"/>
  <c r="C1154" i="3"/>
  <c r="B1154" i="3"/>
  <c r="A1154" i="3"/>
  <c r="R1153" i="3"/>
  <c r="Q1153" i="3"/>
  <c r="P1153" i="3"/>
  <c r="O1153" i="3"/>
  <c r="N1153" i="3"/>
  <c r="M1153" i="3"/>
  <c r="L1153" i="3"/>
  <c r="K1153" i="3"/>
  <c r="J1153" i="3"/>
  <c r="I1153" i="3"/>
  <c r="H1153" i="3"/>
  <c r="G1153" i="3"/>
  <c r="E1153" i="3"/>
  <c r="C1153" i="3"/>
  <c r="B1153" i="3"/>
  <c r="A1153" i="3"/>
  <c r="R1152" i="3"/>
  <c r="Q1152" i="3"/>
  <c r="P1152" i="3"/>
  <c r="O1152" i="3"/>
  <c r="N1152" i="3"/>
  <c r="M1152" i="3"/>
  <c r="L1152" i="3"/>
  <c r="K1152" i="3"/>
  <c r="J1152" i="3"/>
  <c r="I1152" i="3"/>
  <c r="H1152" i="3"/>
  <c r="G1152" i="3"/>
  <c r="E1152" i="3"/>
  <c r="C1152" i="3"/>
  <c r="T1152" i="3" s="1"/>
  <c r="B1152" i="3"/>
  <c r="A1152" i="3"/>
  <c r="R1151" i="3"/>
  <c r="Q1151" i="3"/>
  <c r="P1151" i="3"/>
  <c r="O1151" i="3"/>
  <c r="N1151" i="3"/>
  <c r="M1151" i="3"/>
  <c r="L1151" i="3"/>
  <c r="K1151" i="3"/>
  <c r="J1151" i="3"/>
  <c r="I1151" i="3"/>
  <c r="H1151" i="3"/>
  <c r="G1151" i="3"/>
  <c r="E1151" i="3"/>
  <c r="C1151" i="3"/>
  <c r="T1151" i="3" s="1"/>
  <c r="B1151" i="3"/>
  <c r="A1151" i="3"/>
  <c r="R1150" i="3"/>
  <c r="Q1150" i="3"/>
  <c r="P1150" i="3"/>
  <c r="O1150" i="3"/>
  <c r="N1150" i="3"/>
  <c r="M1150" i="3"/>
  <c r="L1150" i="3"/>
  <c r="K1150" i="3"/>
  <c r="J1150" i="3"/>
  <c r="I1150" i="3"/>
  <c r="H1150" i="3"/>
  <c r="G1150" i="3"/>
  <c r="E1150" i="3"/>
  <c r="C1150" i="3"/>
  <c r="B1150" i="3"/>
  <c r="A1150" i="3"/>
  <c r="R1149" i="3"/>
  <c r="Q1149" i="3"/>
  <c r="P1149" i="3"/>
  <c r="O1149" i="3"/>
  <c r="N1149" i="3"/>
  <c r="M1149" i="3"/>
  <c r="L1149" i="3"/>
  <c r="K1149" i="3"/>
  <c r="J1149" i="3"/>
  <c r="I1149" i="3"/>
  <c r="H1149" i="3"/>
  <c r="G1149" i="3"/>
  <c r="E1149" i="3"/>
  <c r="C1149" i="3"/>
  <c r="B1149" i="3"/>
  <c r="A1149" i="3"/>
  <c r="R1148" i="3"/>
  <c r="Q1148" i="3"/>
  <c r="P1148" i="3"/>
  <c r="O1148" i="3"/>
  <c r="N1148" i="3"/>
  <c r="M1148" i="3"/>
  <c r="L1148" i="3"/>
  <c r="K1148" i="3"/>
  <c r="J1148" i="3"/>
  <c r="I1148" i="3"/>
  <c r="H1148" i="3"/>
  <c r="G1148" i="3"/>
  <c r="E1148" i="3"/>
  <c r="C1148" i="3"/>
  <c r="B1148" i="3"/>
  <c r="A1148" i="3"/>
  <c r="R1147" i="3"/>
  <c r="Q1147" i="3"/>
  <c r="P1147" i="3"/>
  <c r="O1147" i="3"/>
  <c r="N1147" i="3"/>
  <c r="M1147" i="3"/>
  <c r="L1147" i="3"/>
  <c r="K1147" i="3"/>
  <c r="J1147" i="3"/>
  <c r="I1147" i="3"/>
  <c r="H1147" i="3"/>
  <c r="G1147" i="3"/>
  <c r="E1147" i="3"/>
  <c r="C1147" i="3"/>
  <c r="B1147" i="3"/>
  <c r="A1147" i="3"/>
  <c r="R1146" i="3"/>
  <c r="Q1146" i="3"/>
  <c r="P1146" i="3"/>
  <c r="O1146" i="3"/>
  <c r="N1146" i="3"/>
  <c r="M1146" i="3"/>
  <c r="L1146" i="3"/>
  <c r="K1146" i="3"/>
  <c r="J1146" i="3"/>
  <c r="I1146" i="3"/>
  <c r="H1146" i="3"/>
  <c r="G1146" i="3"/>
  <c r="E1146" i="3"/>
  <c r="C1146" i="3"/>
  <c r="B1146" i="3"/>
  <c r="A1146" i="3"/>
  <c r="R1145" i="3"/>
  <c r="Q1145" i="3"/>
  <c r="P1145" i="3"/>
  <c r="O1145" i="3"/>
  <c r="N1145" i="3"/>
  <c r="M1145" i="3"/>
  <c r="L1145" i="3"/>
  <c r="K1145" i="3"/>
  <c r="J1145" i="3"/>
  <c r="I1145" i="3"/>
  <c r="H1145" i="3"/>
  <c r="G1145" i="3"/>
  <c r="E1145" i="3"/>
  <c r="C1145" i="3"/>
  <c r="B1145" i="3"/>
  <c r="A1145" i="3"/>
  <c r="R1144" i="3"/>
  <c r="Q1144" i="3"/>
  <c r="P1144" i="3"/>
  <c r="O1144" i="3"/>
  <c r="N1144" i="3"/>
  <c r="M1144" i="3"/>
  <c r="L1144" i="3"/>
  <c r="K1144" i="3"/>
  <c r="J1144" i="3"/>
  <c r="I1144" i="3"/>
  <c r="H1144" i="3"/>
  <c r="G1144" i="3"/>
  <c r="E1144" i="3"/>
  <c r="C1144" i="3"/>
  <c r="T1144" i="3" s="1"/>
  <c r="B1144" i="3"/>
  <c r="A1144" i="3"/>
  <c r="R1143" i="3"/>
  <c r="Q1143" i="3"/>
  <c r="P1143" i="3"/>
  <c r="O1143" i="3"/>
  <c r="N1143" i="3"/>
  <c r="M1143" i="3"/>
  <c r="L1143" i="3"/>
  <c r="K1143" i="3"/>
  <c r="J1143" i="3"/>
  <c r="I1143" i="3"/>
  <c r="H1143" i="3"/>
  <c r="G1143" i="3"/>
  <c r="E1143" i="3"/>
  <c r="C1143" i="3"/>
  <c r="T1143" i="3" s="1"/>
  <c r="B1143" i="3"/>
  <c r="A1143" i="3"/>
  <c r="R1142" i="3"/>
  <c r="Q1142" i="3"/>
  <c r="P1142" i="3"/>
  <c r="O1142" i="3"/>
  <c r="N1142" i="3"/>
  <c r="M1142" i="3"/>
  <c r="L1142" i="3"/>
  <c r="K1142" i="3"/>
  <c r="J1142" i="3"/>
  <c r="I1142" i="3"/>
  <c r="H1142" i="3"/>
  <c r="G1142" i="3"/>
  <c r="E1142" i="3"/>
  <c r="C1142" i="3"/>
  <c r="B1142" i="3"/>
  <c r="A1142" i="3"/>
  <c r="R1141" i="3"/>
  <c r="Q1141" i="3"/>
  <c r="P1141" i="3"/>
  <c r="O1141" i="3"/>
  <c r="N1141" i="3"/>
  <c r="M1141" i="3"/>
  <c r="L1141" i="3"/>
  <c r="K1141" i="3"/>
  <c r="J1141" i="3"/>
  <c r="I1141" i="3"/>
  <c r="H1141" i="3"/>
  <c r="G1141" i="3"/>
  <c r="E1141" i="3"/>
  <c r="C1141" i="3"/>
  <c r="B1141" i="3"/>
  <c r="A1141" i="3"/>
  <c r="R1140" i="3"/>
  <c r="Q1140" i="3"/>
  <c r="P1140" i="3"/>
  <c r="O1140" i="3"/>
  <c r="N1140" i="3"/>
  <c r="M1140" i="3"/>
  <c r="L1140" i="3"/>
  <c r="K1140" i="3"/>
  <c r="J1140" i="3"/>
  <c r="I1140" i="3"/>
  <c r="H1140" i="3"/>
  <c r="G1140" i="3"/>
  <c r="E1140" i="3"/>
  <c r="C1140" i="3"/>
  <c r="B1140" i="3"/>
  <c r="A1140" i="3"/>
  <c r="R1139" i="3"/>
  <c r="Q1139" i="3"/>
  <c r="P1139" i="3"/>
  <c r="O1139" i="3"/>
  <c r="N1139" i="3"/>
  <c r="M1139" i="3"/>
  <c r="L1139" i="3"/>
  <c r="K1139" i="3"/>
  <c r="J1139" i="3"/>
  <c r="I1139" i="3"/>
  <c r="H1139" i="3"/>
  <c r="G1139" i="3"/>
  <c r="E1139" i="3"/>
  <c r="C1139" i="3"/>
  <c r="B1139" i="3"/>
  <c r="A1139" i="3"/>
  <c r="R1138" i="3"/>
  <c r="Q1138" i="3"/>
  <c r="P1138" i="3"/>
  <c r="O1138" i="3"/>
  <c r="N1138" i="3"/>
  <c r="M1138" i="3"/>
  <c r="L1138" i="3"/>
  <c r="K1138" i="3"/>
  <c r="J1138" i="3"/>
  <c r="I1138" i="3"/>
  <c r="H1138" i="3"/>
  <c r="G1138" i="3"/>
  <c r="E1138" i="3"/>
  <c r="C1138" i="3"/>
  <c r="B1138" i="3"/>
  <c r="A1138" i="3"/>
  <c r="R1137" i="3"/>
  <c r="Q1137" i="3"/>
  <c r="P1137" i="3"/>
  <c r="O1137" i="3"/>
  <c r="N1137" i="3"/>
  <c r="M1137" i="3"/>
  <c r="L1137" i="3"/>
  <c r="K1137" i="3"/>
  <c r="J1137" i="3"/>
  <c r="I1137" i="3"/>
  <c r="H1137" i="3"/>
  <c r="G1137" i="3"/>
  <c r="E1137" i="3"/>
  <c r="C1137" i="3"/>
  <c r="B1137" i="3"/>
  <c r="A1137" i="3"/>
  <c r="R1136" i="3"/>
  <c r="Q1136" i="3"/>
  <c r="P1136" i="3"/>
  <c r="O1136" i="3"/>
  <c r="N1136" i="3"/>
  <c r="M1136" i="3"/>
  <c r="L1136" i="3"/>
  <c r="K1136" i="3"/>
  <c r="J1136" i="3"/>
  <c r="I1136" i="3"/>
  <c r="H1136" i="3"/>
  <c r="G1136" i="3"/>
  <c r="E1136" i="3"/>
  <c r="C1136" i="3"/>
  <c r="T1136" i="3" s="1"/>
  <c r="B1136" i="3"/>
  <c r="A1136" i="3"/>
  <c r="R1135" i="3"/>
  <c r="Q1135" i="3"/>
  <c r="P1135" i="3"/>
  <c r="O1135" i="3"/>
  <c r="N1135" i="3"/>
  <c r="M1135" i="3"/>
  <c r="L1135" i="3"/>
  <c r="K1135" i="3"/>
  <c r="J1135" i="3"/>
  <c r="I1135" i="3"/>
  <c r="H1135" i="3"/>
  <c r="G1135" i="3"/>
  <c r="E1135" i="3"/>
  <c r="C1135" i="3"/>
  <c r="T1135" i="3" s="1"/>
  <c r="B1135" i="3"/>
  <c r="A1135" i="3"/>
  <c r="R1134" i="3"/>
  <c r="Q1134" i="3"/>
  <c r="P1134" i="3"/>
  <c r="O1134" i="3"/>
  <c r="N1134" i="3"/>
  <c r="M1134" i="3"/>
  <c r="L1134" i="3"/>
  <c r="K1134" i="3"/>
  <c r="J1134" i="3"/>
  <c r="I1134" i="3"/>
  <c r="H1134" i="3"/>
  <c r="G1134" i="3"/>
  <c r="E1134" i="3"/>
  <c r="C1134" i="3"/>
  <c r="U1134" i="3" s="1"/>
  <c r="B1134" i="3"/>
  <c r="A1134" i="3"/>
  <c r="R1133" i="3"/>
  <c r="Q1133" i="3"/>
  <c r="P1133" i="3"/>
  <c r="O1133" i="3"/>
  <c r="N1133" i="3"/>
  <c r="M1133" i="3"/>
  <c r="L1133" i="3"/>
  <c r="K1133" i="3"/>
  <c r="J1133" i="3"/>
  <c r="I1133" i="3"/>
  <c r="H1133" i="3"/>
  <c r="G1133" i="3"/>
  <c r="E1133" i="3"/>
  <c r="C1133" i="3"/>
  <c r="B1133" i="3"/>
  <c r="A1133" i="3"/>
  <c r="R1132" i="3"/>
  <c r="Q1132" i="3"/>
  <c r="P1132" i="3"/>
  <c r="O1132" i="3"/>
  <c r="N1132" i="3"/>
  <c r="M1132" i="3"/>
  <c r="L1132" i="3"/>
  <c r="K1132" i="3"/>
  <c r="J1132" i="3"/>
  <c r="I1132" i="3"/>
  <c r="H1132" i="3"/>
  <c r="G1132" i="3"/>
  <c r="E1132" i="3"/>
  <c r="C1132" i="3"/>
  <c r="B1132" i="3"/>
  <c r="A1132" i="3"/>
  <c r="R1131" i="3"/>
  <c r="Q1131" i="3"/>
  <c r="P1131" i="3"/>
  <c r="O1131" i="3"/>
  <c r="N1131" i="3"/>
  <c r="M1131" i="3"/>
  <c r="L1131" i="3"/>
  <c r="K1131" i="3"/>
  <c r="J1131" i="3"/>
  <c r="I1131" i="3"/>
  <c r="H1131" i="3"/>
  <c r="G1131" i="3"/>
  <c r="E1131" i="3"/>
  <c r="C1131" i="3"/>
  <c r="B1131" i="3"/>
  <c r="A1131" i="3"/>
  <c r="R1130" i="3"/>
  <c r="Q1130" i="3"/>
  <c r="P1130" i="3"/>
  <c r="O1130" i="3"/>
  <c r="N1130" i="3"/>
  <c r="M1130" i="3"/>
  <c r="L1130" i="3"/>
  <c r="K1130" i="3"/>
  <c r="J1130" i="3"/>
  <c r="I1130" i="3"/>
  <c r="H1130" i="3"/>
  <c r="G1130" i="3"/>
  <c r="E1130" i="3"/>
  <c r="C1130" i="3"/>
  <c r="B1130" i="3"/>
  <c r="A1130" i="3"/>
  <c r="R1129" i="3"/>
  <c r="Q1129" i="3"/>
  <c r="P1129" i="3"/>
  <c r="O1129" i="3"/>
  <c r="N1129" i="3"/>
  <c r="M1129" i="3"/>
  <c r="L1129" i="3"/>
  <c r="K1129" i="3"/>
  <c r="J1129" i="3"/>
  <c r="I1129" i="3"/>
  <c r="H1129" i="3"/>
  <c r="G1129" i="3"/>
  <c r="E1129" i="3"/>
  <c r="C1129" i="3"/>
  <c r="B1129" i="3"/>
  <c r="A1129" i="3"/>
  <c r="R1128" i="3"/>
  <c r="Q1128" i="3"/>
  <c r="P1128" i="3"/>
  <c r="O1128" i="3"/>
  <c r="N1128" i="3"/>
  <c r="M1128" i="3"/>
  <c r="L1128" i="3"/>
  <c r="K1128" i="3"/>
  <c r="J1128" i="3"/>
  <c r="I1128" i="3"/>
  <c r="H1128" i="3"/>
  <c r="G1128" i="3"/>
  <c r="E1128" i="3"/>
  <c r="C1128" i="3"/>
  <c r="T1128" i="3" s="1"/>
  <c r="B1128" i="3"/>
  <c r="A1128" i="3"/>
  <c r="R1127" i="3"/>
  <c r="Q1127" i="3"/>
  <c r="P1127" i="3"/>
  <c r="O1127" i="3"/>
  <c r="N1127" i="3"/>
  <c r="M1127" i="3"/>
  <c r="L1127" i="3"/>
  <c r="K1127" i="3"/>
  <c r="J1127" i="3"/>
  <c r="I1127" i="3"/>
  <c r="H1127" i="3"/>
  <c r="G1127" i="3"/>
  <c r="E1127" i="3"/>
  <c r="C1127" i="3"/>
  <c r="T1127" i="3" s="1"/>
  <c r="B1127" i="3"/>
  <c r="A1127" i="3"/>
  <c r="R1126" i="3"/>
  <c r="Q1126" i="3"/>
  <c r="P1126" i="3"/>
  <c r="O1126" i="3"/>
  <c r="N1126" i="3"/>
  <c r="M1126" i="3"/>
  <c r="L1126" i="3"/>
  <c r="K1126" i="3"/>
  <c r="J1126" i="3"/>
  <c r="I1126" i="3"/>
  <c r="H1126" i="3"/>
  <c r="G1126" i="3"/>
  <c r="E1126" i="3"/>
  <c r="C1126" i="3"/>
  <c r="B1126" i="3"/>
  <c r="A1126" i="3"/>
  <c r="R1125" i="3"/>
  <c r="Q1125" i="3"/>
  <c r="P1125" i="3"/>
  <c r="O1125" i="3"/>
  <c r="N1125" i="3"/>
  <c r="M1125" i="3"/>
  <c r="L1125" i="3"/>
  <c r="K1125" i="3"/>
  <c r="J1125" i="3"/>
  <c r="I1125" i="3"/>
  <c r="H1125" i="3"/>
  <c r="G1125" i="3"/>
  <c r="E1125" i="3"/>
  <c r="C1125" i="3"/>
  <c r="B1125" i="3"/>
  <c r="A1125" i="3"/>
  <c r="R1124" i="3"/>
  <c r="Q1124" i="3"/>
  <c r="P1124" i="3"/>
  <c r="O1124" i="3"/>
  <c r="N1124" i="3"/>
  <c r="M1124" i="3"/>
  <c r="L1124" i="3"/>
  <c r="K1124" i="3"/>
  <c r="J1124" i="3"/>
  <c r="I1124" i="3"/>
  <c r="H1124" i="3"/>
  <c r="G1124" i="3"/>
  <c r="E1124" i="3"/>
  <c r="C1124" i="3"/>
  <c r="B1124" i="3"/>
  <c r="A1124" i="3"/>
  <c r="R1123" i="3"/>
  <c r="Q1123" i="3"/>
  <c r="P1123" i="3"/>
  <c r="O1123" i="3"/>
  <c r="N1123" i="3"/>
  <c r="M1123" i="3"/>
  <c r="L1123" i="3"/>
  <c r="K1123" i="3"/>
  <c r="J1123" i="3"/>
  <c r="I1123" i="3"/>
  <c r="H1123" i="3"/>
  <c r="G1123" i="3"/>
  <c r="E1123" i="3"/>
  <c r="C1123" i="3"/>
  <c r="B1123" i="3"/>
  <c r="A1123" i="3"/>
  <c r="R1122" i="3"/>
  <c r="Q1122" i="3"/>
  <c r="P1122" i="3"/>
  <c r="O1122" i="3"/>
  <c r="N1122" i="3"/>
  <c r="M1122" i="3"/>
  <c r="L1122" i="3"/>
  <c r="K1122" i="3"/>
  <c r="J1122" i="3"/>
  <c r="I1122" i="3"/>
  <c r="H1122" i="3"/>
  <c r="G1122" i="3"/>
  <c r="E1122" i="3"/>
  <c r="C1122" i="3"/>
  <c r="B1122" i="3"/>
  <c r="A1122" i="3"/>
  <c r="R1121" i="3"/>
  <c r="Q1121" i="3"/>
  <c r="P1121" i="3"/>
  <c r="O1121" i="3"/>
  <c r="N1121" i="3"/>
  <c r="M1121" i="3"/>
  <c r="L1121" i="3"/>
  <c r="K1121" i="3"/>
  <c r="J1121" i="3"/>
  <c r="I1121" i="3"/>
  <c r="H1121" i="3"/>
  <c r="G1121" i="3"/>
  <c r="E1121" i="3"/>
  <c r="C1121" i="3"/>
  <c r="B1121" i="3"/>
  <c r="A1121" i="3"/>
  <c r="R1120" i="3"/>
  <c r="Q1120" i="3"/>
  <c r="P1120" i="3"/>
  <c r="O1120" i="3"/>
  <c r="N1120" i="3"/>
  <c r="M1120" i="3"/>
  <c r="L1120" i="3"/>
  <c r="K1120" i="3"/>
  <c r="J1120" i="3"/>
  <c r="I1120" i="3"/>
  <c r="H1120" i="3"/>
  <c r="G1120" i="3"/>
  <c r="E1120" i="3"/>
  <c r="C1120" i="3"/>
  <c r="T1120" i="3" s="1"/>
  <c r="B1120" i="3"/>
  <c r="A1120" i="3"/>
  <c r="R1119" i="3"/>
  <c r="Q1119" i="3"/>
  <c r="P1119" i="3"/>
  <c r="O1119" i="3"/>
  <c r="N1119" i="3"/>
  <c r="M1119" i="3"/>
  <c r="L1119" i="3"/>
  <c r="K1119" i="3"/>
  <c r="J1119" i="3"/>
  <c r="I1119" i="3"/>
  <c r="H1119" i="3"/>
  <c r="G1119" i="3"/>
  <c r="E1119" i="3"/>
  <c r="C1119" i="3"/>
  <c r="T1119" i="3" s="1"/>
  <c r="B1119" i="3"/>
  <c r="A1119" i="3"/>
  <c r="R1118" i="3"/>
  <c r="Q1118" i="3"/>
  <c r="P1118" i="3"/>
  <c r="O1118" i="3"/>
  <c r="N1118" i="3"/>
  <c r="M1118" i="3"/>
  <c r="L1118" i="3"/>
  <c r="K1118" i="3"/>
  <c r="J1118" i="3"/>
  <c r="I1118" i="3"/>
  <c r="H1118" i="3"/>
  <c r="G1118" i="3"/>
  <c r="E1118" i="3"/>
  <c r="C1118" i="3"/>
  <c r="B1118" i="3"/>
  <c r="A1118" i="3"/>
  <c r="R1117" i="3"/>
  <c r="Q1117" i="3"/>
  <c r="P1117" i="3"/>
  <c r="O1117" i="3"/>
  <c r="N1117" i="3"/>
  <c r="M1117" i="3"/>
  <c r="L1117" i="3"/>
  <c r="K1117" i="3"/>
  <c r="J1117" i="3"/>
  <c r="I1117" i="3"/>
  <c r="H1117" i="3"/>
  <c r="G1117" i="3"/>
  <c r="E1117" i="3"/>
  <c r="C1117" i="3"/>
  <c r="B1117" i="3"/>
  <c r="A1117" i="3"/>
  <c r="R1116" i="3"/>
  <c r="Q1116" i="3"/>
  <c r="P1116" i="3"/>
  <c r="O1116" i="3"/>
  <c r="N1116" i="3"/>
  <c r="M1116" i="3"/>
  <c r="L1116" i="3"/>
  <c r="K1116" i="3"/>
  <c r="J1116" i="3"/>
  <c r="I1116" i="3"/>
  <c r="H1116" i="3"/>
  <c r="G1116" i="3"/>
  <c r="E1116" i="3"/>
  <c r="C1116" i="3"/>
  <c r="B1116" i="3"/>
  <c r="A1116" i="3"/>
  <c r="R1115" i="3"/>
  <c r="Q1115" i="3"/>
  <c r="P1115" i="3"/>
  <c r="O1115" i="3"/>
  <c r="N1115" i="3"/>
  <c r="M1115" i="3"/>
  <c r="L1115" i="3"/>
  <c r="K1115" i="3"/>
  <c r="J1115" i="3"/>
  <c r="I1115" i="3"/>
  <c r="H1115" i="3"/>
  <c r="G1115" i="3"/>
  <c r="E1115" i="3"/>
  <c r="C1115" i="3"/>
  <c r="B1115" i="3"/>
  <c r="A1115" i="3"/>
  <c r="R1114" i="3"/>
  <c r="Q1114" i="3"/>
  <c r="P1114" i="3"/>
  <c r="O1114" i="3"/>
  <c r="N1114" i="3"/>
  <c r="M1114" i="3"/>
  <c r="L1114" i="3"/>
  <c r="K1114" i="3"/>
  <c r="J1114" i="3"/>
  <c r="I1114" i="3"/>
  <c r="H1114" i="3"/>
  <c r="G1114" i="3"/>
  <c r="E1114" i="3"/>
  <c r="C1114" i="3"/>
  <c r="B1114" i="3"/>
  <c r="A1114" i="3"/>
  <c r="R1113" i="3"/>
  <c r="Q1113" i="3"/>
  <c r="P1113" i="3"/>
  <c r="O1113" i="3"/>
  <c r="N1113" i="3"/>
  <c r="M1113" i="3"/>
  <c r="L1113" i="3"/>
  <c r="K1113" i="3"/>
  <c r="J1113" i="3"/>
  <c r="I1113" i="3"/>
  <c r="H1113" i="3"/>
  <c r="G1113" i="3"/>
  <c r="E1113" i="3"/>
  <c r="C1113" i="3"/>
  <c r="B1113" i="3"/>
  <c r="A1113" i="3"/>
  <c r="R1112" i="3"/>
  <c r="Q1112" i="3"/>
  <c r="P1112" i="3"/>
  <c r="O1112" i="3"/>
  <c r="N1112" i="3"/>
  <c r="M1112" i="3"/>
  <c r="L1112" i="3"/>
  <c r="K1112" i="3"/>
  <c r="J1112" i="3"/>
  <c r="I1112" i="3"/>
  <c r="H1112" i="3"/>
  <c r="G1112" i="3"/>
  <c r="E1112" i="3"/>
  <c r="C1112" i="3"/>
  <c r="T1112" i="3" s="1"/>
  <c r="B1112" i="3"/>
  <c r="A1112" i="3"/>
  <c r="R1111" i="3"/>
  <c r="Q1111" i="3"/>
  <c r="P1111" i="3"/>
  <c r="O1111" i="3"/>
  <c r="N1111" i="3"/>
  <c r="M1111" i="3"/>
  <c r="L1111" i="3"/>
  <c r="K1111" i="3"/>
  <c r="J1111" i="3"/>
  <c r="I1111" i="3"/>
  <c r="H1111" i="3"/>
  <c r="G1111" i="3"/>
  <c r="E1111" i="3"/>
  <c r="C1111" i="3"/>
  <c r="T1111" i="3" s="1"/>
  <c r="B1111" i="3"/>
  <c r="A1111" i="3"/>
  <c r="R1110" i="3"/>
  <c r="Q1110" i="3"/>
  <c r="P1110" i="3"/>
  <c r="O1110" i="3"/>
  <c r="N1110" i="3"/>
  <c r="M1110" i="3"/>
  <c r="L1110" i="3"/>
  <c r="K1110" i="3"/>
  <c r="J1110" i="3"/>
  <c r="I1110" i="3"/>
  <c r="H1110" i="3"/>
  <c r="G1110" i="3"/>
  <c r="E1110" i="3"/>
  <c r="C1110" i="3"/>
  <c r="B1110" i="3"/>
  <c r="A1110" i="3"/>
  <c r="R1109" i="3"/>
  <c r="Q1109" i="3"/>
  <c r="P1109" i="3"/>
  <c r="O1109" i="3"/>
  <c r="N1109" i="3"/>
  <c r="M1109" i="3"/>
  <c r="L1109" i="3"/>
  <c r="K1109" i="3"/>
  <c r="J1109" i="3"/>
  <c r="I1109" i="3"/>
  <c r="H1109" i="3"/>
  <c r="G1109" i="3"/>
  <c r="E1109" i="3"/>
  <c r="C1109" i="3"/>
  <c r="B1109" i="3"/>
  <c r="A1109" i="3"/>
  <c r="R1108" i="3"/>
  <c r="Q1108" i="3"/>
  <c r="P1108" i="3"/>
  <c r="O1108" i="3"/>
  <c r="N1108" i="3"/>
  <c r="M1108" i="3"/>
  <c r="L1108" i="3"/>
  <c r="K1108" i="3"/>
  <c r="J1108" i="3"/>
  <c r="I1108" i="3"/>
  <c r="H1108" i="3"/>
  <c r="G1108" i="3"/>
  <c r="E1108" i="3"/>
  <c r="C1108" i="3"/>
  <c r="B1108" i="3"/>
  <c r="A1108" i="3"/>
  <c r="R1107" i="3"/>
  <c r="Q1107" i="3"/>
  <c r="P1107" i="3"/>
  <c r="O1107" i="3"/>
  <c r="N1107" i="3"/>
  <c r="M1107" i="3"/>
  <c r="L1107" i="3"/>
  <c r="K1107" i="3"/>
  <c r="J1107" i="3"/>
  <c r="I1107" i="3"/>
  <c r="H1107" i="3"/>
  <c r="G1107" i="3"/>
  <c r="E1107" i="3"/>
  <c r="C1107" i="3"/>
  <c r="B1107" i="3"/>
  <c r="A1107" i="3"/>
  <c r="R1106" i="3"/>
  <c r="Q1106" i="3"/>
  <c r="P1106" i="3"/>
  <c r="O1106" i="3"/>
  <c r="N1106" i="3"/>
  <c r="M1106" i="3"/>
  <c r="L1106" i="3"/>
  <c r="K1106" i="3"/>
  <c r="J1106" i="3"/>
  <c r="I1106" i="3"/>
  <c r="H1106" i="3"/>
  <c r="G1106" i="3"/>
  <c r="E1106" i="3"/>
  <c r="C1106" i="3"/>
  <c r="B1106" i="3"/>
  <c r="A1106" i="3"/>
  <c r="R1105" i="3"/>
  <c r="Q1105" i="3"/>
  <c r="P1105" i="3"/>
  <c r="O1105" i="3"/>
  <c r="N1105" i="3"/>
  <c r="M1105" i="3"/>
  <c r="L1105" i="3"/>
  <c r="K1105" i="3"/>
  <c r="J1105" i="3"/>
  <c r="I1105" i="3"/>
  <c r="H1105" i="3"/>
  <c r="G1105" i="3"/>
  <c r="E1105" i="3"/>
  <c r="C1105" i="3"/>
  <c r="B1105" i="3"/>
  <c r="A1105" i="3"/>
  <c r="R1104" i="3"/>
  <c r="Q1104" i="3"/>
  <c r="P1104" i="3"/>
  <c r="O1104" i="3"/>
  <c r="N1104" i="3"/>
  <c r="M1104" i="3"/>
  <c r="L1104" i="3"/>
  <c r="K1104" i="3"/>
  <c r="J1104" i="3"/>
  <c r="I1104" i="3"/>
  <c r="H1104" i="3"/>
  <c r="G1104" i="3"/>
  <c r="E1104" i="3"/>
  <c r="C1104" i="3"/>
  <c r="T1104" i="3" s="1"/>
  <c r="B1104" i="3"/>
  <c r="A1104" i="3"/>
  <c r="R1103" i="3"/>
  <c r="Q1103" i="3"/>
  <c r="P1103" i="3"/>
  <c r="O1103" i="3"/>
  <c r="N1103" i="3"/>
  <c r="M1103" i="3"/>
  <c r="L1103" i="3"/>
  <c r="K1103" i="3"/>
  <c r="J1103" i="3"/>
  <c r="I1103" i="3"/>
  <c r="H1103" i="3"/>
  <c r="G1103" i="3"/>
  <c r="E1103" i="3"/>
  <c r="C1103" i="3"/>
  <c r="T1103" i="3" s="1"/>
  <c r="B1103" i="3"/>
  <c r="A1103" i="3"/>
  <c r="R1102" i="3"/>
  <c r="Q1102" i="3"/>
  <c r="P1102" i="3"/>
  <c r="O1102" i="3"/>
  <c r="N1102" i="3"/>
  <c r="M1102" i="3"/>
  <c r="L1102" i="3"/>
  <c r="K1102" i="3"/>
  <c r="J1102" i="3"/>
  <c r="I1102" i="3"/>
  <c r="H1102" i="3"/>
  <c r="G1102" i="3"/>
  <c r="E1102" i="3"/>
  <c r="C1102" i="3"/>
  <c r="U1102" i="3" s="1"/>
  <c r="B1102" i="3"/>
  <c r="A1102" i="3"/>
  <c r="R1101" i="3"/>
  <c r="Q1101" i="3"/>
  <c r="P1101" i="3"/>
  <c r="O1101" i="3"/>
  <c r="N1101" i="3"/>
  <c r="M1101" i="3"/>
  <c r="L1101" i="3"/>
  <c r="K1101" i="3"/>
  <c r="J1101" i="3"/>
  <c r="I1101" i="3"/>
  <c r="H1101" i="3"/>
  <c r="G1101" i="3"/>
  <c r="E1101" i="3"/>
  <c r="C1101" i="3"/>
  <c r="B1101" i="3"/>
  <c r="A1101" i="3"/>
  <c r="R1100" i="3"/>
  <c r="Q1100" i="3"/>
  <c r="P1100" i="3"/>
  <c r="O1100" i="3"/>
  <c r="N1100" i="3"/>
  <c r="M1100" i="3"/>
  <c r="L1100" i="3"/>
  <c r="K1100" i="3"/>
  <c r="J1100" i="3"/>
  <c r="I1100" i="3"/>
  <c r="H1100" i="3"/>
  <c r="G1100" i="3"/>
  <c r="E1100" i="3"/>
  <c r="C1100" i="3"/>
  <c r="B1100" i="3"/>
  <c r="A1100" i="3"/>
  <c r="R1099" i="3"/>
  <c r="Q1099" i="3"/>
  <c r="P1099" i="3"/>
  <c r="O1099" i="3"/>
  <c r="N1099" i="3"/>
  <c r="M1099" i="3"/>
  <c r="L1099" i="3"/>
  <c r="K1099" i="3"/>
  <c r="J1099" i="3"/>
  <c r="I1099" i="3"/>
  <c r="H1099" i="3"/>
  <c r="G1099" i="3"/>
  <c r="E1099" i="3"/>
  <c r="C1099" i="3"/>
  <c r="B1099" i="3"/>
  <c r="A1099" i="3"/>
  <c r="R1098" i="3"/>
  <c r="Q1098" i="3"/>
  <c r="P1098" i="3"/>
  <c r="O1098" i="3"/>
  <c r="N1098" i="3"/>
  <c r="M1098" i="3"/>
  <c r="L1098" i="3"/>
  <c r="K1098" i="3"/>
  <c r="J1098" i="3"/>
  <c r="I1098" i="3"/>
  <c r="H1098" i="3"/>
  <c r="G1098" i="3"/>
  <c r="E1098" i="3"/>
  <c r="C1098" i="3"/>
  <c r="B1098" i="3"/>
  <c r="A1098" i="3"/>
  <c r="R1097" i="3"/>
  <c r="Q1097" i="3"/>
  <c r="P1097" i="3"/>
  <c r="O1097" i="3"/>
  <c r="N1097" i="3"/>
  <c r="M1097" i="3"/>
  <c r="L1097" i="3"/>
  <c r="K1097" i="3"/>
  <c r="J1097" i="3"/>
  <c r="I1097" i="3"/>
  <c r="H1097" i="3"/>
  <c r="G1097" i="3"/>
  <c r="E1097" i="3"/>
  <c r="C1097" i="3"/>
  <c r="B1097" i="3"/>
  <c r="A1097" i="3"/>
  <c r="R1096" i="3"/>
  <c r="Q1096" i="3"/>
  <c r="P1096" i="3"/>
  <c r="O1096" i="3"/>
  <c r="N1096" i="3"/>
  <c r="M1096" i="3"/>
  <c r="L1096" i="3"/>
  <c r="K1096" i="3"/>
  <c r="J1096" i="3"/>
  <c r="I1096" i="3"/>
  <c r="H1096" i="3"/>
  <c r="G1096" i="3"/>
  <c r="E1096" i="3"/>
  <c r="C1096" i="3"/>
  <c r="T1096" i="3" s="1"/>
  <c r="B1096" i="3"/>
  <c r="A1096" i="3"/>
  <c r="R1095" i="3"/>
  <c r="Q1095" i="3"/>
  <c r="P1095" i="3"/>
  <c r="O1095" i="3"/>
  <c r="N1095" i="3"/>
  <c r="M1095" i="3"/>
  <c r="L1095" i="3"/>
  <c r="K1095" i="3"/>
  <c r="J1095" i="3"/>
  <c r="I1095" i="3"/>
  <c r="H1095" i="3"/>
  <c r="G1095" i="3"/>
  <c r="E1095" i="3"/>
  <c r="C1095" i="3"/>
  <c r="T1095" i="3" s="1"/>
  <c r="B1095" i="3"/>
  <c r="A1095" i="3"/>
  <c r="R1094" i="3"/>
  <c r="Q1094" i="3"/>
  <c r="P1094" i="3"/>
  <c r="O1094" i="3"/>
  <c r="N1094" i="3"/>
  <c r="M1094" i="3"/>
  <c r="L1094" i="3"/>
  <c r="K1094" i="3"/>
  <c r="J1094" i="3"/>
  <c r="I1094" i="3"/>
  <c r="H1094" i="3"/>
  <c r="G1094" i="3"/>
  <c r="E1094" i="3"/>
  <c r="C1094" i="3"/>
  <c r="B1094" i="3"/>
  <c r="A1094" i="3"/>
  <c r="R1093" i="3"/>
  <c r="Q1093" i="3"/>
  <c r="P1093" i="3"/>
  <c r="O1093" i="3"/>
  <c r="N1093" i="3"/>
  <c r="M1093" i="3"/>
  <c r="L1093" i="3"/>
  <c r="K1093" i="3"/>
  <c r="J1093" i="3"/>
  <c r="I1093" i="3"/>
  <c r="H1093" i="3"/>
  <c r="G1093" i="3"/>
  <c r="E1093" i="3"/>
  <c r="C1093" i="3"/>
  <c r="B1093" i="3"/>
  <c r="A1093" i="3"/>
  <c r="R1092" i="3"/>
  <c r="Q1092" i="3"/>
  <c r="P1092" i="3"/>
  <c r="O1092" i="3"/>
  <c r="N1092" i="3"/>
  <c r="M1092" i="3"/>
  <c r="L1092" i="3"/>
  <c r="K1092" i="3"/>
  <c r="J1092" i="3"/>
  <c r="I1092" i="3"/>
  <c r="H1092" i="3"/>
  <c r="G1092" i="3"/>
  <c r="E1092" i="3"/>
  <c r="C1092" i="3"/>
  <c r="B1092" i="3"/>
  <c r="A1092" i="3"/>
  <c r="R1091" i="3"/>
  <c r="Q1091" i="3"/>
  <c r="P1091" i="3"/>
  <c r="O1091" i="3"/>
  <c r="N1091" i="3"/>
  <c r="M1091" i="3"/>
  <c r="L1091" i="3"/>
  <c r="K1091" i="3"/>
  <c r="J1091" i="3"/>
  <c r="I1091" i="3"/>
  <c r="H1091" i="3"/>
  <c r="G1091" i="3"/>
  <c r="E1091" i="3"/>
  <c r="C1091" i="3"/>
  <c r="B1091" i="3"/>
  <c r="A1091" i="3"/>
  <c r="R1090" i="3"/>
  <c r="Q1090" i="3"/>
  <c r="P1090" i="3"/>
  <c r="O1090" i="3"/>
  <c r="N1090" i="3"/>
  <c r="M1090" i="3"/>
  <c r="L1090" i="3"/>
  <c r="K1090" i="3"/>
  <c r="J1090" i="3"/>
  <c r="I1090" i="3"/>
  <c r="H1090" i="3"/>
  <c r="G1090" i="3"/>
  <c r="E1090" i="3"/>
  <c r="C1090" i="3"/>
  <c r="B1090" i="3"/>
  <c r="A1090" i="3"/>
  <c r="R1089" i="3"/>
  <c r="Q1089" i="3"/>
  <c r="P1089" i="3"/>
  <c r="O1089" i="3"/>
  <c r="N1089" i="3"/>
  <c r="M1089" i="3"/>
  <c r="L1089" i="3"/>
  <c r="K1089" i="3"/>
  <c r="J1089" i="3"/>
  <c r="I1089" i="3"/>
  <c r="H1089" i="3"/>
  <c r="G1089" i="3"/>
  <c r="E1089" i="3"/>
  <c r="C1089" i="3"/>
  <c r="B1089" i="3"/>
  <c r="A1089" i="3"/>
  <c r="R1088" i="3"/>
  <c r="Q1088" i="3"/>
  <c r="P1088" i="3"/>
  <c r="O1088" i="3"/>
  <c r="N1088" i="3"/>
  <c r="M1088" i="3"/>
  <c r="L1088" i="3"/>
  <c r="K1088" i="3"/>
  <c r="J1088" i="3"/>
  <c r="I1088" i="3"/>
  <c r="H1088" i="3"/>
  <c r="G1088" i="3"/>
  <c r="E1088" i="3"/>
  <c r="C1088" i="3"/>
  <c r="T1088" i="3" s="1"/>
  <c r="B1088" i="3"/>
  <c r="A1088" i="3"/>
  <c r="R1087" i="3"/>
  <c r="Q1087" i="3"/>
  <c r="P1087" i="3"/>
  <c r="O1087" i="3"/>
  <c r="N1087" i="3"/>
  <c r="M1087" i="3"/>
  <c r="L1087" i="3"/>
  <c r="K1087" i="3"/>
  <c r="J1087" i="3"/>
  <c r="I1087" i="3"/>
  <c r="H1087" i="3"/>
  <c r="G1087" i="3"/>
  <c r="E1087" i="3"/>
  <c r="C1087" i="3"/>
  <c r="T1087" i="3" s="1"/>
  <c r="B1087" i="3"/>
  <c r="A1087" i="3"/>
  <c r="R1086" i="3"/>
  <c r="Q1086" i="3"/>
  <c r="P1086" i="3"/>
  <c r="O1086" i="3"/>
  <c r="N1086" i="3"/>
  <c r="M1086" i="3"/>
  <c r="L1086" i="3"/>
  <c r="K1086" i="3"/>
  <c r="J1086" i="3"/>
  <c r="I1086" i="3"/>
  <c r="H1086" i="3"/>
  <c r="G1086" i="3"/>
  <c r="E1086" i="3"/>
  <c r="C1086" i="3"/>
  <c r="B1086" i="3"/>
  <c r="A1086" i="3"/>
  <c r="R1085" i="3"/>
  <c r="Q1085" i="3"/>
  <c r="P1085" i="3"/>
  <c r="O1085" i="3"/>
  <c r="N1085" i="3"/>
  <c r="M1085" i="3"/>
  <c r="L1085" i="3"/>
  <c r="K1085" i="3"/>
  <c r="J1085" i="3"/>
  <c r="I1085" i="3"/>
  <c r="H1085" i="3"/>
  <c r="G1085" i="3"/>
  <c r="E1085" i="3"/>
  <c r="C1085" i="3"/>
  <c r="B1085" i="3"/>
  <c r="A1085" i="3"/>
  <c r="R1084" i="3"/>
  <c r="Q1084" i="3"/>
  <c r="P1084" i="3"/>
  <c r="O1084" i="3"/>
  <c r="N1084" i="3"/>
  <c r="M1084" i="3"/>
  <c r="L1084" i="3"/>
  <c r="K1084" i="3"/>
  <c r="J1084" i="3"/>
  <c r="I1084" i="3"/>
  <c r="H1084" i="3"/>
  <c r="G1084" i="3"/>
  <c r="E1084" i="3"/>
  <c r="C1084" i="3"/>
  <c r="B1084" i="3"/>
  <c r="A1084" i="3"/>
  <c r="R1083" i="3"/>
  <c r="Q1083" i="3"/>
  <c r="P1083" i="3"/>
  <c r="O1083" i="3"/>
  <c r="N1083" i="3"/>
  <c r="M1083" i="3"/>
  <c r="L1083" i="3"/>
  <c r="K1083" i="3"/>
  <c r="J1083" i="3"/>
  <c r="I1083" i="3"/>
  <c r="H1083" i="3"/>
  <c r="G1083" i="3"/>
  <c r="E1083" i="3"/>
  <c r="C1083" i="3"/>
  <c r="B1083" i="3"/>
  <c r="A1083" i="3"/>
  <c r="R1082" i="3"/>
  <c r="Q1082" i="3"/>
  <c r="P1082" i="3"/>
  <c r="O1082" i="3"/>
  <c r="N1082" i="3"/>
  <c r="M1082" i="3"/>
  <c r="L1082" i="3"/>
  <c r="K1082" i="3"/>
  <c r="J1082" i="3"/>
  <c r="I1082" i="3"/>
  <c r="H1082" i="3"/>
  <c r="G1082" i="3"/>
  <c r="E1082" i="3"/>
  <c r="C1082" i="3"/>
  <c r="B1082" i="3"/>
  <c r="A1082" i="3"/>
  <c r="R1081" i="3"/>
  <c r="Q1081" i="3"/>
  <c r="P1081" i="3"/>
  <c r="O1081" i="3"/>
  <c r="N1081" i="3"/>
  <c r="M1081" i="3"/>
  <c r="L1081" i="3"/>
  <c r="K1081" i="3"/>
  <c r="J1081" i="3"/>
  <c r="I1081" i="3"/>
  <c r="H1081" i="3"/>
  <c r="G1081" i="3"/>
  <c r="E1081" i="3"/>
  <c r="C1081" i="3"/>
  <c r="B1081" i="3"/>
  <c r="A1081" i="3"/>
  <c r="R1080" i="3"/>
  <c r="Q1080" i="3"/>
  <c r="P1080" i="3"/>
  <c r="O1080" i="3"/>
  <c r="N1080" i="3"/>
  <c r="M1080" i="3"/>
  <c r="L1080" i="3"/>
  <c r="K1080" i="3"/>
  <c r="J1080" i="3"/>
  <c r="I1080" i="3"/>
  <c r="H1080" i="3"/>
  <c r="G1080" i="3"/>
  <c r="E1080" i="3"/>
  <c r="C1080" i="3"/>
  <c r="T1080" i="3" s="1"/>
  <c r="B1080" i="3"/>
  <c r="A1080" i="3"/>
  <c r="R1079" i="3"/>
  <c r="Q1079" i="3"/>
  <c r="P1079" i="3"/>
  <c r="O1079" i="3"/>
  <c r="N1079" i="3"/>
  <c r="M1079" i="3"/>
  <c r="L1079" i="3"/>
  <c r="K1079" i="3"/>
  <c r="J1079" i="3"/>
  <c r="I1079" i="3"/>
  <c r="H1079" i="3"/>
  <c r="G1079" i="3"/>
  <c r="E1079" i="3"/>
  <c r="C1079" i="3"/>
  <c r="T1079" i="3" s="1"/>
  <c r="B1079" i="3"/>
  <c r="A1079" i="3"/>
  <c r="R1078" i="3"/>
  <c r="Q1078" i="3"/>
  <c r="P1078" i="3"/>
  <c r="O1078" i="3"/>
  <c r="N1078" i="3"/>
  <c r="M1078" i="3"/>
  <c r="L1078" i="3"/>
  <c r="K1078" i="3"/>
  <c r="J1078" i="3"/>
  <c r="I1078" i="3"/>
  <c r="H1078" i="3"/>
  <c r="G1078" i="3"/>
  <c r="E1078" i="3"/>
  <c r="C1078" i="3"/>
  <c r="B1078" i="3"/>
  <c r="A1078" i="3"/>
  <c r="R1077" i="3"/>
  <c r="Q1077" i="3"/>
  <c r="P1077" i="3"/>
  <c r="O1077" i="3"/>
  <c r="N1077" i="3"/>
  <c r="M1077" i="3"/>
  <c r="L1077" i="3"/>
  <c r="K1077" i="3"/>
  <c r="J1077" i="3"/>
  <c r="I1077" i="3"/>
  <c r="H1077" i="3"/>
  <c r="G1077" i="3"/>
  <c r="E1077" i="3"/>
  <c r="C1077" i="3"/>
  <c r="B1077" i="3"/>
  <c r="A1077" i="3"/>
  <c r="R1076" i="3"/>
  <c r="Q1076" i="3"/>
  <c r="P1076" i="3"/>
  <c r="O1076" i="3"/>
  <c r="N1076" i="3"/>
  <c r="M1076" i="3"/>
  <c r="L1076" i="3"/>
  <c r="K1076" i="3"/>
  <c r="J1076" i="3"/>
  <c r="I1076" i="3"/>
  <c r="H1076" i="3"/>
  <c r="G1076" i="3"/>
  <c r="E1076" i="3"/>
  <c r="C1076" i="3"/>
  <c r="B1076" i="3"/>
  <c r="A1076" i="3"/>
  <c r="R1075" i="3"/>
  <c r="Q1075" i="3"/>
  <c r="P1075" i="3"/>
  <c r="O1075" i="3"/>
  <c r="N1075" i="3"/>
  <c r="M1075" i="3"/>
  <c r="L1075" i="3"/>
  <c r="K1075" i="3"/>
  <c r="J1075" i="3"/>
  <c r="I1075" i="3"/>
  <c r="H1075" i="3"/>
  <c r="G1075" i="3"/>
  <c r="E1075" i="3"/>
  <c r="C1075" i="3"/>
  <c r="B1075" i="3"/>
  <c r="A1075" i="3"/>
  <c r="R1074" i="3"/>
  <c r="Q1074" i="3"/>
  <c r="P1074" i="3"/>
  <c r="O1074" i="3"/>
  <c r="N1074" i="3"/>
  <c r="M1074" i="3"/>
  <c r="L1074" i="3"/>
  <c r="K1074" i="3"/>
  <c r="J1074" i="3"/>
  <c r="I1074" i="3"/>
  <c r="H1074" i="3"/>
  <c r="G1074" i="3"/>
  <c r="E1074" i="3"/>
  <c r="C1074" i="3"/>
  <c r="B1074" i="3"/>
  <c r="A1074" i="3"/>
  <c r="R1073" i="3"/>
  <c r="Q1073" i="3"/>
  <c r="P1073" i="3"/>
  <c r="O1073" i="3"/>
  <c r="N1073" i="3"/>
  <c r="M1073" i="3"/>
  <c r="L1073" i="3"/>
  <c r="K1073" i="3"/>
  <c r="J1073" i="3"/>
  <c r="I1073" i="3"/>
  <c r="H1073" i="3"/>
  <c r="G1073" i="3"/>
  <c r="E1073" i="3"/>
  <c r="C1073" i="3"/>
  <c r="B1073" i="3"/>
  <c r="A1073" i="3"/>
  <c r="R1072" i="3"/>
  <c r="Q1072" i="3"/>
  <c r="P1072" i="3"/>
  <c r="O1072" i="3"/>
  <c r="N1072" i="3"/>
  <c r="M1072" i="3"/>
  <c r="L1072" i="3"/>
  <c r="K1072" i="3"/>
  <c r="J1072" i="3"/>
  <c r="I1072" i="3"/>
  <c r="H1072" i="3"/>
  <c r="G1072" i="3"/>
  <c r="E1072" i="3"/>
  <c r="C1072" i="3"/>
  <c r="T1072" i="3" s="1"/>
  <c r="B1072" i="3"/>
  <c r="A1072" i="3"/>
  <c r="R1071" i="3"/>
  <c r="Q1071" i="3"/>
  <c r="P1071" i="3"/>
  <c r="O1071" i="3"/>
  <c r="N1071" i="3"/>
  <c r="M1071" i="3"/>
  <c r="L1071" i="3"/>
  <c r="K1071" i="3"/>
  <c r="J1071" i="3"/>
  <c r="I1071" i="3"/>
  <c r="H1071" i="3"/>
  <c r="G1071" i="3"/>
  <c r="E1071" i="3"/>
  <c r="C1071" i="3"/>
  <c r="U1071" i="3" s="1"/>
  <c r="B1071" i="3"/>
  <c r="A1071" i="3"/>
  <c r="R1070" i="3"/>
  <c r="Q1070" i="3"/>
  <c r="P1070" i="3"/>
  <c r="O1070" i="3"/>
  <c r="N1070" i="3"/>
  <c r="M1070" i="3"/>
  <c r="L1070" i="3"/>
  <c r="K1070" i="3"/>
  <c r="J1070" i="3"/>
  <c r="I1070" i="3"/>
  <c r="H1070" i="3"/>
  <c r="G1070" i="3"/>
  <c r="E1070" i="3"/>
  <c r="C1070" i="3"/>
  <c r="U1070" i="3" s="1"/>
  <c r="B1070" i="3"/>
  <c r="A1070" i="3"/>
  <c r="R1069" i="3"/>
  <c r="Q1069" i="3"/>
  <c r="P1069" i="3"/>
  <c r="O1069" i="3"/>
  <c r="N1069" i="3"/>
  <c r="M1069" i="3"/>
  <c r="L1069" i="3"/>
  <c r="K1069" i="3"/>
  <c r="J1069" i="3"/>
  <c r="I1069" i="3"/>
  <c r="H1069" i="3"/>
  <c r="G1069" i="3"/>
  <c r="E1069" i="3"/>
  <c r="C1069" i="3"/>
  <c r="B1069" i="3"/>
  <c r="A1069" i="3"/>
  <c r="R1068" i="3"/>
  <c r="Q1068" i="3"/>
  <c r="P1068" i="3"/>
  <c r="O1068" i="3"/>
  <c r="N1068" i="3"/>
  <c r="M1068" i="3"/>
  <c r="L1068" i="3"/>
  <c r="K1068" i="3"/>
  <c r="J1068" i="3"/>
  <c r="I1068" i="3"/>
  <c r="H1068" i="3"/>
  <c r="G1068" i="3"/>
  <c r="E1068" i="3"/>
  <c r="C1068" i="3"/>
  <c r="B1068" i="3"/>
  <c r="A1068" i="3"/>
  <c r="R1067" i="3"/>
  <c r="Q1067" i="3"/>
  <c r="P1067" i="3"/>
  <c r="O1067" i="3"/>
  <c r="N1067" i="3"/>
  <c r="M1067" i="3"/>
  <c r="L1067" i="3"/>
  <c r="K1067" i="3"/>
  <c r="J1067" i="3"/>
  <c r="I1067" i="3"/>
  <c r="H1067" i="3"/>
  <c r="G1067" i="3"/>
  <c r="E1067" i="3"/>
  <c r="C1067" i="3"/>
  <c r="B1067" i="3"/>
  <c r="A1067" i="3"/>
  <c r="R1066" i="3"/>
  <c r="Q1066" i="3"/>
  <c r="P1066" i="3"/>
  <c r="O1066" i="3"/>
  <c r="N1066" i="3"/>
  <c r="M1066" i="3"/>
  <c r="L1066" i="3"/>
  <c r="K1066" i="3"/>
  <c r="J1066" i="3"/>
  <c r="I1066" i="3"/>
  <c r="H1066" i="3"/>
  <c r="G1066" i="3"/>
  <c r="E1066" i="3"/>
  <c r="C1066" i="3"/>
  <c r="B1066" i="3"/>
  <c r="A1066" i="3"/>
  <c r="R1065" i="3"/>
  <c r="Q1065" i="3"/>
  <c r="P1065" i="3"/>
  <c r="O1065" i="3"/>
  <c r="N1065" i="3"/>
  <c r="M1065" i="3"/>
  <c r="L1065" i="3"/>
  <c r="K1065" i="3"/>
  <c r="J1065" i="3"/>
  <c r="I1065" i="3"/>
  <c r="H1065" i="3"/>
  <c r="G1065" i="3"/>
  <c r="E1065" i="3"/>
  <c r="C1065" i="3"/>
  <c r="B1065" i="3"/>
  <c r="A1065" i="3"/>
  <c r="R1064" i="3"/>
  <c r="Q1064" i="3"/>
  <c r="P1064" i="3"/>
  <c r="O1064" i="3"/>
  <c r="N1064" i="3"/>
  <c r="M1064" i="3"/>
  <c r="L1064" i="3"/>
  <c r="K1064" i="3"/>
  <c r="J1064" i="3"/>
  <c r="I1064" i="3"/>
  <c r="H1064" i="3"/>
  <c r="G1064" i="3"/>
  <c r="E1064" i="3"/>
  <c r="C1064" i="3"/>
  <c r="T1064" i="3" s="1"/>
  <c r="B1064" i="3"/>
  <c r="A1064" i="3"/>
  <c r="R1063" i="3"/>
  <c r="Q1063" i="3"/>
  <c r="P1063" i="3"/>
  <c r="O1063" i="3"/>
  <c r="N1063" i="3"/>
  <c r="M1063" i="3"/>
  <c r="L1063" i="3"/>
  <c r="K1063" i="3"/>
  <c r="J1063" i="3"/>
  <c r="I1063" i="3"/>
  <c r="H1063" i="3"/>
  <c r="G1063" i="3"/>
  <c r="E1063" i="3"/>
  <c r="C1063" i="3"/>
  <c r="T1063" i="3" s="1"/>
  <c r="B1063" i="3"/>
  <c r="A1063" i="3"/>
  <c r="R1062" i="3"/>
  <c r="Q1062" i="3"/>
  <c r="P1062" i="3"/>
  <c r="O1062" i="3"/>
  <c r="N1062" i="3"/>
  <c r="M1062" i="3"/>
  <c r="L1062" i="3"/>
  <c r="K1062" i="3"/>
  <c r="J1062" i="3"/>
  <c r="I1062" i="3"/>
  <c r="H1062" i="3"/>
  <c r="G1062" i="3"/>
  <c r="E1062" i="3"/>
  <c r="C1062" i="3"/>
  <c r="B1062" i="3"/>
  <c r="A1062" i="3"/>
  <c r="R1061" i="3"/>
  <c r="Q1061" i="3"/>
  <c r="P1061" i="3"/>
  <c r="O1061" i="3"/>
  <c r="N1061" i="3"/>
  <c r="M1061" i="3"/>
  <c r="L1061" i="3"/>
  <c r="K1061" i="3"/>
  <c r="J1061" i="3"/>
  <c r="I1061" i="3"/>
  <c r="H1061" i="3"/>
  <c r="G1061" i="3"/>
  <c r="E1061" i="3"/>
  <c r="C1061" i="3"/>
  <c r="B1061" i="3"/>
  <c r="A1061" i="3"/>
  <c r="R1060" i="3"/>
  <c r="Q1060" i="3"/>
  <c r="P1060" i="3"/>
  <c r="O1060" i="3"/>
  <c r="N1060" i="3"/>
  <c r="M1060" i="3"/>
  <c r="L1060" i="3"/>
  <c r="K1060" i="3"/>
  <c r="J1060" i="3"/>
  <c r="I1060" i="3"/>
  <c r="H1060" i="3"/>
  <c r="G1060" i="3"/>
  <c r="E1060" i="3"/>
  <c r="C1060" i="3"/>
  <c r="B1060" i="3"/>
  <c r="A1060" i="3"/>
  <c r="R1059" i="3"/>
  <c r="Q1059" i="3"/>
  <c r="P1059" i="3"/>
  <c r="O1059" i="3"/>
  <c r="N1059" i="3"/>
  <c r="M1059" i="3"/>
  <c r="L1059" i="3"/>
  <c r="K1059" i="3"/>
  <c r="J1059" i="3"/>
  <c r="I1059" i="3"/>
  <c r="H1059" i="3"/>
  <c r="G1059" i="3"/>
  <c r="E1059" i="3"/>
  <c r="C1059" i="3"/>
  <c r="B1059" i="3"/>
  <c r="A1059" i="3"/>
  <c r="R1058" i="3"/>
  <c r="Q1058" i="3"/>
  <c r="P1058" i="3"/>
  <c r="O1058" i="3"/>
  <c r="N1058" i="3"/>
  <c r="M1058" i="3"/>
  <c r="L1058" i="3"/>
  <c r="K1058" i="3"/>
  <c r="J1058" i="3"/>
  <c r="I1058" i="3"/>
  <c r="H1058" i="3"/>
  <c r="G1058" i="3"/>
  <c r="E1058" i="3"/>
  <c r="C1058" i="3"/>
  <c r="B1058" i="3"/>
  <c r="A1058" i="3"/>
  <c r="R1057" i="3"/>
  <c r="Q1057" i="3"/>
  <c r="P1057" i="3"/>
  <c r="O1057" i="3"/>
  <c r="N1057" i="3"/>
  <c r="M1057" i="3"/>
  <c r="L1057" i="3"/>
  <c r="K1057" i="3"/>
  <c r="J1057" i="3"/>
  <c r="I1057" i="3"/>
  <c r="H1057" i="3"/>
  <c r="G1057" i="3"/>
  <c r="E1057" i="3"/>
  <c r="C1057" i="3"/>
  <c r="B1057" i="3"/>
  <c r="A1057" i="3"/>
  <c r="R1056" i="3"/>
  <c r="Q1056" i="3"/>
  <c r="P1056" i="3"/>
  <c r="O1056" i="3"/>
  <c r="N1056" i="3"/>
  <c r="M1056" i="3"/>
  <c r="L1056" i="3"/>
  <c r="K1056" i="3"/>
  <c r="J1056" i="3"/>
  <c r="I1056" i="3"/>
  <c r="H1056" i="3"/>
  <c r="G1056" i="3"/>
  <c r="E1056" i="3"/>
  <c r="C1056" i="3"/>
  <c r="T1056" i="3" s="1"/>
  <c r="B1056" i="3"/>
  <c r="A1056" i="3"/>
  <c r="R1055" i="3"/>
  <c r="Q1055" i="3"/>
  <c r="P1055" i="3"/>
  <c r="O1055" i="3"/>
  <c r="N1055" i="3"/>
  <c r="M1055" i="3"/>
  <c r="L1055" i="3"/>
  <c r="K1055" i="3"/>
  <c r="J1055" i="3"/>
  <c r="I1055" i="3"/>
  <c r="H1055" i="3"/>
  <c r="G1055" i="3"/>
  <c r="E1055" i="3"/>
  <c r="C1055" i="3"/>
  <c r="T1055" i="3" s="1"/>
  <c r="B1055" i="3"/>
  <c r="A1055" i="3"/>
  <c r="R1054" i="3"/>
  <c r="Q1054" i="3"/>
  <c r="P1054" i="3"/>
  <c r="O1054" i="3"/>
  <c r="N1054" i="3"/>
  <c r="M1054" i="3"/>
  <c r="L1054" i="3"/>
  <c r="K1054" i="3"/>
  <c r="J1054" i="3"/>
  <c r="I1054" i="3"/>
  <c r="H1054" i="3"/>
  <c r="G1054" i="3"/>
  <c r="E1054" i="3"/>
  <c r="C1054" i="3"/>
  <c r="B1054" i="3"/>
  <c r="A1054" i="3"/>
  <c r="R1053" i="3"/>
  <c r="Q1053" i="3"/>
  <c r="P1053" i="3"/>
  <c r="O1053" i="3"/>
  <c r="N1053" i="3"/>
  <c r="M1053" i="3"/>
  <c r="L1053" i="3"/>
  <c r="K1053" i="3"/>
  <c r="J1053" i="3"/>
  <c r="I1053" i="3"/>
  <c r="H1053" i="3"/>
  <c r="G1053" i="3"/>
  <c r="E1053" i="3"/>
  <c r="C1053" i="3"/>
  <c r="B1053" i="3"/>
  <c r="A1053" i="3"/>
  <c r="R1052" i="3"/>
  <c r="Q1052" i="3"/>
  <c r="P1052" i="3"/>
  <c r="O1052" i="3"/>
  <c r="N1052" i="3"/>
  <c r="M1052" i="3"/>
  <c r="L1052" i="3"/>
  <c r="K1052" i="3"/>
  <c r="J1052" i="3"/>
  <c r="I1052" i="3"/>
  <c r="H1052" i="3"/>
  <c r="G1052" i="3"/>
  <c r="E1052" i="3"/>
  <c r="C1052" i="3"/>
  <c r="B1052" i="3"/>
  <c r="A1052" i="3"/>
  <c r="R1051" i="3"/>
  <c r="Q1051" i="3"/>
  <c r="P1051" i="3"/>
  <c r="O1051" i="3"/>
  <c r="N1051" i="3"/>
  <c r="M1051" i="3"/>
  <c r="L1051" i="3"/>
  <c r="K1051" i="3"/>
  <c r="J1051" i="3"/>
  <c r="I1051" i="3"/>
  <c r="H1051" i="3"/>
  <c r="G1051" i="3"/>
  <c r="E1051" i="3"/>
  <c r="C1051" i="3"/>
  <c r="B1051" i="3"/>
  <c r="A1051" i="3"/>
  <c r="R1050" i="3"/>
  <c r="Q1050" i="3"/>
  <c r="P1050" i="3"/>
  <c r="O1050" i="3"/>
  <c r="N1050" i="3"/>
  <c r="M1050" i="3"/>
  <c r="L1050" i="3"/>
  <c r="K1050" i="3"/>
  <c r="J1050" i="3"/>
  <c r="I1050" i="3"/>
  <c r="H1050" i="3"/>
  <c r="G1050" i="3"/>
  <c r="E1050" i="3"/>
  <c r="C1050" i="3"/>
  <c r="B1050" i="3"/>
  <c r="A1050" i="3"/>
  <c r="R1049" i="3"/>
  <c r="Q1049" i="3"/>
  <c r="P1049" i="3"/>
  <c r="O1049" i="3"/>
  <c r="N1049" i="3"/>
  <c r="M1049" i="3"/>
  <c r="L1049" i="3"/>
  <c r="K1049" i="3"/>
  <c r="J1049" i="3"/>
  <c r="I1049" i="3"/>
  <c r="H1049" i="3"/>
  <c r="G1049" i="3"/>
  <c r="E1049" i="3"/>
  <c r="C1049" i="3"/>
  <c r="B1049" i="3"/>
  <c r="A1049" i="3"/>
  <c r="R1048" i="3"/>
  <c r="Q1048" i="3"/>
  <c r="P1048" i="3"/>
  <c r="O1048" i="3"/>
  <c r="N1048" i="3"/>
  <c r="M1048" i="3"/>
  <c r="L1048" i="3"/>
  <c r="K1048" i="3"/>
  <c r="J1048" i="3"/>
  <c r="I1048" i="3"/>
  <c r="H1048" i="3"/>
  <c r="G1048" i="3"/>
  <c r="E1048" i="3"/>
  <c r="C1048" i="3"/>
  <c r="T1048" i="3" s="1"/>
  <c r="B1048" i="3"/>
  <c r="A1048" i="3"/>
  <c r="R1047" i="3"/>
  <c r="Q1047" i="3"/>
  <c r="P1047" i="3"/>
  <c r="O1047" i="3"/>
  <c r="N1047" i="3"/>
  <c r="M1047" i="3"/>
  <c r="L1047" i="3"/>
  <c r="K1047" i="3"/>
  <c r="J1047" i="3"/>
  <c r="I1047" i="3"/>
  <c r="H1047" i="3"/>
  <c r="G1047" i="3"/>
  <c r="E1047" i="3"/>
  <c r="C1047" i="3"/>
  <c r="T1047" i="3" s="1"/>
  <c r="B1047" i="3"/>
  <c r="A1047" i="3"/>
  <c r="R1046" i="3"/>
  <c r="Q1046" i="3"/>
  <c r="P1046" i="3"/>
  <c r="O1046" i="3"/>
  <c r="N1046" i="3"/>
  <c r="M1046" i="3"/>
  <c r="L1046" i="3"/>
  <c r="K1046" i="3"/>
  <c r="J1046" i="3"/>
  <c r="I1046" i="3"/>
  <c r="H1046" i="3"/>
  <c r="G1046" i="3"/>
  <c r="E1046" i="3"/>
  <c r="C1046" i="3"/>
  <c r="B1046" i="3"/>
  <c r="A1046" i="3"/>
  <c r="R1045" i="3"/>
  <c r="Q1045" i="3"/>
  <c r="P1045" i="3"/>
  <c r="O1045" i="3"/>
  <c r="N1045" i="3"/>
  <c r="M1045" i="3"/>
  <c r="L1045" i="3"/>
  <c r="K1045" i="3"/>
  <c r="J1045" i="3"/>
  <c r="I1045" i="3"/>
  <c r="H1045" i="3"/>
  <c r="G1045" i="3"/>
  <c r="E1045" i="3"/>
  <c r="C1045" i="3"/>
  <c r="B1045" i="3"/>
  <c r="A1045" i="3"/>
  <c r="R1044" i="3"/>
  <c r="Q1044" i="3"/>
  <c r="P1044" i="3"/>
  <c r="O1044" i="3"/>
  <c r="N1044" i="3"/>
  <c r="M1044" i="3"/>
  <c r="L1044" i="3"/>
  <c r="K1044" i="3"/>
  <c r="J1044" i="3"/>
  <c r="I1044" i="3"/>
  <c r="H1044" i="3"/>
  <c r="G1044" i="3"/>
  <c r="E1044" i="3"/>
  <c r="C1044" i="3"/>
  <c r="B1044" i="3"/>
  <c r="A1044" i="3"/>
  <c r="R1043" i="3"/>
  <c r="Q1043" i="3"/>
  <c r="P1043" i="3"/>
  <c r="O1043" i="3"/>
  <c r="N1043" i="3"/>
  <c r="M1043" i="3"/>
  <c r="L1043" i="3"/>
  <c r="K1043" i="3"/>
  <c r="J1043" i="3"/>
  <c r="I1043" i="3"/>
  <c r="H1043" i="3"/>
  <c r="G1043" i="3"/>
  <c r="E1043" i="3"/>
  <c r="C1043" i="3"/>
  <c r="B1043" i="3"/>
  <c r="A1043" i="3"/>
  <c r="R1042" i="3"/>
  <c r="Q1042" i="3"/>
  <c r="P1042" i="3"/>
  <c r="O1042" i="3"/>
  <c r="N1042" i="3"/>
  <c r="M1042" i="3"/>
  <c r="L1042" i="3"/>
  <c r="K1042" i="3"/>
  <c r="J1042" i="3"/>
  <c r="I1042" i="3"/>
  <c r="H1042" i="3"/>
  <c r="G1042" i="3"/>
  <c r="E1042" i="3"/>
  <c r="C1042" i="3"/>
  <c r="B1042" i="3"/>
  <c r="A1042" i="3"/>
  <c r="R1041" i="3"/>
  <c r="Q1041" i="3"/>
  <c r="P1041" i="3"/>
  <c r="O1041" i="3"/>
  <c r="N1041" i="3"/>
  <c r="M1041" i="3"/>
  <c r="L1041" i="3"/>
  <c r="K1041" i="3"/>
  <c r="J1041" i="3"/>
  <c r="I1041" i="3"/>
  <c r="H1041" i="3"/>
  <c r="G1041" i="3"/>
  <c r="E1041" i="3"/>
  <c r="C1041" i="3"/>
  <c r="B1041" i="3"/>
  <c r="A1041" i="3"/>
  <c r="R1040" i="3"/>
  <c r="Q1040" i="3"/>
  <c r="P1040" i="3"/>
  <c r="O1040" i="3"/>
  <c r="N1040" i="3"/>
  <c r="M1040" i="3"/>
  <c r="L1040" i="3"/>
  <c r="K1040" i="3"/>
  <c r="J1040" i="3"/>
  <c r="I1040" i="3"/>
  <c r="H1040" i="3"/>
  <c r="G1040" i="3"/>
  <c r="E1040" i="3"/>
  <c r="C1040" i="3"/>
  <c r="T1040" i="3" s="1"/>
  <c r="B1040" i="3"/>
  <c r="A1040" i="3"/>
  <c r="R1039" i="3"/>
  <c r="Q1039" i="3"/>
  <c r="P1039" i="3"/>
  <c r="O1039" i="3"/>
  <c r="N1039" i="3"/>
  <c r="M1039" i="3"/>
  <c r="L1039" i="3"/>
  <c r="K1039" i="3"/>
  <c r="J1039" i="3"/>
  <c r="I1039" i="3"/>
  <c r="H1039" i="3"/>
  <c r="G1039" i="3"/>
  <c r="E1039" i="3"/>
  <c r="C1039" i="3"/>
  <c r="T1039" i="3" s="1"/>
  <c r="B1039" i="3"/>
  <c r="A1039" i="3"/>
  <c r="R1038" i="3"/>
  <c r="Q1038" i="3"/>
  <c r="P1038" i="3"/>
  <c r="O1038" i="3"/>
  <c r="N1038" i="3"/>
  <c r="M1038" i="3"/>
  <c r="L1038" i="3"/>
  <c r="K1038" i="3"/>
  <c r="J1038" i="3"/>
  <c r="I1038" i="3"/>
  <c r="H1038" i="3"/>
  <c r="G1038" i="3"/>
  <c r="E1038" i="3"/>
  <c r="C1038" i="3"/>
  <c r="U1038" i="3" s="1"/>
  <c r="B1038" i="3"/>
  <c r="A1038" i="3"/>
  <c r="R1037" i="3"/>
  <c r="Q1037" i="3"/>
  <c r="P1037" i="3"/>
  <c r="O1037" i="3"/>
  <c r="N1037" i="3"/>
  <c r="M1037" i="3"/>
  <c r="L1037" i="3"/>
  <c r="K1037" i="3"/>
  <c r="J1037" i="3"/>
  <c r="I1037" i="3"/>
  <c r="H1037" i="3"/>
  <c r="G1037" i="3"/>
  <c r="E1037" i="3"/>
  <c r="C1037" i="3"/>
  <c r="B1037" i="3"/>
  <c r="A1037" i="3"/>
  <c r="R1036" i="3"/>
  <c r="Q1036" i="3"/>
  <c r="P1036" i="3"/>
  <c r="O1036" i="3"/>
  <c r="N1036" i="3"/>
  <c r="M1036" i="3"/>
  <c r="L1036" i="3"/>
  <c r="K1036" i="3"/>
  <c r="J1036" i="3"/>
  <c r="I1036" i="3"/>
  <c r="H1036" i="3"/>
  <c r="G1036" i="3"/>
  <c r="E1036" i="3"/>
  <c r="C1036" i="3"/>
  <c r="B1036" i="3"/>
  <c r="A1036" i="3"/>
  <c r="R1035" i="3"/>
  <c r="Q1035" i="3"/>
  <c r="P1035" i="3"/>
  <c r="O1035" i="3"/>
  <c r="N1035" i="3"/>
  <c r="M1035" i="3"/>
  <c r="L1035" i="3"/>
  <c r="K1035" i="3"/>
  <c r="J1035" i="3"/>
  <c r="I1035" i="3"/>
  <c r="H1035" i="3"/>
  <c r="G1035" i="3"/>
  <c r="E1035" i="3"/>
  <c r="C1035" i="3"/>
  <c r="B1035" i="3"/>
  <c r="A1035" i="3"/>
  <c r="R1034" i="3"/>
  <c r="Q1034" i="3"/>
  <c r="P1034" i="3"/>
  <c r="O1034" i="3"/>
  <c r="N1034" i="3"/>
  <c r="M1034" i="3"/>
  <c r="L1034" i="3"/>
  <c r="K1034" i="3"/>
  <c r="J1034" i="3"/>
  <c r="I1034" i="3"/>
  <c r="H1034" i="3"/>
  <c r="G1034" i="3"/>
  <c r="E1034" i="3"/>
  <c r="C1034" i="3"/>
  <c r="B1034" i="3"/>
  <c r="A1034" i="3"/>
  <c r="R1033" i="3"/>
  <c r="Q1033" i="3"/>
  <c r="P1033" i="3"/>
  <c r="O1033" i="3"/>
  <c r="N1033" i="3"/>
  <c r="M1033" i="3"/>
  <c r="L1033" i="3"/>
  <c r="K1033" i="3"/>
  <c r="J1033" i="3"/>
  <c r="I1033" i="3"/>
  <c r="H1033" i="3"/>
  <c r="G1033" i="3"/>
  <c r="E1033" i="3"/>
  <c r="C1033" i="3"/>
  <c r="B1033" i="3"/>
  <c r="A1033" i="3"/>
  <c r="R1032" i="3"/>
  <c r="Q1032" i="3"/>
  <c r="P1032" i="3"/>
  <c r="O1032" i="3"/>
  <c r="N1032" i="3"/>
  <c r="M1032" i="3"/>
  <c r="L1032" i="3"/>
  <c r="K1032" i="3"/>
  <c r="J1032" i="3"/>
  <c r="I1032" i="3"/>
  <c r="H1032" i="3"/>
  <c r="G1032" i="3"/>
  <c r="E1032" i="3"/>
  <c r="C1032" i="3"/>
  <c r="T1032" i="3" s="1"/>
  <c r="B1032" i="3"/>
  <c r="A1032" i="3"/>
  <c r="R1031" i="3"/>
  <c r="Q1031" i="3"/>
  <c r="P1031" i="3"/>
  <c r="O1031" i="3"/>
  <c r="N1031" i="3"/>
  <c r="M1031" i="3"/>
  <c r="L1031" i="3"/>
  <c r="K1031" i="3"/>
  <c r="J1031" i="3"/>
  <c r="I1031" i="3"/>
  <c r="H1031" i="3"/>
  <c r="G1031" i="3"/>
  <c r="E1031" i="3"/>
  <c r="C1031" i="3"/>
  <c r="T1031" i="3" s="1"/>
  <c r="B1031" i="3"/>
  <c r="A1031" i="3"/>
  <c r="R1030" i="3"/>
  <c r="Q1030" i="3"/>
  <c r="P1030" i="3"/>
  <c r="O1030" i="3"/>
  <c r="N1030" i="3"/>
  <c r="M1030" i="3"/>
  <c r="L1030" i="3"/>
  <c r="K1030" i="3"/>
  <c r="J1030" i="3"/>
  <c r="I1030" i="3"/>
  <c r="H1030" i="3"/>
  <c r="G1030" i="3"/>
  <c r="E1030" i="3"/>
  <c r="C1030" i="3"/>
  <c r="B1030" i="3"/>
  <c r="A1030" i="3"/>
  <c r="R1029" i="3"/>
  <c r="Q1029" i="3"/>
  <c r="P1029" i="3"/>
  <c r="O1029" i="3"/>
  <c r="N1029" i="3"/>
  <c r="M1029" i="3"/>
  <c r="L1029" i="3"/>
  <c r="K1029" i="3"/>
  <c r="J1029" i="3"/>
  <c r="I1029" i="3"/>
  <c r="H1029" i="3"/>
  <c r="G1029" i="3"/>
  <c r="E1029" i="3"/>
  <c r="C1029" i="3"/>
  <c r="B1029" i="3"/>
  <c r="A1029" i="3"/>
  <c r="R1028" i="3"/>
  <c r="Q1028" i="3"/>
  <c r="P1028" i="3"/>
  <c r="O1028" i="3"/>
  <c r="N1028" i="3"/>
  <c r="M1028" i="3"/>
  <c r="L1028" i="3"/>
  <c r="K1028" i="3"/>
  <c r="J1028" i="3"/>
  <c r="I1028" i="3"/>
  <c r="H1028" i="3"/>
  <c r="G1028" i="3"/>
  <c r="E1028" i="3"/>
  <c r="C1028" i="3"/>
  <c r="B1028" i="3"/>
  <c r="A1028" i="3"/>
  <c r="R1027" i="3"/>
  <c r="Q1027" i="3"/>
  <c r="P1027" i="3"/>
  <c r="O1027" i="3"/>
  <c r="N1027" i="3"/>
  <c r="M1027" i="3"/>
  <c r="L1027" i="3"/>
  <c r="K1027" i="3"/>
  <c r="J1027" i="3"/>
  <c r="I1027" i="3"/>
  <c r="H1027" i="3"/>
  <c r="G1027" i="3"/>
  <c r="E1027" i="3"/>
  <c r="C1027" i="3"/>
  <c r="B1027" i="3"/>
  <c r="A1027" i="3"/>
  <c r="R1026" i="3"/>
  <c r="Q1026" i="3"/>
  <c r="P1026" i="3"/>
  <c r="O1026" i="3"/>
  <c r="N1026" i="3"/>
  <c r="M1026" i="3"/>
  <c r="L1026" i="3"/>
  <c r="K1026" i="3"/>
  <c r="J1026" i="3"/>
  <c r="I1026" i="3"/>
  <c r="H1026" i="3"/>
  <c r="G1026" i="3"/>
  <c r="E1026" i="3"/>
  <c r="C1026" i="3"/>
  <c r="B1026" i="3"/>
  <c r="A1026" i="3"/>
  <c r="R1025" i="3"/>
  <c r="Q1025" i="3"/>
  <c r="P1025" i="3"/>
  <c r="O1025" i="3"/>
  <c r="N1025" i="3"/>
  <c r="M1025" i="3"/>
  <c r="L1025" i="3"/>
  <c r="K1025" i="3"/>
  <c r="J1025" i="3"/>
  <c r="I1025" i="3"/>
  <c r="H1025" i="3"/>
  <c r="G1025" i="3"/>
  <c r="E1025" i="3"/>
  <c r="C1025" i="3"/>
  <c r="B1025" i="3"/>
  <c r="A1025" i="3"/>
  <c r="R1024" i="3"/>
  <c r="Q1024" i="3"/>
  <c r="P1024" i="3"/>
  <c r="O1024" i="3"/>
  <c r="N1024" i="3"/>
  <c r="M1024" i="3"/>
  <c r="L1024" i="3"/>
  <c r="K1024" i="3"/>
  <c r="J1024" i="3"/>
  <c r="I1024" i="3"/>
  <c r="H1024" i="3"/>
  <c r="G1024" i="3"/>
  <c r="E1024" i="3"/>
  <c r="C1024" i="3"/>
  <c r="T1024" i="3" s="1"/>
  <c r="B1024" i="3"/>
  <c r="A1024" i="3"/>
  <c r="R1023" i="3"/>
  <c r="Q1023" i="3"/>
  <c r="P1023" i="3"/>
  <c r="O1023" i="3"/>
  <c r="N1023" i="3"/>
  <c r="M1023" i="3"/>
  <c r="L1023" i="3"/>
  <c r="K1023" i="3"/>
  <c r="J1023" i="3"/>
  <c r="I1023" i="3"/>
  <c r="H1023" i="3"/>
  <c r="G1023" i="3"/>
  <c r="E1023" i="3"/>
  <c r="C1023" i="3"/>
  <c r="T1023" i="3" s="1"/>
  <c r="B1023" i="3"/>
  <c r="A1023" i="3"/>
  <c r="R1022" i="3"/>
  <c r="Q1022" i="3"/>
  <c r="P1022" i="3"/>
  <c r="O1022" i="3"/>
  <c r="N1022" i="3"/>
  <c r="M1022" i="3"/>
  <c r="L1022" i="3"/>
  <c r="K1022" i="3"/>
  <c r="J1022" i="3"/>
  <c r="I1022" i="3"/>
  <c r="H1022" i="3"/>
  <c r="G1022" i="3"/>
  <c r="E1022" i="3"/>
  <c r="C1022" i="3"/>
  <c r="B1022" i="3"/>
  <c r="A1022" i="3"/>
  <c r="R1021" i="3"/>
  <c r="Q1021" i="3"/>
  <c r="P1021" i="3"/>
  <c r="O1021" i="3"/>
  <c r="N1021" i="3"/>
  <c r="M1021" i="3"/>
  <c r="L1021" i="3"/>
  <c r="K1021" i="3"/>
  <c r="J1021" i="3"/>
  <c r="I1021" i="3"/>
  <c r="H1021" i="3"/>
  <c r="G1021" i="3"/>
  <c r="E1021" i="3"/>
  <c r="C1021" i="3"/>
  <c r="B1021" i="3"/>
  <c r="A1021" i="3"/>
  <c r="R1020" i="3"/>
  <c r="Q1020" i="3"/>
  <c r="P1020" i="3"/>
  <c r="O1020" i="3"/>
  <c r="N1020" i="3"/>
  <c r="M1020" i="3"/>
  <c r="L1020" i="3"/>
  <c r="K1020" i="3"/>
  <c r="J1020" i="3"/>
  <c r="I1020" i="3"/>
  <c r="H1020" i="3"/>
  <c r="G1020" i="3"/>
  <c r="E1020" i="3"/>
  <c r="C1020" i="3"/>
  <c r="B1020" i="3"/>
  <c r="A1020" i="3"/>
  <c r="R1019" i="3"/>
  <c r="Q1019" i="3"/>
  <c r="P1019" i="3"/>
  <c r="O1019" i="3"/>
  <c r="N1019" i="3"/>
  <c r="M1019" i="3"/>
  <c r="L1019" i="3"/>
  <c r="K1019" i="3"/>
  <c r="J1019" i="3"/>
  <c r="I1019" i="3"/>
  <c r="H1019" i="3"/>
  <c r="G1019" i="3"/>
  <c r="E1019" i="3"/>
  <c r="C1019" i="3"/>
  <c r="B1019" i="3"/>
  <c r="A1019" i="3"/>
  <c r="R1018" i="3"/>
  <c r="Q1018" i="3"/>
  <c r="P1018" i="3"/>
  <c r="O1018" i="3"/>
  <c r="N1018" i="3"/>
  <c r="M1018" i="3"/>
  <c r="L1018" i="3"/>
  <c r="K1018" i="3"/>
  <c r="J1018" i="3"/>
  <c r="I1018" i="3"/>
  <c r="H1018" i="3"/>
  <c r="G1018" i="3"/>
  <c r="E1018" i="3"/>
  <c r="C1018" i="3"/>
  <c r="B1018" i="3"/>
  <c r="A1018" i="3"/>
  <c r="R1017" i="3"/>
  <c r="Q1017" i="3"/>
  <c r="P1017" i="3"/>
  <c r="O1017" i="3"/>
  <c r="N1017" i="3"/>
  <c r="M1017" i="3"/>
  <c r="L1017" i="3"/>
  <c r="K1017" i="3"/>
  <c r="J1017" i="3"/>
  <c r="I1017" i="3"/>
  <c r="H1017" i="3"/>
  <c r="G1017" i="3"/>
  <c r="E1017" i="3"/>
  <c r="C1017" i="3"/>
  <c r="B1017" i="3"/>
  <c r="A1017" i="3"/>
  <c r="R1016" i="3"/>
  <c r="Q1016" i="3"/>
  <c r="P1016" i="3"/>
  <c r="O1016" i="3"/>
  <c r="N1016" i="3"/>
  <c r="M1016" i="3"/>
  <c r="L1016" i="3"/>
  <c r="K1016" i="3"/>
  <c r="J1016" i="3"/>
  <c r="I1016" i="3"/>
  <c r="H1016" i="3"/>
  <c r="G1016" i="3"/>
  <c r="E1016" i="3"/>
  <c r="C1016" i="3"/>
  <c r="T1016" i="3" s="1"/>
  <c r="B1016" i="3"/>
  <c r="A1016" i="3"/>
  <c r="R1015" i="3"/>
  <c r="Q1015" i="3"/>
  <c r="P1015" i="3"/>
  <c r="O1015" i="3"/>
  <c r="N1015" i="3"/>
  <c r="M1015" i="3"/>
  <c r="L1015" i="3"/>
  <c r="K1015" i="3"/>
  <c r="J1015" i="3"/>
  <c r="I1015" i="3"/>
  <c r="H1015" i="3"/>
  <c r="G1015" i="3"/>
  <c r="E1015" i="3"/>
  <c r="C1015" i="3"/>
  <c r="T1015" i="3" s="1"/>
  <c r="B1015" i="3"/>
  <c r="A1015" i="3"/>
  <c r="R1014" i="3"/>
  <c r="Q1014" i="3"/>
  <c r="P1014" i="3"/>
  <c r="O1014" i="3"/>
  <c r="N1014" i="3"/>
  <c r="M1014" i="3"/>
  <c r="L1014" i="3"/>
  <c r="K1014" i="3"/>
  <c r="J1014" i="3"/>
  <c r="I1014" i="3"/>
  <c r="H1014" i="3"/>
  <c r="G1014" i="3"/>
  <c r="E1014" i="3"/>
  <c r="C1014" i="3"/>
  <c r="B1014" i="3"/>
  <c r="A1014" i="3"/>
  <c r="R1013" i="3"/>
  <c r="Q1013" i="3"/>
  <c r="P1013" i="3"/>
  <c r="O1013" i="3"/>
  <c r="N1013" i="3"/>
  <c r="M1013" i="3"/>
  <c r="L1013" i="3"/>
  <c r="K1013" i="3"/>
  <c r="J1013" i="3"/>
  <c r="I1013" i="3"/>
  <c r="H1013" i="3"/>
  <c r="G1013" i="3"/>
  <c r="E1013" i="3"/>
  <c r="C1013" i="3"/>
  <c r="B1013" i="3"/>
  <c r="A1013" i="3"/>
  <c r="R1012" i="3"/>
  <c r="Q1012" i="3"/>
  <c r="P1012" i="3"/>
  <c r="O1012" i="3"/>
  <c r="N1012" i="3"/>
  <c r="M1012" i="3"/>
  <c r="L1012" i="3"/>
  <c r="K1012" i="3"/>
  <c r="J1012" i="3"/>
  <c r="I1012" i="3"/>
  <c r="H1012" i="3"/>
  <c r="G1012" i="3"/>
  <c r="E1012" i="3"/>
  <c r="C1012" i="3"/>
  <c r="B1012" i="3"/>
  <c r="A1012" i="3"/>
  <c r="R1011" i="3"/>
  <c r="Q1011" i="3"/>
  <c r="P1011" i="3"/>
  <c r="O1011" i="3"/>
  <c r="N1011" i="3"/>
  <c r="M1011" i="3"/>
  <c r="L1011" i="3"/>
  <c r="K1011" i="3"/>
  <c r="J1011" i="3"/>
  <c r="I1011" i="3"/>
  <c r="H1011" i="3"/>
  <c r="G1011" i="3"/>
  <c r="E1011" i="3"/>
  <c r="C1011" i="3"/>
  <c r="B1011" i="3"/>
  <c r="A1011" i="3"/>
  <c r="R1010" i="3"/>
  <c r="Q1010" i="3"/>
  <c r="P1010" i="3"/>
  <c r="O1010" i="3"/>
  <c r="N1010" i="3"/>
  <c r="M1010" i="3"/>
  <c r="L1010" i="3"/>
  <c r="K1010" i="3"/>
  <c r="J1010" i="3"/>
  <c r="I1010" i="3"/>
  <c r="H1010" i="3"/>
  <c r="G1010" i="3"/>
  <c r="E1010" i="3"/>
  <c r="C1010" i="3"/>
  <c r="B1010" i="3"/>
  <c r="A1010" i="3"/>
  <c r="R1009" i="3"/>
  <c r="Q1009" i="3"/>
  <c r="P1009" i="3"/>
  <c r="O1009" i="3"/>
  <c r="N1009" i="3"/>
  <c r="M1009" i="3"/>
  <c r="L1009" i="3"/>
  <c r="K1009" i="3"/>
  <c r="J1009" i="3"/>
  <c r="I1009" i="3"/>
  <c r="H1009" i="3"/>
  <c r="G1009" i="3"/>
  <c r="E1009" i="3"/>
  <c r="C1009" i="3"/>
  <c r="B1009" i="3"/>
  <c r="A1009" i="3"/>
  <c r="R1008" i="3"/>
  <c r="Q1008" i="3"/>
  <c r="P1008" i="3"/>
  <c r="O1008" i="3"/>
  <c r="N1008" i="3"/>
  <c r="M1008" i="3"/>
  <c r="L1008" i="3"/>
  <c r="K1008" i="3"/>
  <c r="J1008" i="3"/>
  <c r="I1008" i="3"/>
  <c r="H1008" i="3"/>
  <c r="G1008" i="3"/>
  <c r="E1008" i="3"/>
  <c r="C1008" i="3"/>
  <c r="T1008" i="3" s="1"/>
  <c r="B1008" i="3"/>
  <c r="A1008" i="3"/>
  <c r="R1007" i="3"/>
  <c r="Q1007" i="3"/>
  <c r="P1007" i="3"/>
  <c r="O1007" i="3"/>
  <c r="N1007" i="3"/>
  <c r="M1007" i="3"/>
  <c r="L1007" i="3"/>
  <c r="K1007" i="3"/>
  <c r="J1007" i="3"/>
  <c r="I1007" i="3"/>
  <c r="H1007" i="3"/>
  <c r="G1007" i="3"/>
  <c r="E1007" i="3"/>
  <c r="C1007" i="3"/>
  <c r="T1007" i="3" s="1"/>
  <c r="B1007" i="3"/>
  <c r="A1007" i="3"/>
  <c r="R1006" i="3"/>
  <c r="Q1006" i="3"/>
  <c r="P1006" i="3"/>
  <c r="O1006" i="3"/>
  <c r="N1006" i="3"/>
  <c r="M1006" i="3"/>
  <c r="L1006" i="3"/>
  <c r="K1006" i="3"/>
  <c r="J1006" i="3"/>
  <c r="I1006" i="3"/>
  <c r="H1006" i="3"/>
  <c r="G1006" i="3"/>
  <c r="E1006" i="3"/>
  <c r="C1006" i="3"/>
  <c r="U1006" i="3" s="1"/>
  <c r="B1006" i="3"/>
  <c r="A1006" i="3"/>
  <c r="R1005" i="3"/>
  <c r="Q1005" i="3"/>
  <c r="P1005" i="3"/>
  <c r="O1005" i="3"/>
  <c r="N1005" i="3"/>
  <c r="M1005" i="3"/>
  <c r="L1005" i="3"/>
  <c r="K1005" i="3"/>
  <c r="J1005" i="3"/>
  <c r="I1005" i="3"/>
  <c r="H1005" i="3"/>
  <c r="G1005" i="3"/>
  <c r="E1005" i="3"/>
  <c r="C1005" i="3"/>
  <c r="B1005" i="3"/>
  <c r="A1005" i="3"/>
  <c r="R1004" i="3"/>
  <c r="Q1004" i="3"/>
  <c r="P1004" i="3"/>
  <c r="O1004" i="3"/>
  <c r="N1004" i="3"/>
  <c r="M1004" i="3"/>
  <c r="L1004" i="3"/>
  <c r="K1004" i="3"/>
  <c r="J1004" i="3"/>
  <c r="I1004" i="3"/>
  <c r="H1004" i="3"/>
  <c r="G1004" i="3"/>
  <c r="E1004" i="3"/>
  <c r="C1004" i="3"/>
  <c r="B1004" i="3"/>
  <c r="A1004" i="3"/>
  <c r="R1003" i="3"/>
  <c r="Q1003" i="3"/>
  <c r="P1003" i="3"/>
  <c r="O1003" i="3"/>
  <c r="N1003" i="3"/>
  <c r="M1003" i="3"/>
  <c r="L1003" i="3"/>
  <c r="K1003" i="3"/>
  <c r="J1003" i="3"/>
  <c r="I1003" i="3"/>
  <c r="H1003" i="3"/>
  <c r="G1003" i="3"/>
  <c r="E1003" i="3"/>
  <c r="C1003" i="3"/>
  <c r="B1003" i="3"/>
  <c r="A1003" i="3"/>
  <c r="R1002" i="3"/>
  <c r="Q1002" i="3"/>
  <c r="P1002" i="3"/>
  <c r="O1002" i="3"/>
  <c r="N1002" i="3"/>
  <c r="M1002" i="3"/>
  <c r="L1002" i="3"/>
  <c r="K1002" i="3"/>
  <c r="J1002" i="3"/>
  <c r="I1002" i="3"/>
  <c r="H1002" i="3"/>
  <c r="G1002" i="3"/>
  <c r="E1002" i="3"/>
  <c r="C1002" i="3"/>
  <c r="B1002" i="3"/>
  <c r="A1002" i="3"/>
  <c r="R1001" i="3"/>
  <c r="Q1001" i="3"/>
  <c r="P1001" i="3"/>
  <c r="O1001" i="3"/>
  <c r="N1001" i="3"/>
  <c r="M1001" i="3"/>
  <c r="L1001" i="3"/>
  <c r="K1001" i="3"/>
  <c r="J1001" i="3"/>
  <c r="I1001" i="3"/>
  <c r="H1001" i="3"/>
  <c r="G1001" i="3"/>
  <c r="E1001" i="3"/>
  <c r="C1001" i="3"/>
  <c r="B1001" i="3"/>
  <c r="A1001" i="3"/>
  <c r="R1000" i="3"/>
  <c r="Q1000" i="3"/>
  <c r="P1000" i="3"/>
  <c r="O1000" i="3"/>
  <c r="N1000" i="3"/>
  <c r="M1000" i="3"/>
  <c r="L1000" i="3"/>
  <c r="K1000" i="3"/>
  <c r="J1000" i="3"/>
  <c r="I1000" i="3"/>
  <c r="H1000" i="3"/>
  <c r="G1000" i="3"/>
  <c r="E1000" i="3"/>
  <c r="C1000" i="3"/>
  <c r="T1000" i="3" s="1"/>
  <c r="B1000" i="3"/>
  <c r="A1000" i="3"/>
  <c r="Q999" i="3"/>
  <c r="P999" i="3"/>
  <c r="O999" i="3"/>
  <c r="N999" i="3"/>
  <c r="M999" i="3"/>
  <c r="L999" i="3"/>
  <c r="K999" i="3"/>
  <c r="J999" i="3"/>
  <c r="I999" i="3"/>
  <c r="H999" i="3"/>
  <c r="G999" i="3"/>
  <c r="E999" i="3"/>
  <c r="C999" i="3"/>
  <c r="T999" i="3" s="1"/>
  <c r="B999" i="3"/>
  <c r="Q998" i="3"/>
  <c r="P998" i="3"/>
  <c r="O998" i="3"/>
  <c r="N998" i="3"/>
  <c r="M998" i="3"/>
  <c r="L998" i="3"/>
  <c r="K998" i="3"/>
  <c r="J998" i="3"/>
  <c r="I998" i="3"/>
  <c r="H998" i="3"/>
  <c r="G998" i="3"/>
  <c r="E998" i="3"/>
  <c r="C998" i="3"/>
  <c r="B998" i="3"/>
  <c r="Q997" i="3"/>
  <c r="P997" i="3"/>
  <c r="O997" i="3"/>
  <c r="N997" i="3"/>
  <c r="M997" i="3"/>
  <c r="L997" i="3"/>
  <c r="K997" i="3"/>
  <c r="J997" i="3"/>
  <c r="I997" i="3"/>
  <c r="H997" i="3"/>
  <c r="G997" i="3"/>
  <c r="E997" i="3"/>
  <c r="C997" i="3"/>
  <c r="B997" i="3"/>
  <c r="Q996" i="3"/>
  <c r="P996" i="3"/>
  <c r="O996" i="3"/>
  <c r="N996" i="3"/>
  <c r="M996" i="3"/>
  <c r="L996" i="3"/>
  <c r="K996" i="3"/>
  <c r="J996" i="3"/>
  <c r="I996" i="3"/>
  <c r="H996" i="3"/>
  <c r="G996" i="3"/>
  <c r="E996" i="3"/>
  <c r="C996" i="3"/>
  <c r="B996" i="3"/>
  <c r="Q995" i="3"/>
  <c r="P995" i="3"/>
  <c r="O995" i="3"/>
  <c r="N995" i="3"/>
  <c r="M995" i="3"/>
  <c r="L995" i="3"/>
  <c r="K995" i="3"/>
  <c r="J995" i="3"/>
  <c r="I995" i="3"/>
  <c r="H995" i="3"/>
  <c r="G995" i="3"/>
  <c r="E995" i="3"/>
  <c r="C995" i="3"/>
  <c r="B995" i="3"/>
  <c r="Q994" i="3"/>
  <c r="P994" i="3"/>
  <c r="O994" i="3"/>
  <c r="N994" i="3"/>
  <c r="M994" i="3"/>
  <c r="L994" i="3"/>
  <c r="K994" i="3"/>
  <c r="J994" i="3"/>
  <c r="I994" i="3"/>
  <c r="H994" i="3"/>
  <c r="G994" i="3"/>
  <c r="E994" i="3"/>
  <c r="C994" i="3"/>
  <c r="B994" i="3"/>
  <c r="Q993" i="3"/>
  <c r="P993" i="3"/>
  <c r="O993" i="3"/>
  <c r="N993" i="3"/>
  <c r="M993" i="3"/>
  <c r="L993" i="3"/>
  <c r="K993" i="3"/>
  <c r="J993" i="3"/>
  <c r="I993" i="3"/>
  <c r="H993" i="3"/>
  <c r="G993" i="3"/>
  <c r="E993" i="3"/>
  <c r="C993" i="3"/>
  <c r="B993" i="3"/>
  <c r="Q992" i="3"/>
  <c r="P992" i="3"/>
  <c r="O992" i="3"/>
  <c r="N992" i="3"/>
  <c r="M992" i="3"/>
  <c r="L992" i="3"/>
  <c r="K992" i="3"/>
  <c r="J992" i="3"/>
  <c r="I992" i="3"/>
  <c r="H992" i="3"/>
  <c r="G992" i="3"/>
  <c r="E992" i="3"/>
  <c r="C992" i="3"/>
  <c r="T992" i="3" s="1"/>
  <c r="B992" i="3"/>
  <c r="Q991" i="3"/>
  <c r="P991" i="3"/>
  <c r="O991" i="3"/>
  <c r="N991" i="3"/>
  <c r="M991" i="3"/>
  <c r="L991" i="3"/>
  <c r="K991" i="3"/>
  <c r="J991" i="3"/>
  <c r="I991" i="3"/>
  <c r="H991" i="3"/>
  <c r="G991" i="3"/>
  <c r="E991" i="3"/>
  <c r="C991" i="3"/>
  <c r="T991" i="3" s="1"/>
  <c r="B991" i="3"/>
  <c r="Q990" i="3"/>
  <c r="P990" i="3"/>
  <c r="O990" i="3"/>
  <c r="N990" i="3"/>
  <c r="M990" i="3"/>
  <c r="L990" i="3"/>
  <c r="K990" i="3"/>
  <c r="J990" i="3"/>
  <c r="I990" i="3"/>
  <c r="H990" i="3"/>
  <c r="G990" i="3"/>
  <c r="E990" i="3"/>
  <c r="C990" i="3"/>
  <c r="B990" i="3"/>
  <c r="Q989" i="3"/>
  <c r="P989" i="3"/>
  <c r="O989" i="3"/>
  <c r="N989" i="3"/>
  <c r="M989" i="3"/>
  <c r="L989" i="3"/>
  <c r="K989" i="3"/>
  <c r="J989" i="3"/>
  <c r="I989" i="3"/>
  <c r="H989" i="3"/>
  <c r="G989" i="3"/>
  <c r="E989" i="3"/>
  <c r="C989" i="3"/>
  <c r="B989" i="3"/>
  <c r="Q988" i="3"/>
  <c r="P988" i="3"/>
  <c r="O988" i="3"/>
  <c r="N988" i="3"/>
  <c r="M988" i="3"/>
  <c r="L988" i="3"/>
  <c r="K988" i="3"/>
  <c r="J988" i="3"/>
  <c r="I988" i="3"/>
  <c r="H988" i="3"/>
  <c r="G988" i="3"/>
  <c r="E988" i="3"/>
  <c r="C988" i="3"/>
  <c r="B988" i="3"/>
  <c r="Q987" i="3"/>
  <c r="P987" i="3"/>
  <c r="O987" i="3"/>
  <c r="N987" i="3"/>
  <c r="M987" i="3"/>
  <c r="L987" i="3"/>
  <c r="K987" i="3"/>
  <c r="J987" i="3"/>
  <c r="I987" i="3"/>
  <c r="H987" i="3"/>
  <c r="G987" i="3"/>
  <c r="E987" i="3"/>
  <c r="C987" i="3"/>
  <c r="B987" i="3"/>
  <c r="Q986" i="3"/>
  <c r="P986" i="3"/>
  <c r="O986" i="3"/>
  <c r="N986" i="3"/>
  <c r="M986" i="3"/>
  <c r="L986" i="3"/>
  <c r="K986" i="3"/>
  <c r="J986" i="3"/>
  <c r="I986" i="3"/>
  <c r="H986" i="3"/>
  <c r="G986" i="3"/>
  <c r="E986" i="3"/>
  <c r="C986" i="3"/>
  <c r="B986" i="3"/>
  <c r="Q985" i="3"/>
  <c r="P985" i="3"/>
  <c r="O985" i="3"/>
  <c r="N985" i="3"/>
  <c r="M985" i="3"/>
  <c r="L985" i="3"/>
  <c r="K985" i="3"/>
  <c r="J985" i="3"/>
  <c r="I985" i="3"/>
  <c r="H985" i="3"/>
  <c r="G985" i="3"/>
  <c r="E985" i="3"/>
  <c r="C985" i="3"/>
  <c r="B985" i="3"/>
  <c r="Q984" i="3"/>
  <c r="P984" i="3"/>
  <c r="O984" i="3"/>
  <c r="N984" i="3"/>
  <c r="M984" i="3"/>
  <c r="L984" i="3"/>
  <c r="K984" i="3"/>
  <c r="J984" i="3"/>
  <c r="I984" i="3"/>
  <c r="H984" i="3"/>
  <c r="G984" i="3"/>
  <c r="E984" i="3"/>
  <c r="C984" i="3"/>
  <c r="T984" i="3" s="1"/>
  <c r="B984" i="3"/>
  <c r="Q983" i="3"/>
  <c r="P983" i="3"/>
  <c r="O983" i="3"/>
  <c r="N983" i="3"/>
  <c r="M983" i="3"/>
  <c r="L983" i="3"/>
  <c r="K983" i="3"/>
  <c r="J983" i="3"/>
  <c r="I983" i="3"/>
  <c r="H983" i="3"/>
  <c r="G983" i="3"/>
  <c r="E983" i="3"/>
  <c r="C983" i="3"/>
  <c r="T983" i="3" s="1"/>
  <c r="B983" i="3"/>
  <c r="Q982" i="3"/>
  <c r="P982" i="3"/>
  <c r="O982" i="3"/>
  <c r="N982" i="3"/>
  <c r="M982" i="3"/>
  <c r="L982" i="3"/>
  <c r="K982" i="3"/>
  <c r="J982" i="3"/>
  <c r="I982" i="3"/>
  <c r="H982" i="3"/>
  <c r="G982" i="3"/>
  <c r="E982" i="3"/>
  <c r="C982" i="3"/>
  <c r="B982" i="3"/>
  <c r="Q981" i="3"/>
  <c r="P981" i="3"/>
  <c r="O981" i="3"/>
  <c r="N981" i="3"/>
  <c r="M981" i="3"/>
  <c r="L981" i="3"/>
  <c r="K981" i="3"/>
  <c r="J981" i="3"/>
  <c r="I981" i="3"/>
  <c r="H981" i="3"/>
  <c r="G981" i="3"/>
  <c r="E981" i="3"/>
  <c r="C981" i="3"/>
  <c r="B981" i="3"/>
  <c r="Q980" i="3"/>
  <c r="P980" i="3"/>
  <c r="O980" i="3"/>
  <c r="N980" i="3"/>
  <c r="M980" i="3"/>
  <c r="L980" i="3"/>
  <c r="K980" i="3"/>
  <c r="J980" i="3"/>
  <c r="I980" i="3"/>
  <c r="H980" i="3"/>
  <c r="G980" i="3"/>
  <c r="E980" i="3"/>
  <c r="C980" i="3"/>
  <c r="B980" i="3"/>
  <c r="Q979" i="3"/>
  <c r="P979" i="3"/>
  <c r="O979" i="3"/>
  <c r="N979" i="3"/>
  <c r="M979" i="3"/>
  <c r="L979" i="3"/>
  <c r="K979" i="3"/>
  <c r="J979" i="3"/>
  <c r="I979" i="3"/>
  <c r="H979" i="3"/>
  <c r="G979" i="3"/>
  <c r="E979" i="3"/>
  <c r="C979" i="3"/>
  <c r="B979" i="3"/>
  <c r="Q978" i="3"/>
  <c r="P978" i="3"/>
  <c r="O978" i="3"/>
  <c r="N978" i="3"/>
  <c r="M978" i="3"/>
  <c r="L978" i="3"/>
  <c r="K978" i="3"/>
  <c r="J978" i="3"/>
  <c r="I978" i="3"/>
  <c r="H978" i="3"/>
  <c r="G978" i="3"/>
  <c r="E978" i="3"/>
  <c r="C978" i="3"/>
  <c r="B978" i="3"/>
  <c r="Q977" i="3"/>
  <c r="P977" i="3"/>
  <c r="O977" i="3"/>
  <c r="N977" i="3"/>
  <c r="M977" i="3"/>
  <c r="L977" i="3"/>
  <c r="K977" i="3"/>
  <c r="J977" i="3"/>
  <c r="I977" i="3"/>
  <c r="H977" i="3"/>
  <c r="G977" i="3"/>
  <c r="E977" i="3"/>
  <c r="C977" i="3"/>
  <c r="B977" i="3"/>
  <c r="Q976" i="3"/>
  <c r="P976" i="3"/>
  <c r="O976" i="3"/>
  <c r="N976" i="3"/>
  <c r="M976" i="3"/>
  <c r="L976" i="3"/>
  <c r="K976" i="3"/>
  <c r="J976" i="3"/>
  <c r="I976" i="3"/>
  <c r="H976" i="3"/>
  <c r="G976" i="3"/>
  <c r="E976" i="3"/>
  <c r="C976" i="3"/>
  <c r="T976" i="3" s="1"/>
  <c r="B976" i="3"/>
  <c r="Q975" i="3"/>
  <c r="P975" i="3"/>
  <c r="O975" i="3"/>
  <c r="N975" i="3"/>
  <c r="M975" i="3"/>
  <c r="L975" i="3"/>
  <c r="K975" i="3"/>
  <c r="J975" i="3"/>
  <c r="I975" i="3"/>
  <c r="H975" i="3"/>
  <c r="G975" i="3"/>
  <c r="E975" i="3"/>
  <c r="C975" i="3"/>
  <c r="T975" i="3" s="1"/>
  <c r="B975" i="3"/>
  <c r="Q974" i="3"/>
  <c r="P974" i="3"/>
  <c r="O974" i="3"/>
  <c r="N974" i="3"/>
  <c r="M974" i="3"/>
  <c r="L974" i="3"/>
  <c r="K974" i="3"/>
  <c r="J974" i="3"/>
  <c r="I974" i="3"/>
  <c r="H974" i="3"/>
  <c r="G974" i="3"/>
  <c r="E974" i="3"/>
  <c r="C974" i="3"/>
  <c r="U974" i="3" s="1"/>
  <c r="B974" i="3"/>
  <c r="Q973" i="3"/>
  <c r="P973" i="3"/>
  <c r="O973" i="3"/>
  <c r="N973" i="3"/>
  <c r="M973" i="3"/>
  <c r="L973" i="3"/>
  <c r="K973" i="3"/>
  <c r="J973" i="3"/>
  <c r="I973" i="3"/>
  <c r="H973" i="3"/>
  <c r="G973" i="3"/>
  <c r="E973" i="3"/>
  <c r="C973" i="3"/>
  <c r="B973" i="3"/>
  <c r="Q972" i="3"/>
  <c r="P972" i="3"/>
  <c r="O972" i="3"/>
  <c r="N972" i="3"/>
  <c r="M972" i="3"/>
  <c r="L972" i="3"/>
  <c r="K972" i="3"/>
  <c r="J972" i="3"/>
  <c r="I972" i="3"/>
  <c r="H972" i="3"/>
  <c r="G972" i="3"/>
  <c r="E972" i="3"/>
  <c r="C972" i="3"/>
  <c r="B972" i="3"/>
  <c r="Q971" i="3"/>
  <c r="P971" i="3"/>
  <c r="O971" i="3"/>
  <c r="N971" i="3"/>
  <c r="M971" i="3"/>
  <c r="L971" i="3"/>
  <c r="K971" i="3"/>
  <c r="J971" i="3"/>
  <c r="I971" i="3"/>
  <c r="H971" i="3"/>
  <c r="G971" i="3"/>
  <c r="E971" i="3"/>
  <c r="C971" i="3"/>
  <c r="B971" i="3"/>
  <c r="Q970" i="3"/>
  <c r="P970" i="3"/>
  <c r="O970" i="3"/>
  <c r="N970" i="3"/>
  <c r="M970" i="3"/>
  <c r="L970" i="3"/>
  <c r="K970" i="3"/>
  <c r="J970" i="3"/>
  <c r="I970" i="3"/>
  <c r="H970" i="3"/>
  <c r="G970" i="3"/>
  <c r="E970" i="3"/>
  <c r="C970" i="3"/>
  <c r="B970" i="3"/>
  <c r="Q969" i="3"/>
  <c r="P969" i="3"/>
  <c r="O969" i="3"/>
  <c r="N969" i="3"/>
  <c r="M969" i="3"/>
  <c r="L969" i="3"/>
  <c r="K969" i="3"/>
  <c r="J969" i="3"/>
  <c r="I969" i="3"/>
  <c r="H969" i="3"/>
  <c r="G969" i="3"/>
  <c r="E969" i="3"/>
  <c r="C969" i="3"/>
  <c r="B969" i="3"/>
  <c r="Q968" i="3"/>
  <c r="P968" i="3"/>
  <c r="O968" i="3"/>
  <c r="N968" i="3"/>
  <c r="M968" i="3"/>
  <c r="L968" i="3"/>
  <c r="K968" i="3"/>
  <c r="J968" i="3"/>
  <c r="I968" i="3"/>
  <c r="H968" i="3"/>
  <c r="G968" i="3"/>
  <c r="E968" i="3"/>
  <c r="C968" i="3"/>
  <c r="T968" i="3" s="1"/>
  <c r="B968" i="3"/>
  <c r="Q967" i="3"/>
  <c r="P967" i="3"/>
  <c r="O967" i="3"/>
  <c r="N967" i="3"/>
  <c r="M967" i="3"/>
  <c r="L967" i="3"/>
  <c r="K967" i="3"/>
  <c r="J967" i="3"/>
  <c r="I967" i="3"/>
  <c r="H967" i="3"/>
  <c r="G967" i="3"/>
  <c r="E967" i="3"/>
  <c r="C967" i="3"/>
  <c r="T967" i="3" s="1"/>
  <c r="B967" i="3"/>
  <c r="Q966" i="3"/>
  <c r="P966" i="3"/>
  <c r="O966" i="3"/>
  <c r="N966" i="3"/>
  <c r="M966" i="3"/>
  <c r="L966" i="3"/>
  <c r="K966" i="3"/>
  <c r="J966" i="3"/>
  <c r="I966" i="3"/>
  <c r="H966" i="3"/>
  <c r="G966" i="3"/>
  <c r="E966" i="3"/>
  <c r="C966" i="3"/>
  <c r="B966" i="3"/>
  <c r="Q965" i="3"/>
  <c r="P965" i="3"/>
  <c r="O965" i="3"/>
  <c r="N965" i="3"/>
  <c r="M965" i="3"/>
  <c r="L965" i="3"/>
  <c r="K965" i="3"/>
  <c r="J965" i="3"/>
  <c r="I965" i="3"/>
  <c r="H965" i="3"/>
  <c r="G965" i="3"/>
  <c r="E965" i="3"/>
  <c r="C965" i="3"/>
  <c r="B965" i="3"/>
  <c r="Q964" i="3"/>
  <c r="P964" i="3"/>
  <c r="O964" i="3"/>
  <c r="N964" i="3"/>
  <c r="M964" i="3"/>
  <c r="L964" i="3"/>
  <c r="K964" i="3"/>
  <c r="J964" i="3"/>
  <c r="I964" i="3"/>
  <c r="H964" i="3"/>
  <c r="G964" i="3"/>
  <c r="E964" i="3"/>
  <c r="C964" i="3"/>
  <c r="B964" i="3"/>
  <c r="Q963" i="3"/>
  <c r="P963" i="3"/>
  <c r="O963" i="3"/>
  <c r="N963" i="3"/>
  <c r="M963" i="3"/>
  <c r="L963" i="3"/>
  <c r="K963" i="3"/>
  <c r="J963" i="3"/>
  <c r="I963" i="3"/>
  <c r="H963" i="3"/>
  <c r="G963" i="3"/>
  <c r="E963" i="3"/>
  <c r="C963" i="3"/>
  <c r="B963" i="3"/>
  <c r="Q962" i="3"/>
  <c r="P962" i="3"/>
  <c r="O962" i="3"/>
  <c r="N962" i="3"/>
  <c r="M962" i="3"/>
  <c r="L962" i="3"/>
  <c r="K962" i="3"/>
  <c r="J962" i="3"/>
  <c r="I962" i="3"/>
  <c r="H962" i="3"/>
  <c r="G962" i="3"/>
  <c r="E962" i="3"/>
  <c r="C962" i="3"/>
  <c r="B962" i="3"/>
  <c r="Q961" i="3"/>
  <c r="P961" i="3"/>
  <c r="O961" i="3"/>
  <c r="N961" i="3"/>
  <c r="M961" i="3"/>
  <c r="L961" i="3"/>
  <c r="K961" i="3"/>
  <c r="J961" i="3"/>
  <c r="I961" i="3"/>
  <c r="H961" i="3"/>
  <c r="G961" i="3"/>
  <c r="E961" i="3"/>
  <c r="C961" i="3"/>
  <c r="B961" i="3"/>
  <c r="Q960" i="3"/>
  <c r="P960" i="3"/>
  <c r="O960" i="3"/>
  <c r="N960" i="3"/>
  <c r="M960" i="3"/>
  <c r="L960" i="3"/>
  <c r="K960" i="3"/>
  <c r="J960" i="3"/>
  <c r="I960" i="3"/>
  <c r="H960" i="3"/>
  <c r="G960" i="3"/>
  <c r="E960" i="3"/>
  <c r="C960" i="3"/>
  <c r="T960" i="3" s="1"/>
  <c r="B960" i="3"/>
  <c r="Q959" i="3"/>
  <c r="P959" i="3"/>
  <c r="O959" i="3"/>
  <c r="N959" i="3"/>
  <c r="M959" i="3"/>
  <c r="L959" i="3"/>
  <c r="K959" i="3"/>
  <c r="J959" i="3"/>
  <c r="I959" i="3"/>
  <c r="H959" i="3"/>
  <c r="G959" i="3"/>
  <c r="E959" i="3"/>
  <c r="C959" i="3"/>
  <c r="T959" i="3" s="1"/>
  <c r="B959" i="3"/>
  <c r="Q958" i="3"/>
  <c r="P958" i="3"/>
  <c r="O958" i="3"/>
  <c r="N958" i="3"/>
  <c r="M958" i="3"/>
  <c r="L958" i="3"/>
  <c r="K958" i="3"/>
  <c r="J958" i="3"/>
  <c r="I958" i="3"/>
  <c r="H958" i="3"/>
  <c r="G958" i="3"/>
  <c r="E958" i="3"/>
  <c r="C958" i="3"/>
  <c r="B958" i="3"/>
  <c r="Q957" i="3"/>
  <c r="P957" i="3"/>
  <c r="O957" i="3"/>
  <c r="N957" i="3"/>
  <c r="M957" i="3"/>
  <c r="L957" i="3"/>
  <c r="K957" i="3"/>
  <c r="J957" i="3"/>
  <c r="I957" i="3"/>
  <c r="H957" i="3"/>
  <c r="G957" i="3"/>
  <c r="E957" i="3"/>
  <c r="C957" i="3"/>
  <c r="B957" i="3"/>
  <c r="Q956" i="3"/>
  <c r="P956" i="3"/>
  <c r="O956" i="3"/>
  <c r="N956" i="3"/>
  <c r="M956" i="3"/>
  <c r="L956" i="3"/>
  <c r="K956" i="3"/>
  <c r="J956" i="3"/>
  <c r="I956" i="3"/>
  <c r="H956" i="3"/>
  <c r="G956" i="3"/>
  <c r="E956" i="3"/>
  <c r="C956" i="3"/>
  <c r="B956" i="3"/>
  <c r="Q955" i="3"/>
  <c r="P955" i="3"/>
  <c r="O955" i="3"/>
  <c r="N955" i="3"/>
  <c r="M955" i="3"/>
  <c r="L955" i="3"/>
  <c r="K955" i="3"/>
  <c r="J955" i="3"/>
  <c r="I955" i="3"/>
  <c r="H955" i="3"/>
  <c r="G955" i="3"/>
  <c r="E955" i="3"/>
  <c r="C955" i="3"/>
  <c r="B955" i="3"/>
  <c r="Q954" i="3"/>
  <c r="P954" i="3"/>
  <c r="O954" i="3"/>
  <c r="N954" i="3"/>
  <c r="M954" i="3"/>
  <c r="L954" i="3"/>
  <c r="K954" i="3"/>
  <c r="J954" i="3"/>
  <c r="I954" i="3"/>
  <c r="H954" i="3"/>
  <c r="G954" i="3"/>
  <c r="E954" i="3"/>
  <c r="C954" i="3"/>
  <c r="B954" i="3"/>
  <c r="Q953" i="3"/>
  <c r="P953" i="3"/>
  <c r="O953" i="3"/>
  <c r="N953" i="3"/>
  <c r="M953" i="3"/>
  <c r="L953" i="3"/>
  <c r="K953" i="3"/>
  <c r="J953" i="3"/>
  <c r="I953" i="3"/>
  <c r="H953" i="3"/>
  <c r="G953" i="3"/>
  <c r="E953" i="3"/>
  <c r="C953" i="3"/>
  <c r="B953" i="3"/>
  <c r="Q952" i="3"/>
  <c r="P952" i="3"/>
  <c r="O952" i="3"/>
  <c r="N952" i="3"/>
  <c r="M952" i="3"/>
  <c r="L952" i="3"/>
  <c r="K952" i="3"/>
  <c r="J952" i="3"/>
  <c r="I952" i="3"/>
  <c r="H952" i="3"/>
  <c r="G952" i="3"/>
  <c r="E952" i="3"/>
  <c r="C952" i="3"/>
  <c r="T952" i="3" s="1"/>
  <c r="B952" i="3"/>
  <c r="Q951" i="3"/>
  <c r="P951" i="3"/>
  <c r="O951" i="3"/>
  <c r="N951" i="3"/>
  <c r="M951" i="3"/>
  <c r="L951" i="3"/>
  <c r="K951" i="3"/>
  <c r="J951" i="3"/>
  <c r="I951" i="3"/>
  <c r="H951" i="3"/>
  <c r="G951" i="3"/>
  <c r="E951" i="3"/>
  <c r="C951" i="3"/>
  <c r="T951" i="3" s="1"/>
  <c r="B951" i="3"/>
  <c r="Q950" i="3"/>
  <c r="P950" i="3"/>
  <c r="O950" i="3"/>
  <c r="N950" i="3"/>
  <c r="M950" i="3"/>
  <c r="L950" i="3"/>
  <c r="K950" i="3"/>
  <c r="J950" i="3"/>
  <c r="I950" i="3"/>
  <c r="H950" i="3"/>
  <c r="G950" i="3"/>
  <c r="E950" i="3"/>
  <c r="C950" i="3"/>
  <c r="B950" i="3"/>
  <c r="Q949" i="3"/>
  <c r="P949" i="3"/>
  <c r="O949" i="3"/>
  <c r="N949" i="3"/>
  <c r="M949" i="3"/>
  <c r="L949" i="3"/>
  <c r="K949" i="3"/>
  <c r="J949" i="3"/>
  <c r="I949" i="3"/>
  <c r="H949" i="3"/>
  <c r="G949" i="3"/>
  <c r="E949" i="3"/>
  <c r="C949" i="3"/>
  <c r="B949" i="3"/>
  <c r="Q948" i="3"/>
  <c r="P948" i="3"/>
  <c r="O948" i="3"/>
  <c r="N948" i="3"/>
  <c r="M948" i="3"/>
  <c r="L948" i="3"/>
  <c r="K948" i="3"/>
  <c r="J948" i="3"/>
  <c r="I948" i="3"/>
  <c r="H948" i="3"/>
  <c r="G948" i="3"/>
  <c r="E948" i="3"/>
  <c r="C948" i="3"/>
  <c r="B948" i="3"/>
  <c r="Q947" i="3"/>
  <c r="P947" i="3"/>
  <c r="O947" i="3"/>
  <c r="N947" i="3"/>
  <c r="M947" i="3"/>
  <c r="L947" i="3"/>
  <c r="K947" i="3"/>
  <c r="J947" i="3"/>
  <c r="I947" i="3"/>
  <c r="H947" i="3"/>
  <c r="G947" i="3"/>
  <c r="E947" i="3"/>
  <c r="C947" i="3"/>
  <c r="B947" i="3"/>
  <c r="Q946" i="3"/>
  <c r="P946" i="3"/>
  <c r="O946" i="3"/>
  <c r="N946" i="3"/>
  <c r="M946" i="3"/>
  <c r="L946" i="3"/>
  <c r="K946" i="3"/>
  <c r="J946" i="3"/>
  <c r="I946" i="3"/>
  <c r="H946" i="3"/>
  <c r="G946" i="3"/>
  <c r="E946" i="3"/>
  <c r="C946" i="3"/>
  <c r="B946" i="3"/>
  <c r="Q945" i="3"/>
  <c r="P945" i="3"/>
  <c r="O945" i="3"/>
  <c r="N945" i="3"/>
  <c r="M945" i="3"/>
  <c r="L945" i="3"/>
  <c r="K945" i="3"/>
  <c r="J945" i="3"/>
  <c r="I945" i="3"/>
  <c r="H945" i="3"/>
  <c r="G945" i="3"/>
  <c r="E945" i="3"/>
  <c r="C945" i="3"/>
  <c r="B945" i="3"/>
  <c r="Q944" i="3"/>
  <c r="P944" i="3"/>
  <c r="O944" i="3"/>
  <c r="N944" i="3"/>
  <c r="M944" i="3"/>
  <c r="L944" i="3"/>
  <c r="K944" i="3"/>
  <c r="J944" i="3"/>
  <c r="I944" i="3"/>
  <c r="H944" i="3"/>
  <c r="G944" i="3"/>
  <c r="E944" i="3"/>
  <c r="C944" i="3"/>
  <c r="T944" i="3" s="1"/>
  <c r="B944" i="3"/>
  <c r="Q943" i="3"/>
  <c r="P943" i="3"/>
  <c r="O943" i="3"/>
  <c r="N943" i="3"/>
  <c r="M943" i="3"/>
  <c r="L943" i="3"/>
  <c r="K943" i="3"/>
  <c r="J943" i="3"/>
  <c r="I943" i="3"/>
  <c r="H943" i="3"/>
  <c r="G943" i="3"/>
  <c r="E943" i="3"/>
  <c r="C943" i="3"/>
  <c r="U943" i="3" s="1"/>
  <c r="B943" i="3"/>
  <c r="Q942" i="3"/>
  <c r="P942" i="3"/>
  <c r="O942" i="3"/>
  <c r="N942" i="3"/>
  <c r="M942" i="3"/>
  <c r="L942" i="3"/>
  <c r="K942" i="3"/>
  <c r="J942" i="3"/>
  <c r="I942" i="3"/>
  <c r="H942" i="3"/>
  <c r="G942" i="3"/>
  <c r="E942" i="3"/>
  <c r="C942" i="3"/>
  <c r="U942" i="3" s="1"/>
  <c r="B942" i="3"/>
  <c r="Q941" i="3"/>
  <c r="P941" i="3"/>
  <c r="O941" i="3"/>
  <c r="N941" i="3"/>
  <c r="M941" i="3"/>
  <c r="L941" i="3"/>
  <c r="K941" i="3"/>
  <c r="J941" i="3"/>
  <c r="I941" i="3"/>
  <c r="H941" i="3"/>
  <c r="G941" i="3"/>
  <c r="E941" i="3"/>
  <c r="C941" i="3"/>
  <c r="B941" i="3"/>
  <c r="Q940" i="3"/>
  <c r="P940" i="3"/>
  <c r="O940" i="3"/>
  <c r="N940" i="3"/>
  <c r="M940" i="3"/>
  <c r="L940" i="3"/>
  <c r="K940" i="3"/>
  <c r="J940" i="3"/>
  <c r="I940" i="3"/>
  <c r="H940" i="3"/>
  <c r="G940" i="3"/>
  <c r="E940" i="3"/>
  <c r="C940" i="3"/>
  <c r="B940" i="3"/>
  <c r="Q939" i="3"/>
  <c r="P939" i="3"/>
  <c r="O939" i="3"/>
  <c r="N939" i="3"/>
  <c r="M939" i="3"/>
  <c r="L939" i="3"/>
  <c r="K939" i="3"/>
  <c r="J939" i="3"/>
  <c r="I939" i="3"/>
  <c r="H939" i="3"/>
  <c r="G939" i="3"/>
  <c r="E939" i="3"/>
  <c r="C939" i="3"/>
  <c r="B939" i="3"/>
  <c r="Q938" i="3"/>
  <c r="P938" i="3"/>
  <c r="O938" i="3"/>
  <c r="N938" i="3"/>
  <c r="M938" i="3"/>
  <c r="L938" i="3"/>
  <c r="K938" i="3"/>
  <c r="J938" i="3"/>
  <c r="I938" i="3"/>
  <c r="H938" i="3"/>
  <c r="G938" i="3"/>
  <c r="E938" i="3"/>
  <c r="C938" i="3"/>
  <c r="B938" i="3"/>
  <c r="Q937" i="3"/>
  <c r="P937" i="3"/>
  <c r="O937" i="3"/>
  <c r="N937" i="3"/>
  <c r="M937" i="3"/>
  <c r="L937" i="3"/>
  <c r="K937" i="3"/>
  <c r="J937" i="3"/>
  <c r="I937" i="3"/>
  <c r="H937" i="3"/>
  <c r="G937" i="3"/>
  <c r="E937" i="3"/>
  <c r="C937" i="3"/>
  <c r="B937" i="3"/>
  <c r="Q936" i="3"/>
  <c r="P936" i="3"/>
  <c r="O936" i="3"/>
  <c r="N936" i="3"/>
  <c r="M936" i="3"/>
  <c r="L936" i="3"/>
  <c r="K936" i="3"/>
  <c r="J936" i="3"/>
  <c r="I936" i="3"/>
  <c r="H936" i="3"/>
  <c r="G936" i="3"/>
  <c r="E936" i="3"/>
  <c r="C936" i="3"/>
  <c r="T936" i="3" s="1"/>
  <c r="B936" i="3"/>
  <c r="Q935" i="3"/>
  <c r="P935" i="3"/>
  <c r="O935" i="3"/>
  <c r="N935" i="3"/>
  <c r="M935" i="3"/>
  <c r="L935" i="3"/>
  <c r="K935" i="3"/>
  <c r="J935" i="3"/>
  <c r="I935" i="3"/>
  <c r="H935" i="3"/>
  <c r="G935" i="3"/>
  <c r="E935" i="3"/>
  <c r="C935" i="3"/>
  <c r="T935" i="3" s="1"/>
  <c r="B935" i="3"/>
  <c r="Q934" i="3"/>
  <c r="P934" i="3"/>
  <c r="O934" i="3"/>
  <c r="N934" i="3"/>
  <c r="M934" i="3"/>
  <c r="L934" i="3"/>
  <c r="K934" i="3"/>
  <c r="J934" i="3"/>
  <c r="I934" i="3"/>
  <c r="H934" i="3"/>
  <c r="G934" i="3"/>
  <c r="E934" i="3"/>
  <c r="C934" i="3"/>
  <c r="B934" i="3"/>
  <c r="Q933" i="3"/>
  <c r="P933" i="3"/>
  <c r="O933" i="3"/>
  <c r="N933" i="3"/>
  <c r="M933" i="3"/>
  <c r="L933" i="3"/>
  <c r="K933" i="3"/>
  <c r="J933" i="3"/>
  <c r="I933" i="3"/>
  <c r="H933" i="3"/>
  <c r="G933" i="3"/>
  <c r="E933" i="3"/>
  <c r="C933" i="3"/>
  <c r="B933" i="3"/>
  <c r="Q932" i="3"/>
  <c r="P932" i="3"/>
  <c r="O932" i="3"/>
  <c r="N932" i="3"/>
  <c r="M932" i="3"/>
  <c r="L932" i="3"/>
  <c r="K932" i="3"/>
  <c r="J932" i="3"/>
  <c r="I932" i="3"/>
  <c r="H932" i="3"/>
  <c r="G932" i="3"/>
  <c r="E932" i="3"/>
  <c r="C932" i="3"/>
  <c r="B932" i="3"/>
  <c r="Q931" i="3"/>
  <c r="P931" i="3"/>
  <c r="O931" i="3"/>
  <c r="N931" i="3"/>
  <c r="M931" i="3"/>
  <c r="L931" i="3"/>
  <c r="K931" i="3"/>
  <c r="J931" i="3"/>
  <c r="I931" i="3"/>
  <c r="H931" i="3"/>
  <c r="G931" i="3"/>
  <c r="E931" i="3"/>
  <c r="C931" i="3"/>
  <c r="B931" i="3"/>
  <c r="Q930" i="3"/>
  <c r="P930" i="3"/>
  <c r="O930" i="3"/>
  <c r="N930" i="3"/>
  <c r="M930" i="3"/>
  <c r="L930" i="3"/>
  <c r="K930" i="3"/>
  <c r="J930" i="3"/>
  <c r="I930" i="3"/>
  <c r="H930" i="3"/>
  <c r="G930" i="3"/>
  <c r="E930" i="3"/>
  <c r="C930" i="3"/>
  <c r="B930" i="3"/>
  <c r="Q929" i="3"/>
  <c r="P929" i="3"/>
  <c r="O929" i="3"/>
  <c r="N929" i="3"/>
  <c r="M929" i="3"/>
  <c r="L929" i="3"/>
  <c r="K929" i="3"/>
  <c r="J929" i="3"/>
  <c r="I929" i="3"/>
  <c r="H929" i="3"/>
  <c r="G929" i="3"/>
  <c r="E929" i="3"/>
  <c r="C929" i="3"/>
  <c r="B929" i="3"/>
  <c r="Q928" i="3"/>
  <c r="P928" i="3"/>
  <c r="O928" i="3"/>
  <c r="N928" i="3"/>
  <c r="M928" i="3"/>
  <c r="L928" i="3"/>
  <c r="K928" i="3"/>
  <c r="J928" i="3"/>
  <c r="I928" i="3"/>
  <c r="H928" i="3"/>
  <c r="G928" i="3"/>
  <c r="E928" i="3"/>
  <c r="C928" i="3"/>
  <c r="T928" i="3" s="1"/>
  <c r="B928" i="3"/>
  <c r="Q927" i="3"/>
  <c r="P927" i="3"/>
  <c r="O927" i="3"/>
  <c r="N927" i="3"/>
  <c r="M927" i="3"/>
  <c r="L927" i="3"/>
  <c r="K927" i="3"/>
  <c r="J927" i="3"/>
  <c r="I927" i="3"/>
  <c r="H927" i="3"/>
  <c r="G927" i="3"/>
  <c r="E927" i="3"/>
  <c r="C927" i="3"/>
  <c r="T927" i="3" s="1"/>
  <c r="B927" i="3"/>
  <c r="Q926" i="3"/>
  <c r="P926" i="3"/>
  <c r="O926" i="3"/>
  <c r="N926" i="3"/>
  <c r="M926" i="3"/>
  <c r="L926" i="3"/>
  <c r="K926" i="3"/>
  <c r="J926" i="3"/>
  <c r="I926" i="3"/>
  <c r="H926" i="3"/>
  <c r="G926" i="3"/>
  <c r="E926" i="3"/>
  <c r="C926" i="3"/>
  <c r="B926" i="3"/>
  <c r="Q925" i="3"/>
  <c r="P925" i="3"/>
  <c r="O925" i="3"/>
  <c r="N925" i="3"/>
  <c r="M925" i="3"/>
  <c r="L925" i="3"/>
  <c r="K925" i="3"/>
  <c r="J925" i="3"/>
  <c r="I925" i="3"/>
  <c r="H925" i="3"/>
  <c r="G925" i="3"/>
  <c r="E925" i="3"/>
  <c r="C925" i="3"/>
  <c r="B925" i="3"/>
  <c r="Q924" i="3"/>
  <c r="P924" i="3"/>
  <c r="O924" i="3"/>
  <c r="N924" i="3"/>
  <c r="M924" i="3"/>
  <c r="L924" i="3"/>
  <c r="K924" i="3"/>
  <c r="J924" i="3"/>
  <c r="I924" i="3"/>
  <c r="H924" i="3"/>
  <c r="G924" i="3"/>
  <c r="E924" i="3"/>
  <c r="C924" i="3"/>
  <c r="B924" i="3"/>
  <c r="Q923" i="3"/>
  <c r="P923" i="3"/>
  <c r="O923" i="3"/>
  <c r="N923" i="3"/>
  <c r="M923" i="3"/>
  <c r="L923" i="3"/>
  <c r="K923" i="3"/>
  <c r="J923" i="3"/>
  <c r="I923" i="3"/>
  <c r="H923" i="3"/>
  <c r="G923" i="3"/>
  <c r="E923" i="3"/>
  <c r="C923" i="3"/>
  <c r="B923" i="3"/>
  <c r="Q922" i="3"/>
  <c r="P922" i="3"/>
  <c r="O922" i="3"/>
  <c r="N922" i="3"/>
  <c r="M922" i="3"/>
  <c r="L922" i="3"/>
  <c r="K922" i="3"/>
  <c r="J922" i="3"/>
  <c r="I922" i="3"/>
  <c r="H922" i="3"/>
  <c r="G922" i="3"/>
  <c r="E922" i="3"/>
  <c r="C922" i="3"/>
  <c r="B922" i="3"/>
  <c r="Q921" i="3"/>
  <c r="P921" i="3"/>
  <c r="O921" i="3"/>
  <c r="N921" i="3"/>
  <c r="M921" i="3"/>
  <c r="L921" i="3"/>
  <c r="K921" i="3"/>
  <c r="J921" i="3"/>
  <c r="I921" i="3"/>
  <c r="H921" i="3"/>
  <c r="G921" i="3"/>
  <c r="E921" i="3"/>
  <c r="C921" i="3"/>
  <c r="B921" i="3"/>
  <c r="Q920" i="3"/>
  <c r="P920" i="3"/>
  <c r="O920" i="3"/>
  <c r="N920" i="3"/>
  <c r="M920" i="3"/>
  <c r="L920" i="3"/>
  <c r="K920" i="3"/>
  <c r="J920" i="3"/>
  <c r="I920" i="3"/>
  <c r="H920" i="3"/>
  <c r="G920" i="3"/>
  <c r="E920" i="3"/>
  <c r="C920" i="3"/>
  <c r="T920" i="3" s="1"/>
  <c r="B920" i="3"/>
  <c r="Q919" i="3"/>
  <c r="P919" i="3"/>
  <c r="O919" i="3"/>
  <c r="N919" i="3"/>
  <c r="M919" i="3"/>
  <c r="L919" i="3"/>
  <c r="K919" i="3"/>
  <c r="J919" i="3"/>
  <c r="I919" i="3"/>
  <c r="H919" i="3"/>
  <c r="G919" i="3"/>
  <c r="E919" i="3"/>
  <c r="C919" i="3"/>
  <c r="T919" i="3" s="1"/>
  <c r="B919" i="3"/>
  <c r="Q918" i="3"/>
  <c r="P918" i="3"/>
  <c r="O918" i="3"/>
  <c r="N918" i="3"/>
  <c r="M918" i="3"/>
  <c r="L918" i="3"/>
  <c r="K918" i="3"/>
  <c r="J918" i="3"/>
  <c r="I918" i="3"/>
  <c r="H918" i="3"/>
  <c r="G918" i="3"/>
  <c r="E918" i="3"/>
  <c r="C918" i="3"/>
  <c r="B918" i="3"/>
  <c r="Q917" i="3"/>
  <c r="P917" i="3"/>
  <c r="O917" i="3"/>
  <c r="N917" i="3"/>
  <c r="M917" i="3"/>
  <c r="L917" i="3"/>
  <c r="K917" i="3"/>
  <c r="J917" i="3"/>
  <c r="I917" i="3"/>
  <c r="H917" i="3"/>
  <c r="G917" i="3"/>
  <c r="E917" i="3"/>
  <c r="C917" i="3"/>
  <c r="B917" i="3"/>
  <c r="Q916" i="3"/>
  <c r="P916" i="3"/>
  <c r="O916" i="3"/>
  <c r="N916" i="3"/>
  <c r="M916" i="3"/>
  <c r="L916" i="3"/>
  <c r="K916" i="3"/>
  <c r="J916" i="3"/>
  <c r="I916" i="3"/>
  <c r="H916" i="3"/>
  <c r="G916" i="3"/>
  <c r="E916" i="3"/>
  <c r="C916" i="3"/>
  <c r="B916" i="3"/>
  <c r="Q915" i="3"/>
  <c r="P915" i="3"/>
  <c r="O915" i="3"/>
  <c r="N915" i="3"/>
  <c r="M915" i="3"/>
  <c r="L915" i="3"/>
  <c r="K915" i="3"/>
  <c r="J915" i="3"/>
  <c r="I915" i="3"/>
  <c r="H915" i="3"/>
  <c r="G915" i="3"/>
  <c r="E915" i="3"/>
  <c r="C915" i="3"/>
  <c r="B915" i="3"/>
  <c r="Q914" i="3"/>
  <c r="P914" i="3"/>
  <c r="O914" i="3"/>
  <c r="N914" i="3"/>
  <c r="M914" i="3"/>
  <c r="L914" i="3"/>
  <c r="K914" i="3"/>
  <c r="J914" i="3"/>
  <c r="I914" i="3"/>
  <c r="H914" i="3"/>
  <c r="G914" i="3"/>
  <c r="E914" i="3"/>
  <c r="C914" i="3"/>
  <c r="B914" i="3"/>
  <c r="Q913" i="3"/>
  <c r="P913" i="3"/>
  <c r="O913" i="3"/>
  <c r="N913" i="3"/>
  <c r="M913" i="3"/>
  <c r="L913" i="3"/>
  <c r="K913" i="3"/>
  <c r="J913" i="3"/>
  <c r="I913" i="3"/>
  <c r="H913" i="3"/>
  <c r="G913" i="3"/>
  <c r="E913" i="3"/>
  <c r="C913" i="3"/>
  <c r="B913" i="3"/>
  <c r="Q912" i="3"/>
  <c r="P912" i="3"/>
  <c r="O912" i="3"/>
  <c r="N912" i="3"/>
  <c r="M912" i="3"/>
  <c r="L912" i="3"/>
  <c r="K912" i="3"/>
  <c r="J912" i="3"/>
  <c r="I912" i="3"/>
  <c r="H912" i="3"/>
  <c r="G912" i="3"/>
  <c r="E912" i="3"/>
  <c r="C912" i="3"/>
  <c r="T912" i="3" s="1"/>
  <c r="B912" i="3"/>
  <c r="Q911" i="3"/>
  <c r="P911" i="3"/>
  <c r="O911" i="3"/>
  <c r="N911" i="3"/>
  <c r="M911" i="3"/>
  <c r="L911" i="3"/>
  <c r="K911" i="3"/>
  <c r="J911" i="3"/>
  <c r="I911" i="3"/>
  <c r="H911" i="3"/>
  <c r="G911" i="3"/>
  <c r="E911" i="3"/>
  <c r="C911" i="3"/>
  <c r="T911" i="3" s="1"/>
  <c r="B911" i="3"/>
  <c r="Q910" i="3"/>
  <c r="P910" i="3"/>
  <c r="O910" i="3"/>
  <c r="N910" i="3"/>
  <c r="M910" i="3"/>
  <c r="L910" i="3"/>
  <c r="K910" i="3"/>
  <c r="J910" i="3"/>
  <c r="I910" i="3"/>
  <c r="H910" i="3"/>
  <c r="G910" i="3"/>
  <c r="E910" i="3"/>
  <c r="C910" i="3"/>
  <c r="U910" i="3" s="1"/>
  <c r="B910" i="3"/>
  <c r="Q909" i="3"/>
  <c r="P909" i="3"/>
  <c r="O909" i="3"/>
  <c r="N909" i="3"/>
  <c r="M909" i="3"/>
  <c r="L909" i="3"/>
  <c r="K909" i="3"/>
  <c r="J909" i="3"/>
  <c r="I909" i="3"/>
  <c r="H909" i="3"/>
  <c r="G909" i="3"/>
  <c r="E909" i="3"/>
  <c r="C909" i="3"/>
  <c r="B909" i="3"/>
  <c r="Q908" i="3"/>
  <c r="P908" i="3"/>
  <c r="O908" i="3"/>
  <c r="N908" i="3"/>
  <c r="M908" i="3"/>
  <c r="L908" i="3"/>
  <c r="K908" i="3"/>
  <c r="J908" i="3"/>
  <c r="I908" i="3"/>
  <c r="H908" i="3"/>
  <c r="G908" i="3"/>
  <c r="E908" i="3"/>
  <c r="C908" i="3"/>
  <c r="B908" i="3"/>
  <c r="Q907" i="3"/>
  <c r="P907" i="3"/>
  <c r="O907" i="3"/>
  <c r="N907" i="3"/>
  <c r="M907" i="3"/>
  <c r="L907" i="3"/>
  <c r="K907" i="3"/>
  <c r="J907" i="3"/>
  <c r="I907" i="3"/>
  <c r="H907" i="3"/>
  <c r="G907" i="3"/>
  <c r="E907" i="3"/>
  <c r="C907" i="3"/>
  <c r="B907" i="3"/>
  <c r="Q906" i="3"/>
  <c r="P906" i="3"/>
  <c r="O906" i="3"/>
  <c r="N906" i="3"/>
  <c r="M906" i="3"/>
  <c r="L906" i="3"/>
  <c r="K906" i="3"/>
  <c r="J906" i="3"/>
  <c r="I906" i="3"/>
  <c r="H906" i="3"/>
  <c r="G906" i="3"/>
  <c r="E906" i="3"/>
  <c r="C906" i="3"/>
  <c r="B906" i="3"/>
  <c r="Q905" i="3"/>
  <c r="P905" i="3"/>
  <c r="O905" i="3"/>
  <c r="N905" i="3"/>
  <c r="M905" i="3"/>
  <c r="L905" i="3"/>
  <c r="K905" i="3"/>
  <c r="J905" i="3"/>
  <c r="I905" i="3"/>
  <c r="H905" i="3"/>
  <c r="G905" i="3"/>
  <c r="E905" i="3"/>
  <c r="C905" i="3"/>
  <c r="B905" i="3"/>
  <c r="Q904" i="3"/>
  <c r="P904" i="3"/>
  <c r="O904" i="3"/>
  <c r="N904" i="3"/>
  <c r="M904" i="3"/>
  <c r="L904" i="3"/>
  <c r="K904" i="3"/>
  <c r="J904" i="3"/>
  <c r="I904" i="3"/>
  <c r="H904" i="3"/>
  <c r="G904" i="3"/>
  <c r="E904" i="3"/>
  <c r="C904" i="3"/>
  <c r="T904" i="3" s="1"/>
  <c r="B904" i="3"/>
  <c r="Q903" i="3"/>
  <c r="P903" i="3"/>
  <c r="O903" i="3"/>
  <c r="N903" i="3"/>
  <c r="M903" i="3"/>
  <c r="L903" i="3"/>
  <c r="K903" i="3"/>
  <c r="J903" i="3"/>
  <c r="I903" i="3"/>
  <c r="H903" i="3"/>
  <c r="G903" i="3"/>
  <c r="E903" i="3"/>
  <c r="C903" i="3"/>
  <c r="T903" i="3" s="1"/>
  <c r="B903" i="3"/>
  <c r="Q902" i="3"/>
  <c r="P902" i="3"/>
  <c r="O902" i="3"/>
  <c r="N902" i="3"/>
  <c r="M902" i="3"/>
  <c r="L902" i="3"/>
  <c r="K902" i="3"/>
  <c r="J902" i="3"/>
  <c r="I902" i="3"/>
  <c r="H902" i="3"/>
  <c r="G902" i="3"/>
  <c r="E902" i="3"/>
  <c r="C902" i="3"/>
  <c r="B902" i="3"/>
  <c r="Q901" i="3"/>
  <c r="P901" i="3"/>
  <c r="O901" i="3"/>
  <c r="N901" i="3"/>
  <c r="M901" i="3"/>
  <c r="L901" i="3"/>
  <c r="K901" i="3"/>
  <c r="J901" i="3"/>
  <c r="I901" i="3"/>
  <c r="H901" i="3"/>
  <c r="G901" i="3"/>
  <c r="E901" i="3"/>
  <c r="C901" i="3"/>
  <c r="B901" i="3"/>
  <c r="Q900" i="3"/>
  <c r="P900" i="3"/>
  <c r="O900" i="3"/>
  <c r="N900" i="3"/>
  <c r="M900" i="3"/>
  <c r="L900" i="3"/>
  <c r="K900" i="3"/>
  <c r="J900" i="3"/>
  <c r="I900" i="3"/>
  <c r="H900" i="3"/>
  <c r="G900" i="3"/>
  <c r="E900" i="3"/>
  <c r="C900" i="3"/>
  <c r="B900" i="3"/>
  <c r="Q899" i="3"/>
  <c r="P899" i="3"/>
  <c r="O899" i="3"/>
  <c r="N899" i="3"/>
  <c r="M899" i="3"/>
  <c r="L899" i="3"/>
  <c r="K899" i="3"/>
  <c r="J899" i="3"/>
  <c r="I899" i="3"/>
  <c r="H899" i="3"/>
  <c r="G899" i="3"/>
  <c r="E899" i="3"/>
  <c r="C899" i="3"/>
  <c r="B899" i="3"/>
  <c r="Q898" i="3"/>
  <c r="P898" i="3"/>
  <c r="O898" i="3"/>
  <c r="N898" i="3"/>
  <c r="M898" i="3"/>
  <c r="L898" i="3"/>
  <c r="K898" i="3"/>
  <c r="J898" i="3"/>
  <c r="I898" i="3"/>
  <c r="H898" i="3"/>
  <c r="G898" i="3"/>
  <c r="E898" i="3"/>
  <c r="C898" i="3"/>
  <c r="B898" i="3"/>
  <c r="Q897" i="3"/>
  <c r="P897" i="3"/>
  <c r="O897" i="3"/>
  <c r="N897" i="3"/>
  <c r="M897" i="3"/>
  <c r="L897" i="3"/>
  <c r="K897" i="3"/>
  <c r="J897" i="3"/>
  <c r="I897" i="3"/>
  <c r="H897" i="3"/>
  <c r="G897" i="3"/>
  <c r="E897" i="3"/>
  <c r="C897" i="3"/>
  <c r="B897" i="3"/>
  <c r="Q896" i="3"/>
  <c r="P896" i="3"/>
  <c r="O896" i="3"/>
  <c r="N896" i="3"/>
  <c r="M896" i="3"/>
  <c r="L896" i="3"/>
  <c r="K896" i="3"/>
  <c r="J896" i="3"/>
  <c r="I896" i="3"/>
  <c r="H896" i="3"/>
  <c r="G896" i="3"/>
  <c r="E896" i="3"/>
  <c r="C896" i="3"/>
  <c r="T896" i="3" s="1"/>
  <c r="B896" i="3"/>
  <c r="Q895" i="3"/>
  <c r="P895" i="3"/>
  <c r="O895" i="3"/>
  <c r="N895" i="3"/>
  <c r="M895" i="3"/>
  <c r="L895" i="3"/>
  <c r="K895" i="3"/>
  <c r="J895" i="3"/>
  <c r="I895" i="3"/>
  <c r="H895" i="3"/>
  <c r="G895" i="3"/>
  <c r="E895" i="3"/>
  <c r="C895" i="3"/>
  <c r="T895" i="3" s="1"/>
  <c r="B895" i="3"/>
  <c r="Q894" i="3"/>
  <c r="P894" i="3"/>
  <c r="O894" i="3"/>
  <c r="N894" i="3"/>
  <c r="M894" i="3"/>
  <c r="L894" i="3"/>
  <c r="K894" i="3"/>
  <c r="J894" i="3"/>
  <c r="I894" i="3"/>
  <c r="H894" i="3"/>
  <c r="G894" i="3"/>
  <c r="E894" i="3"/>
  <c r="C894" i="3"/>
  <c r="B894" i="3"/>
  <c r="Q893" i="3"/>
  <c r="P893" i="3"/>
  <c r="O893" i="3"/>
  <c r="N893" i="3"/>
  <c r="M893" i="3"/>
  <c r="L893" i="3"/>
  <c r="K893" i="3"/>
  <c r="J893" i="3"/>
  <c r="I893" i="3"/>
  <c r="H893" i="3"/>
  <c r="G893" i="3"/>
  <c r="E893" i="3"/>
  <c r="C893" i="3"/>
  <c r="B893" i="3"/>
  <c r="Q892" i="3"/>
  <c r="P892" i="3"/>
  <c r="O892" i="3"/>
  <c r="N892" i="3"/>
  <c r="M892" i="3"/>
  <c r="L892" i="3"/>
  <c r="K892" i="3"/>
  <c r="J892" i="3"/>
  <c r="I892" i="3"/>
  <c r="H892" i="3"/>
  <c r="G892" i="3"/>
  <c r="E892" i="3"/>
  <c r="C892" i="3"/>
  <c r="B892" i="3"/>
  <c r="Q891" i="3"/>
  <c r="P891" i="3"/>
  <c r="O891" i="3"/>
  <c r="N891" i="3"/>
  <c r="M891" i="3"/>
  <c r="L891" i="3"/>
  <c r="K891" i="3"/>
  <c r="J891" i="3"/>
  <c r="I891" i="3"/>
  <c r="H891" i="3"/>
  <c r="G891" i="3"/>
  <c r="E891" i="3"/>
  <c r="C891" i="3"/>
  <c r="B891" i="3"/>
  <c r="Q890" i="3"/>
  <c r="P890" i="3"/>
  <c r="O890" i="3"/>
  <c r="N890" i="3"/>
  <c r="M890" i="3"/>
  <c r="L890" i="3"/>
  <c r="K890" i="3"/>
  <c r="J890" i="3"/>
  <c r="I890" i="3"/>
  <c r="H890" i="3"/>
  <c r="G890" i="3"/>
  <c r="E890" i="3"/>
  <c r="C890" i="3"/>
  <c r="B890" i="3"/>
  <c r="Q889" i="3"/>
  <c r="P889" i="3"/>
  <c r="O889" i="3"/>
  <c r="N889" i="3"/>
  <c r="M889" i="3"/>
  <c r="L889" i="3"/>
  <c r="K889" i="3"/>
  <c r="J889" i="3"/>
  <c r="I889" i="3"/>
  <c r="H889" i="3"/>
  <c r="G889" i="3"/>
  <c r="E889" i="3"/>
  <c r="C889" i="3"/>
  <c r="B889" i="3"/>
  <c r="Q888" i="3"/>
  <c r="P888" i="3"/>
  <c r="O888" i="3"/>
  <c r="N888" i="3"/>
  <c r="M888" i="3"/>
  <c r="L888" i="3"/>
  <c r="K888" i="3"/>
  <c r="J888" i="3"/>
  <c r="I888" i="3"/>
  <c r="H888" i="3"/>
  <c r="G888" i="3"/>
  <c r="E888" i="3"/>
  <c r="C888" i="3"/>
  <c r="T888" i="3" s="1"/>
  <c r="B888" i="3"/>
  <c r="Q887" i="3"/>
  <c r="P887" i="3"/>
  <c r="O887" i="3"/>
  <c r="N887" i="3"/>
  <c r="M887" i="3"/>
  <c r="L887" i="3"/>
  <c r="K887" i="3"/>
  <c r="J887" i="3"/>
  <c r="I887" i="3"/>
  <c r="H887" i="3"/>
  <c r="G887" i="3"/>
  <c r="E887" i="3"/>
  <c r="C887" i="3"/>
  <c r="T887" i="3" s="1"/>
  <c r="B887" i="3"/>
  <c r="Q886" i="3"/>
  <c r="P886" i="3"/>
  <c r="O886" i="3"/>
  <c r="N886" i="3"/>
  <c r="M886" i="3"/>
  <c r="L886" i="3"/>
  <c r="K886" i="3"/>
  <c r="J886" i="3"/>
  <c r="I886" i="3"/>
  <c r="H886" i="3"/>
  <c r="G886" i="3"/>
  <c r="E886" i="3"/>
  <c r="C886" i="3"/>
  <c r="B886" i="3"/>
  <c r="Q885" i="3"/>
  <c r="P885" i="3"/>
  <c r="O885" i="3"/>
  <c r="N885" i="3"/>
  <c r="M885" i="3"/>
  <c r="L885" i="3"/>
  <c r="K885" i="3"/>
  <c r="J885" i="3"/>
  <c r="I885" i="3"/>
  <c r="H885" i="3"/>
  <c r="G885" i="3"/>
  <c r="E885" i="3"/>
  <c r="C885" i="3"/>
  <c r="B885" i="3"/>
  <c r="Q884" i="3"/>
  <c r="P884" i="3"/>
  <c r="O884" i="3"/>
  <c r="N884" i="3"/>
  <c r="M884" i="3"/>
  <c r="L884" i="3"/>
  <c r="K884" i="3"/>
  <c r="J884" i="3"/>
  <c r="I884" i="3"/>
  <c r="H884" i="3"/>
  <c r="G884" i="3"/>
  <c r="E884" i="3"/>
  <c r="C884" i="3"/>
  <c r="B884" i="3"/>
  <c r="Q883" i="3"/>
  <c r="P883" i="3"/>
  <c r="O883" i="3"/>
  <c r="N883" i="3"/>
  <c r="M883" i="3"/>
  <c r="L883" i="3"/>
  <c r="K883" i="3"/>
  <c r="J883" i="3"/>
  <c r="I883" i="3"/>
  <c r="H883" i="3"/>
  <c r="G883" i="3"/>
  <c r="E883" i="3"/>
  <c r="C883" i="3"/>
  <c r="B883" i="3"/>
  <c r="Q882" i="3"/>
  <c r="P882" i="3"/>
  <c r="O882" i="3"/>
  <c r="N882" i="3"/>
  <c r="M882" i="3"/>
  <c r="L882" i="3"/>
  <c r="K882" i="3"/>
  <c r="J882" i="3"/>
  <c r="I882" i="3"/>
  <c r="H882" i="3"/>
  <c r="G882" i="3"/>
  <c r="E882" i="3"/>
  <c r="C882" i="3"/>
  <c r="B882" i="3"/>
  <c r="Q881" i="3"/>
  <c r="P881" i="3"/>
  <c r="O881" i="3"/>
  <c r="N881" i="3"/>
  <c r="M881" i="3"/>
  <c r="L881" i="3"/>
  <c r="K881" i="3"/>
  <c r="J881" i="3"/>
  <c r="I881" i="3"/>
  <c r="H881" i="3"/>
  <c r="G881" i="3"/>
  <c r="E881" i="3"/>
  <c r="C881" i="3"/>
  <c r="B881" i="3"/>
  <c r="Q880" i="3"/>
  <c r="P880" i="3"/>
  <c r="O880" i="3"/>
  <c r="N880" i="3"/>
  <c r="M880" i="3"/>
  <c r="L880" i="3"/>
  <c r="K880" i="3"/>
  <c r="J880" i="3"/>
  <c r="I880" i="3"/>
  <c r="H880" i="3"/>
  <c r="G880" i="3"/>
  <c r="E880" i="3"/>
  <c r="C880" i="3"/>
  <c r="T880" i="3" s="1"/>
  <c r="B880" i="3"/>
  <c r="Q879" i="3"/>
  <c r="P879" i="3"/>
  <c r="O879" i="3"/>
  <c r="N879" i="3"/>
  <c r="M879" i="3"/>
  <c r="L879" i="3"/>
  <c r="K879" i="3"/>
  <c r="J879" i="3"/>
  <c r="I879" i="3"/>
  <c r="H879" i="3"/>
  <c r="G879" i="3"/>
  <c r="E879" i="3"/>
  <c r="C879" i="3"/>
  <c r="T879" i="3" s="1"/>
  <c r="B879" i="3"/>
  <c r="Q878" i="3"/>
  <c r="P878" i="3"/>
  <c r="O878" i="3"/>
  <c r="N878" i="3"/>
  <c r="M878" i="3"/>
  <c r="L878" i="3"/>
  <c r="K878" i="3"/>
  <c r="J878" i="3"/>
  <c r="I878" i="3"/>
  <c r="H878" i="3"/>
  <c r="G878" i="3"/>
  <c r="E878" i="3"/>
  <c r="C878" i="3"/>
  <c r="U878" i="3" s="1"/>
  <c r="B878" i="3"/>
  <c r="Q877" i="3"/>
  <c r="P877" i="3"/>
  <c r="O877" i="3"/>
  <c r="N877" i="3"/>
  <c r="M877" i="3"/>
  <c r="L877" i="3"/>
  <c r="K877" i="3"/>
  <c r="J877" i="3"/>
  <c r="I877" i="3"/>
  <c r="H877" i="3"/>
  <c r="G877" i="3"/>
  <c r="E877" i="3"/>
  <c r="C877" i="3"/>
  <c r="B877" i="3"/>
  <c r="Q876" i="3"/>
  <c r="P876" i="3"/>
  <c r="O876" i="3"/>
  <c r="N876" i="3"/>
  <c r="M876" i="3"/>
  <c r="L876" i="3"/>
  <c r="K876" i="3"/>
  <c r="J876" i="3"/>
  <c r="I876" i="3"/>
  <c r="H876" i="3"/>
  <c r="G876" i="3"/>
  <c r="E876" i="3"/>
  <c r="C876" i="3"/>
  <c r="B876" i="3"/>
  <c r="Q875" i="3"/>
  <c r="P875" i="3"/>
  <c r="O875" i="3"/>
  <c r="N875" i="3"/>
  <c r="M875" i="3"/>
  <c r="L875" i="3"/>
  <c r="K875" i="3"/>
  <c r="J875" i="3"/>
  <c r="I875" i="3"/>
  <c r="H875" i="3"/>
  <c r="G875" i="3"/>
  <c r="E875" i="3"/>
  <c r="C875" i="3"/>
  <c r="B875" i="3"/>
  <c r="Q874" i="3"/>
  <c r="P874" i="3"/>
  <c r="O874" i="3"/>
  <c r="N874" i="3"/>
  <c r="M874" i="3"/>
  <c r="L874" i="3"/>
  <c r="K874" i="3"/>
  <c r="J874" i="3"/>
  <c r="I874" i="3"/>
  <c r="H874" i="3"/>
  <c r="G874" i="3"/>
  <c r="E874" i="3"/>
  <c r="C874" i="3"/>
  <c r="B874" i="3"/>
  <c r="Q873" i="3"/>
  <c r="P873" i="3"/>
  <c r="O873" i="3"/>
  <c r="N873" i="3"/>
  <c r="M873" i="3"/>
  <c r="L873" i="3"/>
  <c r="K873" i="3"/>
  <c r="J873" i="3"/>
  <c r="I873" i="3"/>
  <c r="H873" i="3"/>
  <c r="G873" i="3"/>
  <c r="E873" i="3"/>
  <c r="C873" i="3"/>
  <c r="B873" i="3"/>
  <c r="Q872" i="3"/>
  <c r="P872" i="3"/>
  <c r="O872" i="3"/>
  <c r="N872" i="3"/>
  <c r="M872" i="3"/>
  <c r="L872" i="3"/>
  <c r="K872" i="3"/>
  <c r="J872" i="3"/>
  <c r="I872" i="3"/>
  <c r="H872" i="3"/>
  <c r="G872" i="3"/>
  <c r="E872" i="3"/>
  <c r="C872" i="3"/>
  <c r="T872" i="3" s="1"/>
  <c r="B872" i="3"/>
  <c r="Q871" i="3"/>
  <c r="P871" i="3"/>
  <c r="O871" i="3"/>
  <c r="N871" i="3"/>
  <c r="M871" i="3"/>
  <c r="L871" i="3"/>
  <c r="K871" i="3"/>
  <c r="J871" i="3"/>
  <c r="I871" i="3"/>
  <c r="H871" i="3"/>
  <c r="G871" i="3"/>
  <c r="E871" i="3"/>
  <c r="C871" i="3"/>
  <c r="T871" i="3" s="1"/>
  <c r="B871" i="3"/>
  <c r="Q870" i="3"/>
  <c r="P870" i="3"/>
  <c r="O870" i="3"/>
  <c r="N870" i="3"/>
  <c r="M870" i="3"/>
  <c r="L870" i="3"/>
  <c r="K870" i="3"/>
  <c r="J870" i="3"/>
  <c r="I870" i="3"/>
  <c r="H870" i="3"/>
  <c r="G870" i="3"/>
  <c r="E870" i="3"/>
  <c r="C870" i="3"/>
  <c r="B870" i="3"/>
  <c r="Q869" i="3"/>
  <c r="P869" i="3"/>
  <c r="O869" i="3"/>
  <c r="N869" i="3"/>
  <c r="M869" i="3"/>
  <c r="L869" i="3"/>
  <c r="K869" i="3"/>
  <c r="J869" i="3"/>
  <c r="I869" i="3"/>
  <c r="H869" i="3"/>
  <c r="G869" i="3"/>
  <c r="E869" i="3"/>
  <c r="C869" i="3"/>
  <c r="B869" i="3"/>
  <c r="Q868" i="3"/>
  <c r="P868" i="3"/>
  <c r="O868" i="3"/>
  <c r="N868" i="3"/>
  <c r="M868" i="3"/>
  <c r="L868" i="3"/>
  <c r="K868" i="3"/>
  <c r="J868" i="3"/>
  <c r="I868" i="3"/>
  <c r="H868" i="3"/>
  <c r="G868" i="3"/>
  <c r="E868" i="3"/>
  <c r="C868" i="3"/>
  <c r="B868" i="3"/>
  <c r="Q867" i="3"/>
  <c r="P867" i="3"/>
  <c r="O867" i="3"/>
  <c r="N867" i="3"/>
  <c r="M867" i="3"/>
  <c r="L867" i="3"/>
  <c r="K867" i="3"/>
  <c r="J867" i="3"/>
  <c r="I867" i="3"/>
  <c r="H867" i="3"/>
  <c r="G867" i="3"/>
  <c r="E867" i="3"/>
  <c r="C867" i="3"/>
  <c r="B867" i="3"/>
  <c r="Q866" i="3"/>
  <c r="P866" i="3"/>
  <c r="O866" i="3"/>
  <c r="N866" i="3"/>
  <c r="M866" i="3"/>
  <c r="L866" i="3"/>
  <c r="K866" i="3"/>
  <c r="J866" i="3"/>
  <c r="I866" i="3"/>
  <c r="H866" i="3"/>
  <c r="G866" i="3"/>
  <c r="E866" i="3"/>
  <c r="C866" i="3"/>
  <c r="B866" i="3"/>
  <c r="Q865" i="3"/>
  <c r="P865" i="3"/>
  <c r="O865" i="3"/>
  <c r="N865" i="3"/>
  <c r="M865" i="3"/>
  <c r="L865" i="3"/>
  <c r="K865" i="3"/>
  <c r="J865" i="3"/>
  <c r="I865" i="3"/>
  <c r="H865" i="3"/>
  <c r="G865" i="3"/>
  <c r="E865" i="3"/>
  <c r="C865" i="3"/>
  <c r="B865" i="3"/>
  <c r="Q864" i="3"/>
  <c r="P864" i="3"/>
  <c r="O864" i="3"/>
  <c r="N864" i="3"/>
  <c r="M864" i="3"/>
  <c r="L864" i="3"/>
  <c r="K864" i="3"/>
  <c r="J864" i="3"/>
  <c r="I864" i="3"/>
  <c r="H864" i="3"/>
  <c r="G864" i="3"/>
  <c r="E864" i="3"/>
  <c r="C864" i="3"/>
  <c r="T864" i="3" s="1"/>
  <c r="B864" i="3"/>
  <c r="Q863" i="3"/>
  <c r="P863" i="3"/>
  <c r="O863" i="3"/>
  <c r="N863" i="3"/>
  <c r="M863" i="3"/>
  <c r="L863" i="3"/>
  <c r="K863" i="3"/>
  <c r="J863" i="3"/>
  <c r="I863" i="3"/>
  <c r="H863" i="3"/>
  <c r="G863" i="3"/>
  <c r="E863" i="3"/>
  <c r="C863" i="3"/>
  <c r="T863" i="3" s="1"/>
  <c r="B863" i="3"/>
  <c r="Q862" i="3"/>
  <c r="P862" i="3"/>
  <c r="O862" i="3"/>
  <c r="N862" i="3"/>
  <c r="M862" i="3"/>
  <c r="L862" i="3"/>
  <c r="K862" i="3"/>
  <c r="J862" i="3"/>
  <c r="I862" i="3"/>
  <c r="H862" i="3"/>
  <c r="G862" i="3"/>
  <c r="E862" i="3"/>
  <c r="C862" i="3"/>
  <c r="B862" i="3"/>
  <c r="Q861" i="3"/>
  <c r="P861" i="3"/>
  <c r="O861" i="3"/>
  <c r="N861" i="3"/>
  <c r="M861" i="3"/>
  <c r="L861" i="3"/>
  <c r="K861" i="3"/>
  <c r="J861" i="3"/>
  <c r="I861" i="3"/>
  <c r="H861" i="3"/>
  <c r="G861" i="3"/>
  <c r="E861" i="3"/>
  <c r="C861" i="3"/>
  <c r="B861" i="3"/>
  <c r="Q860" i="3"/>
  <c r="P860" i="3"/>
  <c r="O860" i="3"/>
  <c r="N860" i="3"/>
  <c r="M860" i="3"/>
  <c r="L860" i="3"/>
  <c r="K860" i="3"/>
  <c r="J860" i="3"/>
  <c r="I860" i="3"/>
  <c r="H860" i="3"/>
  <c r="G860" i="3"/>
  <c r="E860" i="3"/>
  <c r="C860" i="3"/>
  <c r="B860" i="3"/>
  <c r="Q859" i="3"/>
  <c r="P859" i="3"/>
  <c r="O859" i="3"/>
  <c r="N859" i="3"/>
  <c r="M859" i="3"/>
  <c r="L859" i="3"/>
  <c r="K859" i="3"/>
  <c r="J859" i="3"/>
  <c r="I859" i="3"/>
  <c r="H859" i="3"/>
  <c r="G859" i="3"/>
  <c r="E859" i="3"/>
  <c r="C859" i="3"/>
  <c r="B859" i="3"/>
  <c r="Q858" i="3"/>
  <c r="P858" i="3"/>
  <c r="O858" i="3"/>
  <c r="N858" i="3"/>
  <c r="M858" i="3"/>
  <c r="L858" i="3"/>
  <c r="K858" i="3"/>
  <c r="J858" i="3"/>
  <c r="I858" i="3"/>
  <c r="H858" i="3"/>
  <c r="G858" i="3"/>
  <c r="E858" i="3"/>
  <c r="C858" i="3"/>
  <c r="B858" i="3"/>
  <c r="Q857" i="3"/>
  <c r="P857" i="3"/>
  <c r="O857" i="3"/>
  <c r="N857" i="3"/>
  <c r="M857" i="3"/>
  <c r="L857" i="3"/>
  <c r="K857" i="3"/>
  <c r="J857" i="3"/>
  <c r="I857" i="3"/>
  <c r="H857" i="3"/>
  <c r="G857" i="3"/>
  <c r="E857" i="3"/>
  <c r="C857" i="3"/>
  <c r="B857" i="3"/>
  <c r="Q856" i="3"/>
  <c r="P856" i="3"/>
  <c r="O856" i="3"/>
  <c r="N856" i="3"/>
  <c r="M856" i="3"/>
  <c r="L856" i="3"/>
  <c r="K856" i="3"/>
  <c r="J856" i="3"/>
  <c r="I856" i="3"/>
  <c r="H856" i="3"/>
  <c r="G856" i="3"/>
  <c r="E856" i="3"/>
  <c r="C856" i="3"/>
  <c r="T856" i="3" s="1"/>
  <c r="B856" i="3"/>
  <c r="Q855" i="3"/>
  <c r="P855" i="3"/>
  <c r="O855" i="3"/>
  <c r="N855" i="3"/>
  <c r="M855" i="3"/>
  <c r="L855" i="3"/>
  <c r="K855" i="3"/>
  <c r="J855" i="3"/>
  <c r="I855" i="3"/>
  <c r="H855" i="3"/>
  <c r="G855" i="3"/>
  <c r="E855" i="3"/>
  <c r="C855" i="3"/>
  <c r="T855" i="3" s="1"/>
  <c r="B855" i="3"/>
  <c r="Q854" i="3"/>
  <c r="P854" i="3"/>
  <c r="O854" i="3"/>
  <c r="N854" i="3"/>
  <c r="M854" i="3"/>
  <c r="L854" i="3"/>
  <c r="K854" i="3"/>
  <c r="J854" i="3"/>
  <c r="I854" i="3"/>
  <c r="H854" i="3"/>
  <c r="G854" i="3"/>
  <c r="E854" i="3"/>
  <c r="C854" i="3"/>
  <c r="B854" i="3"/>
  <c r="Q853" i="3"/>
  <c r="P853" i="3"/>
  <c r="O853" i="3"/>
  <c r="N853" i="3"/>
  <c r="M853" i="3"/>
  <c r="L853" i="3"/>
  <c r="K853" i="3"/>
  <c r="J853" i="3"/>
  <c r="I853" i="3"/>
  <c r="H853" i="3"/>
  <c r="G853" i="3"/>
  <c r="E853" i="3"/>
  <c r="C853" i="3"/>
  <c r="B853" i="3"/>
  <c r="Q852" i="3"/>
  <c r="P852" i="3"/>
  <c r="O852" i="3"/>
  <c r="N852" i="3"/>
  <c r="M852" i="3"/>
  <c r="L852" i="3"/>
  <c r="K852" i="3"/>
  <c r="J852" i="3"/>
  <c r="I852" i="3"/>
  <c r="H852" i="3"/>
  <c r="G852" i="3"/>
  <c r="E852" i="3"/>
  <c r="C852" i="3"/>
  <c r="B852" i="3"/>
  <c r="Q851" i="3"/>
  <c r="P851" i="3"/>
  <c r="O851" i="3"/>
  <c r="N851" i="3"/>
  <c r="M851" i="3"/>
  <c r="L851" i="3"/>
  <c r="K851" i="3"/>
  <c r="J851" i="3"/>
  <c r="I851" i="3"/>
  <c r="H851" i="3"/>
  <c r="G851" i="3"/>
  <c r="E851" i="3"/>
  <c r="C851" i="3"/>
  <c r="B851" i="3"/>
  <c r="Q850" i="3"/>
  <c r="P850" i="3"/>
  <c r="O850" i="3"/>
  <c r="N850" i="3"/>
  <c r="M850" i="3"/>
  <c r="L850" i="3"/>
  <c r="K850" i="3"/>
  <c r="J850" i="3"/>
  <c r="I850" i="3"/>
  <c r="H850" i="3"/>
  <c r="G850" i="3"/>
  <c r="E850" i="3"/>
  <c r="C850" i="3"/>
  <c r="B850" i="3"/>
  <c r="Q849" i="3"/>
  <c r="P849" i="3"/>
  <c r="O849" i="3"/>
  <c r="N849" i="3"/>
  <c r="M849" i="3"/>
  <c r="L849" i="3"/>
  <c r="K849" i="3"/>
  <c r="J849" i="3"/>
  <c r="I849" i="3"/>
  <c r="H849" i="3"/>
  <c r="G849" i="3"/>
  <c r="E849" i="3"/>
  <c r="C849" i="3"/>
  <c r="B849" i="3"/>
  <c r="Q848" i="3"/>
  <c r="P848" i="3"/>
  <c r="O848" i="3"/>
  <c r="N848" i="3"/>
  <c r="M848" i="3"/>
  <c r="L848" i="3"/>
  <c r="K848" i="3"/>
  <c r="J848" i="3"/>
  <c r="I848" i="3"/>
  <c r="H848" i="3"/>
  <c r="G848" i="3"/>
  <c r="E848" i="3"/>
  <c r="C848" i="3"/>
  <c r="T848" i="3" s="1"/>
  <c r="B848" i="3"/>
  <c r="Q847" i="3"/>
  <c r="P847" i="3"/>
  <c r="O847" i="3"/>
  <c r="N847" i="3"/>
  <c r="M847" i="3"/>
  <c r="L847" i="3"/>
  <c r="K847" i="3"/>
  <c r="J847" i="3"/>
  <c r="I847" i="3"/>
  <c r="H847" i="3"/>
  <c r="G847" i="3"/>
  <c r="E847" i="3"/>
  <c r="C847" i="3"/>
  <c r="T847" i="3" s="1"/>
  <c r="B847" i="3"/>
  <c r="Q846" i="3"/>
  <c r="P846" i="3"/>
  <c r="O846" i="3"/>
  <c r="N846" i="3"/>
  <c r="M846" i="3"/>
  <c r="L846" i="3"/>
  <c r="K846" i="3"/>
  <c r="J846" i="3"/>
  <c r="I846" i="3"/>
  <c r="H846" i="3"/>
  <c r="G846" i="3"/>
  <c r="E846" i="3"/>
  <c r="C846" i="3"/>
  <c r="U846" i="3" s="1"/>
  <c r="B846" i="3"/>
  <c r="Q845" i="3"/>
  <c r="P845" i="3"/>
  <c r="O845" i="3"/>
  <c r="N845" i="3"/>
  <c r="M845" i="3"/>
  <c r="L845" i="3"/>
  <c r="K845" i="3"/>
  <c r="J845" i="3"/>
  <c r="I845" i="3"/>
  <c r="H845" i="3"/>
  <c r="G845" i="3"/>
  <c r="E845" i="3"/>
  <c r="C845" i="3"/>
  <c r="B845" i="3"/>
  <c r="Q844" i="3"/>
  <c r="P844" i="3"/>
  <c r="O844" i="3"/>
  <c r="N844" i="3"/>
  <c r="M844" i="3"/>
  <c r="L844" i="3"/>
  <c r="K844" i="3"/>
  <c r="J844" i="3"/>
  <c r="I844" i="3"/>
  <c r="H844" i="3"/>
  <c r="G844" i="3"/>
  <c r="E844" i="3"/>
  <c r="C844" i="3"/>
  <c r="B844" i="3"/>
  <c r="Q843" i="3"/>
  <c r="P843" i="3"/>
  <c r="O843" i="3"/>
  <c r="N843" i="3"/>
  <c r="M843" i="3"/>
  <c r="L843" i="3"/>
  <c r="K843" i="3"/>
  <c r="J843" i="3"/>
  <c r="I843" i="3"/>
  <c r="H843" i="3"/>
  <c r="G843" i="3"/>
  <c r="E843" i="3"/>
  <c r="C843" i="3"/>
  <c r="B843" i="3"/>
  <c r="Q842" i="3"/>
  <c r="P842" i="3"/>
  <c r="O842" i="3"/>
  <c r="N842" i="3"/>
  <c r="M842" i="3"/>
  <c r="L842" i="3"/>
  <c r="K842" i="3"/>
  <c r="J842" i="3"/>
  <c r="I842" i="3"/>
  <c r="H842" i="3"/>
  <c r="G842" i="3"/>
  <c r="E842" i="3"/>
  <c r="C842" i="3"/>
  <c r="B842" i="3"/>
  <c r="Q841" i="3"/>
  <c r="P841" i="3"/>
  <c r="O841" i="3"/>
  <c r="N841" i="3"/>
  <c r="M841" i="3"/>
  <c r="L841" i="3"/>
  <c r="K841" i="3"/>
  <c r="J841" i="3"/>
  <c r="I841" i="3"/>
  <c r="H841" i="3"/>
  <c r="G841" i="3"/>
  <c r="E841" i="3"/>
  <c r="C841" i="3"/>
  <c r="B841" i="3"/>
  <c r="Q840" i="3"/>
  <c r="P840" i="3"/>
  <c r="O840" i="3"/>
  <c r="N840" i="3"/>
  <c r="M840" i="3"/>
  <c r="L840" i="3"/>
  <c r="K840" i="3"/>
  <c r="J840" i="3"/>
  <c r="I840" i="3"/>
  <c r="H840" i="3"/>
  <c r="G840" i="3"/>
  <c r="E840" i="3"/>
  <c r="C840" i="3"/>
  <c r="T840" i="3" s="1"/>
  <c r="B840" i="3"/>
  <c r="Q839" i="3"/>
  <c r="P839" i="3"/>
  <c r="O839" i="3"/>
  <c r="N839" i="3"/>
  <c r="M839" i="3"/>
  <c r="L839" i="3"/>
  <c r="K839" i="3"/>
  <c r="J839" i="3"/>
  <c r="I839" i="3"/>
  <c r="H839" i="3"/>
  <c r="G839" i="3"/>
  <c r="E839" i="3"/>
  <c r="C839" i="3"/>
  <c r="T839" i="3" s="1"/>
  <c r="B839" i="3"/>
  <c r="Q838" i="3"/>
  <c r="P838" i="3"/>
  <c r="O838" i="3"/>
  <c r="N838" i="3"/>
  <c r="M838" i="3"/>
  <c r="L838" i="3"/>
  <c r="K838" i="3"/>
  <c r="J838" i="3"/>
  <c r="I838" i="3"/>
  <c r="H838" i="3"/>
  <c r="G838" i="3"/>
  <c r="E838" i="3"/>
  <c r="C838" i="3"/>
  <c r="B838" i="3"/>
  <c r="Q837" i="3"/>
  <c r="P837" i="3"/>
  <c r="O837" i="3"/>
  <c r="N837" i="3"/>
  <c r="M837" i="3"/>
  <c r="L837" i="3"/>
  <c r="K837" i="3"/>
  <c r="J837" i="3"/>
  <c r="I837" i="3"/>
  <c r="H837" i="3"/>
  <c r="G837" i="3"/>
  <c r="E837" i="3"/>
  <c r="C837" i="3"/>
  <c r="B837" i="3"/>
  <c r="Q836" i="3"/>
  <c r="P836" i="3"/>
  <c r="O836" i="3"/>
  <c r="N836" i="3"/>
  <c r="M836" i="3"/>
  <c r="L836" i="3"/>
  <c r="K836" i="3"/>
  <c r="J836" i="3"/>
  <c r="I836" i="3"/>
  <c r="H836" i="3"/>
  <c r="G836" i="3"/>
  <c r="E836" i="3"/>
  <c r="C836" i="3"/>
  <c r="B836" i="3"/>
  <c r="Q835" i="3"/>
  <c r="P835" i="3"/>
  <c r="O835" i="3"/>
  <c r="N835" i="3"/>
  <c r="M835" i="3"/>
  <c r="L835" i="3"/>
  <c r="K835" i="3"/>
  <c r="J835" i="3"/>
  <c r="I835" i="3"/>
  <c r="H835" i="3"/>
  <c r="G835" i="3"/>
  <c r="E835" i="3"/>
  <c r="C835" i="3"/>
  <c r="B835" i="3"/>
  <c r="Q834" i="3"/>
  <c r="P834" i="3"/>
  <c r="O834" i="3"/>
  <c r="N834" i="3"/>
  <c r="M834" i="3"/>
  <c r="L834" i="3"/>
  <c r="K834" i="3"/>
  <c r="J834" i="3"/>
  <c r="I834" i="3"/>
  <c r="H834" i="3"/>
  <c r="G834" i="3"/>
  <c r="E834" i="3"/>
  <c r="W834" i="3" s="1"/>
  <c r="C834" i="3"/>
  <c r="B834" i="3"/>
  <c r="Q833" i="3"/>
  <c r="P833" i="3"/>
  <c r="O833" i="3"/>
  <c r="N833" i="3"/>
  <c r="M833" i="3"/>
  <c r="L833" i="3"/>
  <c r="K833" i="3"/>
  <c r="J833" i="3"/>
  <c r="I833" i="3"/>
  <c r="H833" i="3"/>
  <c r="G833" i="3"/>
  <c r="E833" i="3"/>
  <c r="W833" i="3" s="1"/>
  <c r="C833" i="3"/>
  <c r="B833" i="3"/>
  <c r="Q832" i="3"/>
  <c r="P832" i="3"/>
  <c r="O832" i="3"/>
  <c r="N832" i="3"/>
  <c r="M832" i="3"/>
  <c r="L832" i="3"/>
  <c r="K832" i="3"/>
  <c r="J832" i="3"/>
  <c r="I832" i="3"/>
  <c r="H832" i="3"/>
  <c r="G832" i="3"/>
  <c r="E832" i="3"/>
  <c r="C832" i="3"/>
  <c r="T832" i="3" s="1"/>
  <c r="B832" i="3"/>
  <c r="Q831" i="3"/>
  <c r="P831" i="3"/>
  <c r="O831" i="3"/>
  <c r="N831" i="3"/>
  <c r="M831" i="3"/>
  <c r="L831" i="3"/>
  <c r="K831" i="3"/>
  <c r="J831" i="3"/>
  <c r="I831" i="3"/>
  <c r="H831" i="3"/>
  <c r="G831" i="3"/>
  <c r="E831" i="3"/>
  <c r="C831" i="3"/>
  <c r="T831" i="3" s="1"/>
  <c r="B831" i="3"/>
  <c r="Q830" i="3"/>
  <c r="P830" i="3"/>
  <c r="O830" i="3"/>
  <c r="N830" i="3"/>
  <c r="M830" i="3"/>
  <c r="L830" i="3"/>
  <c r="K830" i="3"/>
  <c r="J830" i="3"/>
  <c r="I830" i="3"/>
  <c r="H830" i="3"/>
  <c r="G830" i="3"/>
  <c r="E830" i="3"/>
  <c r="C830" i="3"/>
  <c r="B830" i="3"/>
  <c r="Q829" i="3"/>
  <c r="P829" i="3"/>
  <c r="O829" i="3"/>
  <c r="N829" i="3"/>
  <c r="M829" i="3"/>
  <c r="L829" i="3"/>
  <c r="K829" i="3"/>
  <c r="J829" i="3"/>
  <c r="I829" i="3"/>
  <c r="H829" i="3"/>
  <c r="G829" i="3"/>
  <c r="E829" i="3"/>
  <c r="C829" i="3"/>
  <c r="B829" i="3"/>
  <c r="Q828" i="3"/>
  <c r="P828" i="3"/>
  <c r="O828" i="3"/>
  <c r="N828" i="3"/>
  <c r="M828" i="3"/>
  <c r="L828" i="3"/>
  <c r="K828" i="3"/>
  <c r="J828" i="3"/>
  <c r="I828" i="3"/>
  <c r="H828" i="3"/>
  <c r="G828" i="3"/>
  <c r="E828" i="3"/>
  <c r="C828" i="3"/>
  <c r="B828" i="3"/>
  <c r="Q827" i="3"/>
  <c r="P827" i="3"/>
  <c r="O827" i="3"/>
  <c r="N827" i="3"/>
  <c r="M827" i="3"/>
  <c r="L827" i="3"/>
  <c r="K827" i="3"/>
  <c r="J827" i="3"/>
  <c r="I827" i="3"/>
  <c r="H827" i="3"/>
  <c r="G827" i="3"/>
  <c r="E827" i="3"/>
  <c r="C827" i="3"/>
  <c r="B827" i="3"/>
  <c r="Q826" i="3"/>
  <c r="P826" i="3"/>
  <c r="O826" i="3"/>
  <c r="N826" i="3"/>
  <c r="M826" i="3"/>
  <c r="L826" i="3"/>
  <c r="K826" i="3"/>
  <c r="J826" i="3"/>
  <c r="I826" i="3"/>
  <c r="H826" i="3"/>
  <c r="G826" i="3"/>
  <c r="E826" i="3"/>
  <c r="C826" i="3"/>
  <c r="B826" i="3"/>
  <c r="Q825" i="3"/>
  <c r="P825" i="3"/>
  <c r="O825" i="3"/>
  <c r="N825" i="3"/>
  <c r="M825" i="3"/>
  <c r="L825" i="3"/>
  <c r="K825" i="3"/>
  <c r="J825" i="3"/>
  <c r="I825" i="3"/>
  <c r="H825" i="3"/>
  <c r="G825" i="3"/>
  <c r="E825" i="3"/>
  <c r="C825" i="3"/>
  <c r="B825" i="3"/>
  <c r="Q824" i="3"/>
  <c r="P824" i="3"/>
  <c r="O824" i="3"/>
  <c r="N824" i="3"/>
  <c r="M824" i="3"/>
  <c r="L824" i="3"/>
  <c r="K824" i="3"/>
  <c r="J824" i="3"/>
  <c r="I824" i="3"/>
  <c r="H824" i="3"/>
  <c r="G824" i="3"/>
  <c r="E824" i="3"/>
  <c r="C824" i="3"/>
  <c r="T824" i="3" s="1"/>
  <c r="B824" i="3"/>
  <c r="Q823" i="3"/>
  <c r="P823" i="3"/>
  <c r="O823" i="3"/>
  <c r="N823" i="3"/>
  <c r="M823" i="3"/>
  <c r="L823" i="3"/>
  <c r="K823" i="3"/>
  <c r="J823" i="3"/>
  <c r="I823" i="3"/>
  <c r="H823" i="3"/>
  <c r="G823" i="3"/>
  <c r="E823" i="3"/>
  <c r="C823" i="3"/>
  <c r="T823" i="3" s="1"/>
  <c r="B823" i="3"/>
  <c r="Q822" i="3"/>
  <c r="P822" i="3"/>
  <c r="O822" i="3"/>
  <c r="N822" i="3"/>
  <c r="M822" i="3"/>
  <c r="L822" i="3"/>
  <c r="K822" i="3"/>
  <c r="J822" i="3"/>
  <c r="I822" i="3"/>
  <c r="H822" i="3"/>
  <c r="G822" i="3"/>
  <c r="E822" i="3"/>
  <c r="C822" i="3"/>
  <c r="B822" i="3"/>
  <c r="Q821" i="3"/>
  <c r="P821" i="3"/>
  <c r="O821" i="3"/>
  <c r="N821" i="3"/>
  <c r="M821" i="3"/>
  <c r="L821" i="3"/>
  <c r="K821" i="3"/>
  <c r="J821" i="3"/>
  <c r="I821" i="3"/>
  <c r="H821" i="3"/>
  <c r="G821" i="3"/>
  <c r="E821" i="3"/>
  <c r="C821" i="3"/>
  <c r="B821" i="3"/>
  <c r="Q820" i="3"/>
  <c r="P820" i="3"/>
  <c r="O820" i="3"/>
  <c r="N820" i="3"/>
  <c r="M820" i="3"/>
  <c r="L820" i="3"/>
  <c r="K820" i="3"/>
  <c r="J820" i="3"/>
  <c r="I820" i="3"/>
  <c r="H820" i="3"/>
  <c r="G820" i="3"/>
  <c r="E820" i="3"/>
  <c r="C820" i="3"/>
  <c r="B820" i="3"/>
  <c r="Q819" i="3"/>
  <c r="P819" i="3"/>
  <c r="O819" i="3"/>
  <c r="N819" i="3"/>
  <c r="M819" i="3"/>
  <c r="L819" i="3"/>
  <c r="K819" i="3"/>
  <c r="J819" i="3"/>
  <c r="I819" i="3"/>
  <c r="H819" i="3"/>
  <c r="G819" i="3"/>
  <c r="E819" i="3"/>
  <c r="C819" i="3"/>
  <c r="B819" i="3"/>
  <c r="Q818" i="3"/>
  <c r="P818" i="3"/>
  <c r="O818" i="3"/>
  <c r="N818" i="3"/>
  <c r="M818" i="3"/>
  <c r="L818" i="3"/>
  <c r="K818" i="3"/>
  <c r="J818" i="3"/>
  <c r="I818" i="3"/>
  <c r="H818" i="3"/>
  <c r="G818" i="3"/>
  <c r="E818" i="3"/>
  <c r="C818" i="3"/>
  <c r="B818" i="3"/>
  <c r="Q817" i="3"/>
  <c r="P817" i="3"/>
  <c r="O817" i="3"/>
  <c r="N817" i="3"/>
  <c r="M817" i="3"/>
  <c r="L817" i="3"/>
  <c r="K817" i="3"/>
  <c r="J817" i="3"/>
  <c r="I817" i="3"/>
  <c r="H817" i="3"/>
  <c r="G817" i="3"/>
  <c r="E817" i="3"/>
  <c r="C817" i="3"/>
  <c r="B817" i="3"/>
  <c r="Q816" i="3"/>
  <c r="P816" i="3"/>
  <c r="O816" i="3"/>
  <c r="N816" i="3"/>
  <c r="M816" i="3"/>
  <c r="L816" i="3"/>
  <c r="K816" i="3"/>
  <c r="J816" i="3"/>
  <c r="I816" i="3"/>
  <c r="H816" i="3"/>
  <c r="G816" i="3"/>
  <c r="E816" i="3"/>
  <c r="C816" i="3"/>
  <c r="T816" i="3" s="1"/>
  <c r="B816" i="3"/>
  <c r="Q815" i="3"/>
  <c r="P815" i="3"/>
  <c r="O815" i="3"/>
  <c r="N815" i="3"/>
  <c r="M815" i="3"/>
  <c r="L815" i="3"/>
  <c r="K815" i="3"/>
  <c r="J815" i="3"/>
  <c r="I815" i="3"/>
  <c r="H815" i="3"/>
  <c r="G815" i="3"/>
  <c r="E815" i="3"/>
  <c r="C815" i="3"/>
  <c r="U815" i="3" s="1"/>
  <c r="B815" i="3"/>
  <c r="Q814" i="3"/>
  <c r="P814" i="3"/>
  <c r="O814" i="3"/>
  <c r="N814" i="3"/>
  <c r="M814" i="3"/>
  <c r="L814" i="3"/>
  <c r="K814" i="3"/>
  <c r="J814" i="3"/>
  <c r="I814" i="3"/>
  <c r="H814" i="3"/>
  <c r="G814" i="3"/>
  <c r="E814" i="3"/>
  <c r="C814" i="3"/>
  <c r="U814" i="3" s="1"/>
  <c r="B814" i="3"/>
  <c r="Q813" i="3"/>
  <c r="P813" i="3"/>
  <c r="O813" i="3"/>
  <c r="N813" i="3"/>
  <c r="M813" i="3"/>
  <c r="L813" i="3"/>
  <c r="K813" i="3"/>
  <c r="J813" i="3"/>
  <c r="I813" i="3"/>
  <c r="H813" i="3"/>
  <c r="G813" i="3"/>
  <c r="E813" i="3"/>
  <c r="C813" i="3"/>
  <c r="B813" i="3"/>
  <c r="Q812" i="3"/>
  <c r="P812" i="3"/>
  <c r="O812" i="3"/>
  <c r="N812" i="3"/>
  <c r="M812" i="3"/>
  <c r="L812" i="3"/>
  <c r="K812" i="3"/>
  <c r="J812" i="3"/>
  <c r="I812" i="3"/>
  <c r="H812" i="3"/>
  <c r="G812" i="3"/>
  <c r="E812" i="3"/>
  <c r="C812" i="3"/>
  <c r="B812" i="3"/>
  <c r="Q811" i="3"/>
  <c r="P811" i="3"/>
  <c r="O811" i="3"/>
  <c r="N811" i="3"/>
  <c r="M811" i="3"/>
  <c r="L811" i="3"/>
  <c r="K811" i="3"/>
  <c r="J811" i="3"/>
  <c r="I811" i="3"/>
  <c r="H811" i="3"/>
  <c r="G811" i="3"/>
  <c r="E811" i="3"/>
  <c r="C811" i="3"/>
  <c r="B811" i="3"/>
  <c r="Q810" i="3"/>
  <c r="P810" i="3"/>
  <c r="O810" i="3"/>
  <c r="N810" i="3"/>
  <c r="M810" i="3"/>
  <c r="L810" i="3"/>
  <c r="K810" i="3"/>
  <c r="J810" i="3"/>
  <c r="I810" i="3"/>
  <c r="H810" i="3"/>
  <c r="G810" i="3"/>
  <c r="E810" i="3"/>
  <c r="C810" i="3"/>
  <c r="B810" i="3"/>
  <c r="Q809" i="3"/>
  <c r="P809" i="3"/>
  <c r="O809" i="3"/>
  <c r="N809" i="3"/>
  <c r="M809" i="3"/>
  <c r="L809" i="3"/>
  <c r="K809" i="3"/>
  <c r="J809" i="3"/>
  <c r="I809" i="3"/>
  <c r="H809" i="3"/>
  <c r="G809" i="3"/>
  <c r="E809" i="3"/>
  <c r="C809" i="3"/>
  <c r="B809" i="3"/>
  <c r="Q808" i="3"/>
  <c r="P808" i="3"/>
  <c r="O808" i="3"/>
  <c r="N808" i="3"/>
  <c r="M808" i="3"/>
  <c r="L808" i="3"/>
  <c r="K808" i="3"/>
  <c r="J808" i="3"/>
  <c r="I808" i="3"/>
  <c r="H808" i="3"/>
  <c r="G808" i="3"/>
  <c r="E808" i="3"/>
  <c r="C808" i="3"/>
  <c r="T808" i="3" s="1"/>
  <c r="B808" i="3"/>
  <c r="Q807" i="3"/>
  <c r="P807" i="3"/>
  <c r="O807" i="3"/>
  <c r="N807" i="3"/>
  <c r="M807" i="3"/>
  <c r="L807" i="3"/>
  <c r="K807" i="3"/>
  <c r="J807" i="3"/>
  <c r="I807" i="3"/>
  <c r="H807" i="3"/>
  <c r="G807" i="3"/>
  <c r="E807" i="3"/>
  <c r="C807" i="3"/>
  <c r="T807" i="3" s="1"/>
  <c r="B807" i="3"/>
  <c r="Q806" i="3"/>
  <c r="P806" i="3"/>
  <c r="O806" i="3"/>
  <c r="N806" i="3"/>
  <c r="M806" i="3"/>
  <c r="L806" i="3"/>
  <c r="K806" i="3"/>
  <c r="J806" i="3"/>
  <c r="I806" i="3"/>
  <c r="H806" i="3"/>
  <c r="G806" i="3"/>
  <c r="E806" i="3"/>
  <c r="C806" i="3"/>
  <c r="B806" i="3"/>
  <c r="Q805" i="3"/>
  <c r="P805" i="3"/>
  <c r="O805" i="3"/>
  <c r="N805" i="3"/>
  <c r="M805" i="3"/>
  <c r="L805" i="3"/>
  <c r="K805" i="3"/>
  <c r="J805" i="3"/>
  <c r="I805" i="3"/>
  <c r="H805" i="3"/>
  <c r="G805" i="3"/>
  <c r="E805" i="3"/>
  <c r="C805" i="3"/>
  <c r="B805" i="3"/>
  <c r="Q804" i="3"/>
  <c r="P804" i="3"/>
  <c r="O804" i="3"/>
  <c r="N804" i="3"/>
  <c r="M804" i="3"/>
  <c r="L804" i="3"/>
  <c r="K804" i="3"/>
  <c r="J804" i="3"/>
  <c r="I804" i="3"/>
  <c r="H804" i="3"/>
  <c r="G804" i="3"/>
  <c r="E804" i="3"/>
  <c r="C804" i="3"/>
  <c r="B804" i="3"/>
  <c r="Q803" i="3"/>
  <c r="P803" i="3"/>
  <c r="O803" i="3"/>
  <c r="N803" i="3"/>
  <c r="M803" i="3"/>
  <c r="L803" i="3"/>
  <c r="K803" i="3"/>
  <c r="J803" i="3"/>
  <c r="I803" i="3"/>
  <c r="H803" i="3"/>
  <c r="G803" i="3"/>
  <c r="E803" i="3"/>
  <c r="C803" i="3"/>
  <c r="B803" i="3"/>
  <c r="Q802" i="3"/>
  <c r="P802" i="3"/>
  <c r="O802" i="3"/>
  <c r="N802" i="3"/>
  <c r="M802" i="3"/>
  <c r="L802" i="3"/>
  <c r="K802" i="3"/>
  <c r="J802" i="3"/>
  <c r="I802" i="3"/>
  <c r="H802" i="3"/>
  <c r="G802" i="3"/>
  <c r="E802" i="3"/>
  <c r="C802" i="3"/>
  <c r="B802" i="3"/>
  <c r="Q801" i="3"/>
  <c r="P801" i="3"/>
  <c r="O801" i="3"/>
  <c r="N801" i="3"/>
  <c r="M801" i="3"/>
  <c r="L801" i="3"/>
  <c r="K801" i="3"/>
  <c r="J801" i="3"/>
  <c r="I801" i="3"/>
  <c r="H801" i="3"/>
  <c r="G801" i="3"/>
  <c r="E801" i="3"/>
  <c r="C801" i="3"/>
  <c r="B801" i="3"/>
  <c r="Q800" i="3"/>
  <c r="P800" i="3"/>
  <c r="O800" i="3"/>
  <c r="N800" i="3"/>
  <c r="M800" i="3"/>
  <c r="L800" i="3"/>
  <c r="K800" i="3"/>
  <c r="J800" i="3"/>
  <c r="I800" i="3"/>
  <c r="H800" i="3"/>
  <c r="G800" i="3"/>
  <c r="E800" i="3"/>
  <c r="C800" i="3"/>
  <c r="T800" i="3" s="1"/>
  <c r="B800" i="3"/>
  <c r="Q799" i="3"/>
  <c r="P799" i="3"/>
  <c r="O799" i="3"/>
  <c r="N799" i="3"/>
  <c r="M799" i="3"/>
  <c r="L799" i="3"/>
  <c r="K799" i="3"/>
  <c r="J799" i="3"/>
  <c r="I799" i="3"/>
  <c r="H799" i="3"/>
  <c r="G799" i="3"/>
  <c r="E799" i="3"/>
  <c r="C799" i="3"/>
  <c r="T799" i="3" s="1"/>
  <c r="B799" i="3"/>
  <c r="Q798" i="3"/>
  <c r="P798" i="3"/>
  <c r="O798" i="3"/>
  <c r="N798" i="3"/>
  <c r="M798" i="3"/>
  <c r="L798" i="3"/>
  <c r="K798" i="3"/>
  <c r="J798" i="3"/>
  <c r="I798" i="3"/>
  <c r="H798" i="3"/>
  <c r="G798" i="3"/>
  <c r="E798" i="3"/>
  <c r="C798" i="3"/>
  <c r="B798" i="3"/>
  <c r="Q797" i="3"/>
  <c r="P797" i="3"/>
  <c r="O797" i="3"/>
  <c r="N797" i="3"/>
  <c r="M797" i="3"/>
  <c r="L797" i="3"/>
  <c r="K797" i="3"/>
  <c r="J797" i="3"/>
  <c r="I797" i="3"/>
  <c r="H797" i="3"/>
  <c r="G797" i="3"/>
  <c r="E797" i="3"/>
  <c r="C797" i="3"/>
  <c r="B797" i="3"/>
  <c r="Q796" i="3"/>
  <c r="P796" i="3"/>
  <c r="O796" i="3"/>
  <c r="N796" i="3"/>
  <c r="M796" i="3"/>
  <c r="L796" i="3"/>
  <c r="K796" i="3"/>
  <c r="J796" i="3"/>
  <c r="I796" i="3"/>
  <c r="H796" i="3"/>
  <c r="G796" i="3"/>
  <c r="E796" i="3"/>
  <c r="C796" i="3"/>
  <c r="B796" i="3"/>
  <c r="Q795" i="3"/>
  <c r="P795" i="3"/>
  <c r="O795" i="3"/>
  <c r="N795" i="3"/>
  <c r="M795" i="3"/>
  <c r="L795" i="3"/>
  <c r="K795" i="3"/>
  <c r="J795" i="3"/>
  <c r="I795" i="3"/>
  <c r="H795" i="3"/>
  <c r="G795" i="3"/>
  <c r="E795" i="3"/>
  <c r="C795" i="3"/>
  <c r="B795" i="3"/>
  <c r="Q794" i="3"/>
  <c r="P794" i="3"/>
  <c r="O794" i="3"/>
  <c r="N794" i="3"/>
  <c r="M794" i="3"/>
  <c r="L794" i="3"/>
  <c r="K794" i="3"/>
  <c r="J794" i="3"/>
  <c r="I794" i="3"/>
  <c r="H794" i="3"/>
  <c r="G794" i="3"/>
  <c r="E794" i="3"/>
  <c r="C794" i="3"/>
  <c r="B794" i="3"/>
  <c r="Q793" i="3"/>
  <c r="P793" i="3"/>
  <c r="O793" i="3"/>
  <c r="N793" i="3"/>
  <c r="M793" i="3"/>
  <c r="L793" i="3"/>
  <c r="K793" i="3"/>
  <c r="J793" i="3"/>
  <c r="I793" i="3"/>
  <c r="H793" i="3"/>
  <c r="G793" i="3"/>
  <c r="E793" i="3"/>
  <c r="C793" i="3"/>
  <c r="B793" i="3"/>
  <c r="Q792" i="3"/>
  <c r="P792" i="3"/>
  <c r="O792" i="3"/>
  <c r="N792" i="3"/>
  <c r="M792" i="3"/>
  <c r="L792" i="3"/>
  <c r="K792" i="3"/>
  <c r="J792" i="3"/>
  <c r="I792" i="3"/>
  <c r="H792" i="3"/>
  <c r="G792" i="3"/>
  <c r="E792" i="3"/>
  <c r="C792" i="3"/>
  <c r="T792" i="3" s="1"/>
  <c r="B792" i="3"/>
  <c r="Q791" i="3"/>
  <c r="P791" i="3"/>
  <c r="O791" i="3"/>
  <c r="N791" i="3"/>
  <c r="M791" i="3"/>
  <c r="L791" i="3"/>
  <c r="K791" i="3"/>
  <c r="J791" i="3"/>
  <c r="I791" i="3"/>
  <c r="H791" i="3"/>
  <c r="G791" i="3"/>
  <c r="E791" i="3"/>
  <c r="C791" i="3"/>
  <c r="T791" i="3" s="1"/>
  <c r="B791" i="3"/>
  <c r="Q790" i="3"/>
  <c r="P790" i="3"/>
  <c r="O790" i="3"/>
  <c r="N790" i="3"/>
  <c r="M790" i="3"/>
  <c r="L790" i="3"/>
  <c r="K790" i="3"/>
  <c r="J790" i="3"/>
  <c r="I790" i="3"/>
  <c r="H790" i="3"/>
  <c r="G790" i="3"/>
  <c r="E790" i="3"/>
  <c r="C790" i="3"/>
  <c r="B790" i="3"/>
  <c r="Q789" i="3"/>
  <c r="P789" i="3"/>
  <c r="O789" i="3"/>
  <c r="N789" i="3"/>
  <c r="M789" i="3"/>
  <c r="L789" i="3"/>
  <c r="K789" i="3"/>
  <c r="J789" i="3"/>
  <c r="I789" i="3"/>
  <c r="H789" i="3"/>
  <c r="G789" i="3"/>
  <c r="E789" i="3"/>
  <c r="C789" i="3"/>
  <c r="B789" i="3"/>
  <c r="Q788" i="3"/>
  <c r="P788" i="3"/>
  <c r="O788" i="3"/>
  <c r="N788" i="3"/>
  <c r="M788" i="3"/>
  <c r="L788" i="3"/>
  <c r="K788" i="3"/>
  <c r="J788" i="3"/>
  <c r="I788" i="3"/>
  <c r="H788" i="3"/>
  <c r="G788" i="3"/>
  <c r="E788" i="3"/>
  <c r="C788" i="3"/>
  <c r="B788" i="3"/>
  <c r="Q787" i="3"/>
  <c r="P787" i="3"/>
  <c r="O787" i="3"/>
  <c r="N787" i="3"/>
  <c r="M787" i="3"/>
  <c r="L787" i="3"/>
  <c r="K787" i="3"/>
  <c r="J787" i="3"/>
  <c r="I787" i="3"/>
  <c r="H787" i="3"/>
  <c r="G787" i="3"/>
  <c r="E787" i="3"/>
  <c r="C787" i="3"/>
  <c r="B787" i="3"/>
  <c r="Q786" i="3"/>
  <c r="P786" i="3"/>
  <c r="O786" i="3"/>
  <c r="N786" i="3"/>
  <c r="M786" i="3"/>
  <c r="L786" i="3"/>
  <c r="K786" i="3"/>
  <c r="J786" i="3"/>
  <c r="I786" i="3"/>
  <c r="H786" i="3"/>
  <c r="G786" i="3"/>
  <c r="E786" i="3"/>
  <c r="C786" i="3"/>
  <c r="B786" i="3"/>
  <c r="Q785" i="3"/>
  <c r="P785" i="3"/>
  <c r="O785" i="3"/>
  <c r="N785" i="3"/>
  <c r="M785" i="3"/>
  <c r="L785" i="3"/>
  <c r="K785" i="3"/>
  <c r="J785" i="3"/>
  <c r="I785" i="3"/>
  <c r="H785" i="3"/>
  <c r="G785" i="3"/>
  <c r="E785" i="3"/>
  <c r="C785" i="3"/>
  <c r="B785" i="3"/>
  <c r="Q784" i="3"/>
  <c r="P784" i="3"/>
  <c r="O784" i="3"/>
  <c r="N784" i="3"/>
  <c r="M784" i="3"/>
  <c r="L784" i="3"/>
  <c r="K784" i="3"/>
  <c r="J784" i="3"/>
  <c r="I784" i="3"/>
  <c r="H784" i="3"/>
  <c r="G784" i="3"/>
  <c r="E784" i="3"/>
  <c r="C784" i="3"/>
  <c r="T784" i="3" s="1"/>
  <c r="B784" i="3"/>
  <c r="Q783" i="3"/>
  <c r="P783" i="3"/>
  <c r="O783" i="3"/>
  <c r="N783" i="3"/>
  <c r="M783" i="3"/>
  <c r="L783" i="3"/>
  <c r="K783" i="3"/>
  <c r="J783" i="3"/>
  <c r="I783" i="3"/>
  <c r="H783" i="3"/>
  <c r="G783" i="3"/>
  <c r="E783" i="3"/>
  <c r="C783" i="3"/>
  <c r="T783" i="3" s="1"/>
  <c r="B783" i="3"/>
  <c r="Q782" i="3"/>
  <c r="P782" i="3"/>
  <c r="O782" i="3"/>
  <c r="N782" i="3"/>
  <c r="M782" i="3"/>
  <c r="L782" i="3"/>
  <c r="K782" i="3"/>
  <c r="J782" i="3"/>
  <c r="I782" i="3"/>
  <c r="H782" i="3"/>
  <c r="G782" i="3"/>
  <c r="E782" i="3"/>
  <c r="C782" i="3"/>
  <c r="U782" i="3" s="1"/>
  <c r="B782" i="3"/>
  <c r="Q781" i="3"/>
  <c r="P781" i="3"/>
  <c r="O781" i="3"/>
  <c r="N781" i="3"/>
  <c r="M781" i="3"/>
  <c r="L781" i="3"/>
  <c r="K781" i="3"/>
  <c r="J781" i="3"/>
  <c r="I781" i="3"/>
  <c r="H781" i="3"/>
  <c r="G781" i="3"/>
  <c r="E781" i="3"/>
  <c r="C781" i="3"/>
  <c r="B781" i="3"/>
  <c r="Q780" i="3"/>
  <c r="P780" i="3"/>
  <c r="O780" i="3"/>
  <c r="N780" i="3"/>
  <c r="M780" i="3"/>
  <c r="L780" i="3"/>
  <c r="K780" i="3"/>
  <c r="J780" i="3"/>
  <c r="I780" i="3"/>
  <c r="H780" i="3"/>
  <c r="G780" i="3"/>
  <c r="E780" i="3"/>
  <c r="C780" i="3"/>
  <c r="B780" i="3"/>
  <c r="Q779" i="3"/>
  <c r="P779" i="3"/>
  <c r="O779" i="3"/>
  <c r="N779" i="3"/>
  <c r="M779" i="3"/>
  <c r="L779" i="3"/>
  <c r="K779" i="3"/>
  <c r="J779" i="3"/>
  <c r="I779" i="3"/>
  <c r="H779" i="3"/>
  <c r="G779" i="3"/>
  <c r="E779" i="3"/>
  <c r="C779" i="3"/>
  <c r="B779" i="3"/>
  <c r="Q778" i="3"/>
  <c r="P778" i="3"/>
  <c r="O778" i="3"/>
  <c r="N778" i="3"/>
  <c r="M778" i="3"/>
  <c r="L778" i="3"/>
  <c r="K778" i="3"/>
  <c r="J778" i="3"/>
  <c r="I778" i="3"/>
  <c r="H778" i="3"/>
  <c r="G778" i="3"/>
  <c r="E778" i="3"/>
  <c r="C778" i="3"/>
  <c r="B778" i="3"/>
  <c r="Q777" i="3"/>
  <c r="P777" i="3"/>
  <c r="O777" i="3"/>
  <c r="N777" i="3"/>
  <c r="M777" i="3"/>
  <c r="L777" i="3"/>
  <c r="K777" i="3"/>
  <c r="J777" i="3"/>
  <c r="I777" i="3"/>
  <c r="H777" i="3"/>
  <c r="G777" i="3"/>
  <c r="E777" i="3"/>
  <c r="C777" i="3"/>
  <c r="B777" i="3"/>
  <c r="Q776" i="3"/>
  <c r="P776" i="3"/>
  <c r="O776" i="3"/>
  <c r="N776" i="3"/>
  <c r="M776" i="3"/>
  <c r="L776" i="3"/>
  <c r="K776" i="3"/>
  <c r="J776" i="3"/>
  <c r="I776" i="3"/>
  <c r="H776" i="3"/>
  <c r="G776" i="3"/>
  <c r="E776" i="3"/>
  <c r="C776" i="3"/>
  <c r="T776" i="3" s="1"/>
  <c r="B776" i="3"/>
  <c r="Q775" i="3"/>
  <c r="P775" i="3"/>
  <c r="O775" i="3"/>
  <c r="N775" i="3"/>
  <c r="M775" i="3"/>
  <c r="L775" i="3"/>
  <c r="K775" i="3"/>
  <c r="J775" i="3"/>
  <c r="I775" i="3"/>
  <c r="H775" i="3"/>
  <c r="G775" i="3"/>
  <c r="E775" i="3"/>
  <c r="C775" i="3"/>
  <c r="T775" i="3" s="1"/>
  <c r="B775" i="3"/>
  <c r="Q774" i="3"/>
  <c r="P774" i="3"/>
  <c r="O774" i="3"/>
  <c r="N774" i="3"/>
  <c r="M774" i="3"/>
  <c r="L774" i="3"/>
  <c r="K774" i="3"/>
  <c r="J774" i="3"/>
  <c r="I774" i="3"/>
  <c r="H774" i="3"/>
  <c r="G774" i="3"/>
  <c r="E774" i="3"/>
  <c r="C774" i="3"/>
  <c r="B774" i="3"/>
  <c r="Q773" i="3"/>
  <c r="P773" i="3"/>
  <c r="O773" i="3"/>
  <c r="N773" i="3"/>
  <c r="M773" i="3"/>
  <c r="L773" i="3"/>
  <c r="K773" i="3"/>
  <c r="J773" i="3"/>
  <c r="I773" i="3"/>
  <c r="H773" i="3"/>
  <c r="G773" i="3"/>
  <c r="E773" i="3"/>
  <c r="C773" i="3"/>
  <c r="B773" i="3"/>
  <c r="Q772" i="3"/>
  <c r="P772" i="3"/>
  <c r="O772" i="3"/>
  <c r="N772" i="3"/>
  <c r="M772" i="3"/>
  <c r="L772" i="3"/>
  <c r="K772" i="3"/>
  <c r="J772" i="3"/>
  <c r="I772" i="3"/>
  <c r="H772" i="3"/>
  <c r="G772" i="3"/>
  <c r="E772" i="3"/>
  <c r="C772" i="3"/>
  <c r="B772" i="3"/>
  <c r="Q771" i="3"/>
  <c r="P771" i="3"/>
  <c r="O771" i="3"/>
  <c r="N771" i="3"/>
  <c r="M771" i="3"/>
  <c r="L771" i="3"/>
  <c r="K771" i="3"/>
  <c r="J771" i="3"/>
  <c r="I771" i="3"/>
  <c r="H771" i="3"/>
  <c r="G771" i="3"/>
  <c r="E771" i="3"/>
  <c r="C771" i="3"/>
  <c r="B771" i="3"/>
  <c r="Q770" i="3"/>
  <c r="P770" i="3"/>
  <c r="O770" i="3"/>
  <c r="N770" i="3"/>
  <c r="M770" i="3"/>
  <c r="L770" i="3"/>
  <c r="K770" i="3"/>
  <c r="J770" i="3"/>
  <c r="I770" i="3"/>
  <c r="H770" i="3"/>
  <c r="G770" i="3"/>
  <c r="E770" i="3"/>
  <c r="C770" i="3"/>
  <c r="B770" i="3"/>
  <c r="Q769" i="3"/>
  <c r="P769" i="3"/>
  <c r="O769" i="3"/>
  <c r="N769" i="3"/>
  <c r="M769" i="3"/>
  <c r="L769" i="3"/>
  <c r="K769" i="3"/>
  <c r="J769" i="3"/>
  <c r="I769" i="3"/>
  <c r="H769" i="3"/>
  <c r="G769" i="3"/>
  <c r="E769" i="3"/>
  <c r="C769" i="3"/>
  <c r="B769" i="3"/>
  <c r="Q768" i="3"/>
  <c r="P768" i="3"/>
  <c r="O768" i="3"/>
  <c r="N768" i="3"/>
  <c r="M768" i="3"/>
  <c r="L768" i="3"/>
  <c r="K768" i="3"/>
  <c r="J768" i="3"/>
  <c r="I768" i="3"/>
  <c r="H768" i="3"/>
  <c r="G768" i="3"/>
  <c r="E768" i="3"/>
  <c r="C768" i="3"/>
  <c r="T768" i="3" s="1"/>
  <c r="B768" i="3"/>
  <c r="Q767" i="3"/>
  <c r="P767" i="3"/>
  <c r="O767" i="3"/>
  <c r="N767" i="3"/>
  <c r="M767" i="3"/>
  <c r="L767" i="3"/>
  <c r="K767" i="3"/>
  <c r="J767" i="3"/>
  <c r="I767" i="3"/>
  <c r="H767" i="3"/>
  <c r="G767" i="3"/>
  <c r="E767" i="3"/>
  <c r="C767" i="3"/>
  <c r="T767" i="3" s="1"/>
  <c r="B767" i="3"/>
  <c r="Q766" i="3"/>
  <c r="P766" i="3"/>
  <c r="O766" i="3"/>
  <c r="N766" i="3"/>
  <c r="M766" i="3"/>
  <c r="L766" i="3"/>
  <c r="K766" i="3"/>
  <c r="J766" i="3"/>
  <c r="I766" i="3"/>
  <c r="H766" i="3"/>
  <c r="G766" i="3"/>
  <c r="E766" i="3"/>
  <c r="C766" i="3"/>
  <c r="B766" i="3"/>
  <c r="R765" i="3"/>
  <c r="Q765" i="3"/>
  <c r="P765" i="3"/>
  <c r="O765" i="3"/>
  <c r="N765" i="3"/>
  <c r="M765" i="3"/>
  <c r="L765" i="3"/>
  <c r="K765" i="3"/>
  <c r="J765" i="3"/>
  <c r="I765" i="3"/>
  <c r="H765" i="3"/>
  <c r="G765" i="3"/>
  <c r="E765" i="3"/>
  <c r="C765" i="3"/>
  <c r="B765" i="3"/>
  <c r="A765" i="3"/>
  <c r="R764" i="3"/>
  <c r="Q764" i="3"/>
  <c r="P764" i="3"/>
  <c r="O764" i="3"/>
  <c r="N764" i="3"/>
  <c r="M764" i="3"/>
  <c r="L764" i="3"/>
  <c r="K764" i="3"/>
  <c r="J764" i="3"/>
  <c r="I764" i="3"/>
  <c r="H764" i="3"/>
  <c r="G764" i="3"/>
  <c r="E764" i="3"/>
  <c r="C764" i="3"/>
  <c r="B764" i="3"/>
  <c r="A764" i="3"/>
  <c r="R763" i="3"/>
  <c r="Q763" i="3"/>
  <c r="P763" i="3"/>
  <c r="O763" i="3"/>
  <c r="N763" i="3"/>
  <c r="M763" i="3"/>
  <c r="L763" i="3"/>
  <c r="K763" i="3"/>
  <c r="J763" i="3"/>
  <c r="I763" i="3"/>
  <c r="H763" i="3"/>
  <c r="G763" i="3"/>
  <c r="E763" i="3"/>
  <c r="C763" i="3"/>
  <c r="B763" i="3"/>
  <c r="A763" i="3"/>
  <c r="R762" i="3"/>
  <c r="Q762" i="3"/>
  <c r="P762" i="3"/>
  <c r="O762" i="3"/>
  <c r="N762" i="3"/>
  <c r="M762" i="3"/>
  <c r="L762" i="3"/>
  <c r="K762" i="3"/>
  <c r="J762" i="3"/>
  <c r="I762" i="3"/>
  <c r="H762" i="3"/>
  <c r="G762" i="3"/>
  <c r="E762" i="3"/>
  <c r="C762" i="3"/>
  <c r="B762" i="3"/>
  <c r="A762" i="3"/>
  <c r="R761" i="3"/>
  <c r="Q761" i="3"/>
  <c r="P761" i="3"/>
  <c r="O761" i="3"/>
  <c r="N761" i="3"/>
  <c r="M761" i="3"/>
  <c r="L761" i="3"/>
  <c r="K761" i="3"/>
  <c r="J761" i="3"/>
  <c r="I761" i="3"/>
  <c r="H761" i="3"/>
  <c r="G761" i="3"/>
  <c r="E761" i="3"/>
  <c r="C761" i="3"/>
  <c r="B761" i="3"/>
  <c r="A761" i="3"/>
  <c r="R760" i="3"/>
  <c r="Q760" i="3"/>
  <c r="P760" i="3"/>
  <c r="O760" i="3"/>
  <c r="N760" i="3"/>
  <c r="M760" i="3"/>
  <c r="L760" i="3"/>
  <c r="K760" i="3"/>
  <c r="J760" i="3"/>
  <c r="I760" i="3"/>
  <c r="H760" i="3"/>
  <c r="G760" i="3"/>
  <c r="E760" i="3"/>
  <c r="C760" i="3"/>
  <c r="T760" i="3" s="1"/>
  <c r="B760" i="3"/>
  <c r="A760" i="3"/>
  <c r="R759" i="3"/>
  <c r="Q759" i="3"/>
  <c r="P759" i="3"/>
  <c r="O759" i="3"/>
  <c r="N759" i="3"/>
  <c r="M759" i="3"/>
  <c r="L759" i="3"/>
  <c r="K759" i="3"/>
  <c r="J759" i="3"/>
  <c r="I759" i="3"/>
  <c r="H759" i="3"/>
  <c r="G759" i="3"/>
  <c r="E759" i="3"/>
  <c r="C759" i="3"/>
  <c r="T759" i="3" s="1"/>
  <c r="B759" i="3"/>
  <c r="A759" i="3"/>
  <c r="R758" i="3"/>
  <c r="Q758" i="3"/>
  <c r="P758" i="3"/>
  <c r="O758" i="3"/>
  <c r="N758" i="3"/>
  <c r="M758" i="3"/>
  <c r="L758" i="3"/>
  <c r="K758" i="3"/>
  <c r="J758" i="3"/>
  <c r="I758" i="3"/>
  <c r="H758" i="3"/>
  <c r="G758" i="3"/>
  <c r="E758" i="3"/>
  <c r="C758" i="3"/>
  <c r="B758" i="3"/>
  <c r="A758" i="3"/>
  <c r="R757" i="3"/>
  <c r="Q757" i="3"/>
  <c r="P757" i="3"/>
  <c r="O757" i="3"/>
  <c r="N757" i="3"/>
  <c r="M757" i="3"/>
  <c r="L757" i="3"/>
  <c r="K757" i="3"/>
  <c r="J757" i="3"/>
  <c r="I757" i="3"/>
  <c r="H757" i="3"/>
  <c r="G757" i="3"/>
  <c r="E757" i="3"/>
  <c r="C757" i="3"/>
  <c r="B757" i="3"/>
  <c r="A757" i="3"/>
  <c r="R756" i="3"/>
  <c r="Q756" i="3"/>
  <c r="P756" i="3"/>
  <c r="O756" i="3"/>
  <c r="N756" i="3"/>
  <c r="M756" i="3"/>
  <c r="L756" i="3"/>
  <c r="K756" i="3"/>
  <c r="J756" i="3"/>
  <c r="I756" i="3"/>
  <c r="H756" i="3"/>
  <c r="G756" i="3"/>
  <c r="E756" i="3"/>
  <c r="C756" i="3"/>
  <c r="B756" i="3"/>
  <c r="A756" i="3"/>
  <c r="R755" i="3"/>
  <c r="Q755" i="3"/>
  <c r="P755" i="3"/>
  <c r="O755" i="3"/>
  <c r="N755" i="3"/>
  <c r="M755" i="3"/>
  <c r="L755" i="3"/>
  <c r="K755" i="3"/>
  <c r="J755" i="3"/>
  <c r="I755" i="3"/>
  <c r="H755" i="3"/>
  <c r="G755" i="3"/>
  <c r="E755" i="3"/>
  <c r="C755" i="3"/>
  <c r="B755" i="3"/>
  <c r="A755" i="3"/>
  <c r="R754" i="3"/>
  <c r="Q754" i="3"/>
  <c r="P754" i="3"/>
  <c r="O754" i="3"/>
  <c r="N754" i="3"/>
  <c r="M754" i="3"/>
  <c r="L754" i="3"/>
  <c r="K754" i="3"/>
  <c r="J754" i="3"/>
  <c r="I754" i="3"/>
  <c r="H754" i="3"/>
  <c r="G754" i="3"/>
  <c r="E754" i="3"/>
  <c r="C754" i="3"/>
  <c r="B754" i="3"/>
  <c r="A754" i="3"/>
  <c r="R753" i="3"/>
  <c r="Q753" i="3"/>
  <c r="P753" i="3"/>
  <c r="O753" i="3"/>
  <c r="N753" i="3"/>
  <c r="M753" i="3"/>
  <c r="L753" i="3"/>
  <c r="K753" i="3"/>
  <c r="J753" i="3"/>
  <c r="I753" i="3"/>
  <c r="H753" i="3"/>
  <c r="G753" i="3"/>
  <c r="E753" i="3"/>
  <c r="C753" i="3"/>
  <c r="B753" i="3"/>
  <c r="A753" i="3"/>
  <c r="R752" i="3"/>
  <c r="Q752" i="3"/>
  <c r="P752" i="3"/>
  <c r="O752" i="3"/>
  <c r="N752" i="3"/>
  <c r="M752" i="3"/>
  <c r="L752" i="3"/>
  <c r="K752" i="3"/>
  <c r="J752" i="3"/>
  <c r="I752" i="3"/>
  <c r="H752" i="3"/>
  <c r="G752" i="3"/>
  <c r="E752" i="3"/>
  <c r="C752" i="3"/>
  <c r="T752" i="3" s="1"/>
  <c r="B752" i="3"/>
  <c r="A752" i="3"/>
  <c r="R751" i="3"/>
  <c r="Q751" i="3"/>
  <c r="P751" i="3"/>
  <c r="O751" i="3"/>
  <c r="N751" i="3"/>
  <c r="M751" i="3"/>
  <c r="L751" i="3"/>
  <c r="K751" i="3"/>
  <c r="J751" i="3"/>
  <c r="I751" i="3"/>
  <c r="H751" i="3"/>
  <c r="G751" i="3"/>
  <c r="E751" i="3"/>
  <c r="C751" i="3"/>
  <c r="T751" i="3" s="1"/>
  <c r="B751" i="3"/>
  <c r="A751" i="3"/>
  <c r="R750" i="3"/>
  <c r="Q750" i="3"/>
  <c r="P750" i="3"/>
  <c r="O750" i="3"/>
  <c r="N750" i="3"/>
  <c r="M750" i="3"/>
  <c r="L750" i="3"/>
  <c r="K750" i="3"/>
  <c r="J750" i="3"/>
  <c r="I750" i="3"/>
  <c r="H750" i="3"/>
  <c r="G750" i="3"/>
  <c r="E750" i="3"/>
  <c r="C750" i="3"/>
  <c r="U750" i="3" s="1"/>
  <c r="B750" i="3"/>
  <c r="A750" i="3"/>
  <c r="R749" i="3"/>
  <c r="Q749" i="3"/>
  <c r="P749" i="3"/>
  <c r="O749" i="3"/>
  <c r="N749" i="3"/>
  <c r="M749" i="3"/>
  <c r="L749" i="3"/>
  <c r="K749" i="3"/>
  <c r="J749" i="3"/>
  <c r="I749" i="3"/>
  <c r="H749" i="3"/>
  <c r="G749" i="3"/>
  <c r="E749" i="3"/>
  <c r="C749" i="3"/>
  <c r="B749" i="3"/>
  <c r="A749" i="3"/>
  <c r="R748" i="3"/>
  <c r="Q748" i="3"/>
  <c r="P748" i="3"/>
  <c r="O748" i="3"/>
  <c r="N748" i="3"/>
  <c r="M748" i="3"/>
  <c r="L748" i="3"/>
  <c r="K748" i="3"/>
  <c r="J748" i="3"/>
  <c r="I748" i="3"/>
  <c r="H748" i="3"/>
  <c r="G748" i="3"/>
  <c r="E748" i="3"/>
  <c r="C748" i="3"/>
  <c r="B748" i="3"/>
  <c r="A748" i="3"/>
  <c r="R747" i="3"/>
  <c r="Q747" i="3"/>
  <c r="P747" i="3"/>
  <c r="O747" i="3"/>
  <c r="N747" i="3"/>
  <c r="M747" i="3"/>
  <c r="L747" i="3"/>
  <c r="K747" i="3"/>
  <c r="J747" i="3"/>
  <c r="I747" i="3"/>
  <c r="H747" i="3"/>
  <c r="G747" i="3"/>
  <c r="E747" i="3"/>
  <c r="C747" i="3"/>
  <c r="B747" i="3"/>
  <c r="A747" i="3"/>
  <c r="R746" i="3"/>
  <c r="Q746" i="3"/>
  <c r="P746" i="3"/>
  <c r="O746" i="3"/>
  <c r="N746" i="3"/>
  <c r="M746" i="3"/>
  <c r="L746" i="3"/>
  <c r="K746" i="3"/>
  <c r="J746" i="3"/>
  <c r="I746" i="3"/>
  <c r="H746" i="3"/>
  <c r="G746" i="3"/>
  <c r="E746" i="3"/>
  <c r="C746" i="3"/>
  <c r="B746" i="3"/>
  <c r="A746" i="3"/>
  <c r="R745" i="3"/>
  <c r="Q745" i="3"/>
  <c r="P745" i="3"/>
  <c r="O745" i="3"/>
  <c r="N745" i="3"/>
  <c r="M745" i="3"/>
  <c r="L745" i="3"/>
  <c r="K745" i="3"/>
  <c r="J745" i="3"/>
  <c r="I745" i="3"/>
  <c r="H745" i="3"/>
  <c r="G745" i="3"/>
  <c r="E745" i="3"/>
  <c r="C745" i="3"/>
  <c r="B745" i="3"/>
  <c r="A745" i="3"/>
  <c r="R744" i="3"/>
  <c r="Q744" i="3"/>
  <c r="P744" i="3"/>
  <c r="O744" i="3"/>
  <c r="N744" i="3"/>
  <c r="M744" i="3"/>
  <c r="L744" i="3"/>
  <c r="K744" i="3"/>
  <c r="J744" i="3"/>
  <c r="I744" i="3"/>
  <c r="H744" i="3"/>
  <c r="G744" i="3"/>
  <c r="E744" i="3"/>
  <c r="C744" i="3"/>
  <c r="T744" i="3" s="1"/>
  <c r="B744" i="3"/>
  <c r="A744" i="3"/>
  <c r="R743" i="3"/>
  <c r="Q743" i="3"/>
  <c r="P743" i="3"/>
  <c r="O743" i="3"/>
  <c r="N743" i="3"/>
  <c r="M743" i="3"/>
  <c r="L743" i="3"/>
  <c r="K743" i="3"/>
  <c r="J743" i="3"/>
  <c r="I743" i="3"/>
  <c r="H743" i="3"/>
  <c r="G743" i="3"/>
  <c r="E743" i="3"/>
  <c r="C743" i="3"/>
  <c r="T743" i="3" s="1"/>
  <c r="B743" i="3"/>
  <c r="A743" i="3"/>
  <c r="R742" i="3"/>
  <c r="Q742" i="3"/>
  <c r="P742" i="3"/>
  <c r="O742" i="3"/>
  <c r="N742" i="3"/>
  <c r="M742" i="3"/>
  <c r="L742" i="3"/>
  <c r="K742" i="3"/>
  <c r="J742" i="3"/>
  <c r="I742" i="3"/>
  <c r="H742" i="3"/>
  <c r="G742" i="3"/>
  <c r="E742" i="3"/>
  <c r="C742" i="3"/>
  <c r="B742" i="3"/>
  <c r="A742" i="3"/>
  <c r="R741" i="3"/>
  <c r="Q741" i="3"/>
  <c r="P741" i="3"/>
  <c r="O741" i="3"/>
  <c r="N741" i="3"/>
  <c r="M741" i="3"/>
  <c r="L741" i="3"/>
  <c r="K741" i="3"/>
  <c r="J741" i="3"/>
  <c r="I741" i="3"/>
  <c r="H741" i="3"/>
  <c r="G741" i="3"/>
  <c r="E741" i="3"/>
  <c r="C741" i="3"/>
  <c r="B741" i="3"/>
  <c r="A741" i="3"/>
  <c r="R740" i="3"/>
  <c r="Q740" i="3"/>
  <c r="P740" i="3"/>
  <c r="O740" i="3"/>
  <c r="N740" i="3"/>
  <c r="M740" i="3"/>
  <c r="L740" i="3"/>
  <c r="K740" i="3"/>
  <c r="J740" i="3"/>
  <c r="I740" i="3"/>
  <c r="H740" i="3"/>
  <c r="G740" i="3"/>
  <c r="E740" i="3"/>
  <c r="C740" i="3"/>
  <c r="B740" i="3"/>
  <c r="A740" i="3"/>
  <c r="R739" i="3"/>
  <c r="Q739" i="3"/>
  <c r="P739" i="3"/>
  <c r="O739" i="3"/>
  <c r="N739" i="3"/>
  <c r="M739" i="3"/>
  <c r="L739" i="3"/>
  <c r="K739" i="3"/>
  <c r="J739" i="3"/>
  <c r="I739" i="3"/>
  <c r="H739" i="3"/>
  <c r="G739" i="3"/>
  <c r="E739" i="3"/>
  <c r="C739" i="3"/>
  <c r="B739" i="3"/>
  <c r="A739" i="3"/>
  <c r="R738" i="3"/>
  <c r="Q738" i="3"/>
  <c r="P738" i="3"/>
  <c r="O738" i="3"/>
  <c r="N738" i="3"/>
  <c r="M738" i="3"/>
  <c r="L738" i="3"/>
  <c r="K738" i="3"/>
  <c r="J738" i="3"/>
  <c r="I738" i="3"/>
  <c r="H738" i="3"/>
  <c r="G738" i="3"/>
  <c r="E738" i="3"/>
  <c r="C738" i="3"/>
  <c r="B738" i="3"/>
  <c r="A738" i="3"/>
  <c r="R737" i="3"/>
  <c r="Q737" i="3"/>
  <c r="P737" i="3"/>
  <c r="O737" i="3"/>
  <c r="N737" i="3"/>
  <c r="M737" i="3"/>
  <c r="L737" i="3"/>
  <c r="K737" i="3"/>
  <c r="J737" i="3"/>
  <c r="I737" i="3"/>
  <c r="H737" i="3"/>
  <c r="G737" i="3"/>
  <c r="E737" i="3"/>
  <c r="C737" i="3"/>
  <c r="B737" i="3"/>
  <c r="A737" i="3"/>
  <c r="R736" i="3"/>
  <c r="Q736" i="3"/>
  <c r="P736" i="3"/>
  <c r="O736" i="3"/>
  <c r="N736" i="3"/>
  <c r="M736" i="3"/>
  <c r="L736" i="3"/>
  <c r="K736" i="3"/>
  <c r="J736" i="3"/>
  <c r="I736" i="3"/>
  <c r="H736" i="3"/>
  <c r="G736" i="3"/>
  <c r="E736" i="3"/>
  <c r="C736" i="3"/>
  <c r="T736" i="3" s="1"/>
  <c r="B736" i="3"/>
  <c r="A736" i="3"/>
  <c r="R735" i="3"/>
  <c r="Q735" i="3"/>
  <c r="P735" i="3"/>
  <c r="O735" i="3"/>
  <c r="N735" i="3"/>
  <c r="M735" i="3"/>
  <c r="L735" i="3"/>
  <c r="K735" i="3"/>
  <c r="J735" i="3"/>
  <c r="I735" i="3"/>
  <c r="H735" i="3"/>
  <c r="G735" i="3"/>
  <c r="E735" i="3"/>
  <c r="C735" i="3"/>
  <c r="T735" i="3" s="1"/>
  <c r="B735" i="3"/>
  <c r="A735" i="3"/>
  <c r="R734" i="3"/>
  <c r="Q734" i="3"/>
  <c r="P734" i="3"/>
  <c r="O734" i="3"/>
  <c r="N734" i="3"/>
  <c r="M734" i="3"/>
  <c r="L734" i="3"/>
  <c r="K734" i="3"/>
  <c r="J734" i="3"/>
  <c r="I734" i="3"/>
  <c r="H734" i="3"/>
  <c r="G734" i="3"/>
  <c r="E734" i="3"/>
  <c r="C734" i="3"/>
  <c r="B734" i="3"/>
  <c r="A734" i="3"/>
  <c r="R733" i="3"/>
  <c r="Q733" i="3"/>
  <c r="P733" i="3"/>
  <c r="O733" i="3"/>
  <c r="N733" i="3"/>
  <c r="M733" i="3"/>
  <c r="L733" i="3"/>
  <c r="K733" i="3"/>
  <c r="J733" i="3"/>
  <c r="I733" i="3"/>
  <c r="H733" i="3"/>
  <c r="G733" i="3"/>
  <c r="E733" i="3"/>
  <c r="C733" i="3"/>
  <c r="B733" i="3"/>
  <c r="A733" i="3"/>
  <c r="R732" i="3"/>
  <c r="Q732" i="3"/>
  <c r="P732" i="3"/>
  <c r="O732" i="3"/>
  <c r="N732" i="3"/>
  <c r="M732" i="3"/>
  <c r="L732" i="3"/>
  <c r="K732" i="3"/>
  <c r="J732" i="3"/>
  <c r="I732" i="3"/>
  <c r="H732" i="3"/>
  <c r="G732" i="3"/>
  <c r="E732" i="3"/>
  <c r="C732" i="3"/>
  <c r="B732" i="3"/>
  <c r="A732" i="3"/>
  <c r="R731" i="3"/>
  <c r="Q731" i="3"/>
  <c r="P731" i="3"/>
  <c r="O731" i="3"/>
  <c r="N731" i="3"/>
  <c r="M731" i="3"/>
  <c r="L731" i="3"/>
  <c r="K731" i="3"/>
  <c r="J731" i="3"/>
  <c r="I731" i="3"/>
  <c r="H731" i="3"/>
  <c r="G731" i="3"/>
  <c r="E731" i="3"/>
  <c r="C731" i="3"/>
  <c r="B731" i="3"/>
  <c r="A731" i="3"/>
  <c r="R730" i="3"/>
  <c r="Q730" i="3"/>
  <c r="P730" i="3"/>
  <c r="O730" i="3"/>
  <c r="N730" i="3"/>
  <c r="M730" i="3"/>
  <c r="L730" i="3"/>
  <c r="K730" i="3"/>
  <c r="J730" i="3"/>
  <c r="I730" i="3"/>
  <c r="H730" i="3"/>
  <c r="G730" i="3"/>
  <c r="E730" i="3"/>
  <c r="C730" i="3"/>
  <c r="B730" i="3"/>
  <c r="A730" i="3"/>
  <c r="R729" i="3"/>
  <c r="Q729" i="3"/>
  <c r="P729" i="3"/>
  <c r="O729" i="3"/>
  <c r="N729" i="3"/>
  <c r="M729" i="3"/>
  <c r="L729" i="3"/>
  <c r="K729" i="3"/>
  <c r="J729" i="3"/>
  <c r="I729" i="3"/>
  <c r="H729" i="3"/>
  <c r="G729" i="3"/>
  <c r="E729" i="3"/>
  <c r="C729" i="3"/>
  <c r="B729" i="3"/>
  <c r="A729" i="3"/>
  <c r="R728" i="3"/>
  <c r="Q728" i="3"/>
  <c r="P728" i="3"/>
  <c r="O728" i="3"/>
  <c r="N728" i="3"/>
  <c r="M728" i="3"/>
  <c r="L728" i="3"/>
  <c r="K728" i="3"/>
  <c r="J728" i="3"/>
  <c r="I728" i="3"/>
  <c r="H728" i="3"/>
  <c r="G728" i="3"/>
  <c r="E728" i="3"/>
  <c r="C728" i="3"/>
  <c r="T728" i="3" s="1"/>
  <c r="B728" i="3"/>
  <c r="A728" i="3"/>
  <c r="R727" i="3"/>
  <c r="Q727" i="3"/>
  <c r="P727" i="3"/>
  <c r="O727" i="3"/>
  <c r="N727" i="3"/>
  <c r="M727" i="3"/>
  <c r="L727" i="3"/>
  <c r="K727" i="3"/>
  <c r="J727" i="3"/>
  <c r="I727" i="3"/>
  <c r="H727" i="3"/>
  <c r="G727" i="3"/>
  <c r="E727" i="3"/>
  <c r="C727" i="3"/>
  <c r="T727" i="3" s="1"/>
  <c r="B727" i="3"/>
  <c r="A727" i="3"/>
  <c r="R726" i="3"/>
  <c r="Q726" i="3"/>
  <c r="P726" i="3"/>
  <c r="O726" i="3"/>
  <c r="N726" i="3"/>
  <c r="M726" i="3"/>
  <c r="L726" i="3"/>
  <c r="K726" i="3"/>
  <c r="J726" i="3"/>
  <c r="I726" i="3"/>
  <c r="H726" i="3"/>
  <c r="G726" i="3"/>
  <c r="E726" i="3"/>
  <c r="C726" i="3"/>
  <c r="B726" i="3"/>
  <c r="A726" i="3"/>
  <c r="R725" i="3"/>
  <c r="Q725" i="3"/>
  <c r="P725" i="3"/>
  <c r="O725" i="3"/>
  <c r="N725" i="3"/>
  <c r="M725" i="3"/>
  <c r="L725" i="3"/>
  <c r="K725" i="3"/>
  <c r="J725" i="3"/>
  <c r="I725" i="3"/>
  <c r="H725" i="3"/>
  <c r="G725" i="3"/>
  <c r="E725" i="3"/>
  <c r="C725" i="3"/>
  <c r="B725" i="3"/>
  <c r="A725" i="3"/>
  <c r="R724" i="3"/>
  <c r="Q724" i="3"/>
  <c r="P724" i="3"/>
  <c r="O724" i="3"/>
  <c r="N724" i="3"/>
  <c r="M724" i="3"/>
  <c r="L724" i="3"/>
  <c r="K724" i="3"/>
  <c r="J724" i="3"/>
  <c r="I724" i="3"/>
  <c r="H724" i="3"/>
  <c r="G724" i="3"/>
  <c r="E724" i="3"/>
  <c r="C724" i="3"/>
  <c r="B724" i="3"/>
  <c r="A724" i="3"/>
  <c r="R723" i="3"/>
  <c r="Q723" i="3"/>
  <c r="P723" i="3"/>
  <c r="O723" i="3"/>
  <c r="N723" i="3"/>
  <c r="M723" i="3"/>
  <c r="L723" i="3"/>
  <c r="K723" i="3"/>
  <c r="J723" i="3"/>
  <c r="I723" i="3"/>
  <c r="H723" i="3"/>
  <c r="G723" i="3"/>
  <c r="E723" i="3"/>
  <c r="C723" i="3"/>
  <c r="B723" i="3"/>
  <c r="A723" i="3"/>
  <c r="R722" i="3"/>
  <c r="Q722" i="3"/>
  <c r="P722" i="3"/>
  <c r="O722" i="3"/>
  <c r="N722" i="3"/>
  <c r="M722" i="3"/>
  <c r="L722" i="3"/>
  <c r="K722" i="3"/>
  <c r="J722" i="3"/>
  <c r="I722" i="3"/>
  <c r="H722" i="3"/>
  <c r="G722" i="3"/>
  <c r="E722" i="3"/>
  <c r="C722" i="3"/>
  <c r="B722" i="3"/>
  <c r="A722" i="3"/>
  <c r="R721" i="3"/>
  <c r="Q721" i="3"/>
  <c r="P721" i="3"/>
  <c r="O721" i="3"/>
  <c r="N721" i="3"/>
  <c r="M721" i="3"/>
  <c r="L721" i="3"/>
  <c r="K721" i="3"/>
  <c r="J721" i="3"/>
  <c r="I721" i="3"/>
  <c r="H721" i="3"/>
  <c r="G721" i="3"/>
  <c r="E721" i="3"/>
  <c r="C721" i="3"/>
  <c r="B721" i="3"/>
  <c r="A721" i="3"/>
  <c r="R720" i="3"/>
  <c r="Q720" i="3"/>
  <c r="P720" i="3"/>
  <c r="O720" i="3"/>
  <c r="N720" i="3"/>
  <c r="M720" i="3"/>
  <c r="L720" i="3"/>
  <c r="K720" i="3"/>
  <c r="J720" i="3"/>
  <c r="I720" i="3"/>
  <c r="H720" i="3"/>
  <c r="G720" i="3"/>
  <c r="E720" i="3"/>
  <c r="C720" i="3"/>
  <c r="T720" i="3" s="1"/>
  <c r="B720" i="3"/>
  <c r="A720" i="3"/>
  <c r="R719" i="3"/>
  <c r="Q719" i="3"/>
  <c r="P719" i="3"/>
  <c r="O719" i="3"/>
  <c r="N719" i="3"/>
  <c r="M719" i="3"/>
  <c r="L719" i="3"/>
  <c r="K719" i="3"/>
  <c r="J719" i="3"/>
  <c r="I719" i="3"/>
  <c r="H719" i="3"/>
  <c r="G719" i="3"/>
  <c r="E719" i="3"/>
  <c r="C719" i="3"/>
  <c r="T719" i="3" s="1"/>
  <c r="B719" i="3"/>
  <c r="A719" i="3"/>
  <c r="R718" i="3"/>
  <c r="Q718" i="3"/>
  <c r="P718" i="3"/>
  <c r="O718" i="3"/>
  <c r="N718" i="3"/>
  <c r="M718" i="3"/>
  <c r="L718" i="3"/>
  <c r="K718" i="3"/>
  <c r="J718" i="3"/>
  <c r="I718" i="3"/>
  <c r="H718" i="3"/>
  <c r="G718" i="3"/>
  <c r="E718" i="3"/>
  <c r="C718" i="3"/>
  <c r="U718" i="3" s="1"/>
  <c r="B718" i="3"/>
  <c r="A718" i="3"/>
  <c r="R717" i="3"/>
  <c r="Q717" i="3"/>
  <c r="P717" i="3"/>
  <c r="O717" i="3"/>
  <c r="N717" i="3"/>
  <c r="M717" i="3"/>
  <c r="L717" i="3"/>
  <c r="K717" i="3"/>
  <c r="J717" i="3"/>
  <c r="I717" i="3"/>
  <c r="H717" i="3"/>
  <c r="G717" i="3"/>
  <c r="E717" i="3"/>
  <c r="C717" i="3"/>
  <c r="B717" i="3"/>
  <c r="A717" i="3"/>
  <c r="R716" i="3"/>
  <c r="Q716" i="3"/>
  <c r="P716" i="3"/>
  <c r="O716" i="3"/>
  <c r="N716" i="3"/>
  <c r="M716" i="3"/>
  <c r="L716" i="3"/>
  <c r="K716" i="3"/>
  <c r="J716" i="3"/>
  <c r="I716" i="3"/>
  <c r="H716" i="3"/>
  <c r="G716" i="3"/>
  <c r="E716" i="3"/>
  <c r="C716" i="3"/>
  <c r="B716" i="3"/>
  <c r="A716" i="3"/>
  <c r="R715" i="3"/>
  <c r="Q715" i="3"/>
  <c r="P715" i="3"/>
  <c r="O715" i="3"/>
  <c r="N715" i="3"/>
  <c r="M715" i="3"/>
  <c r="L715" i="3"/>
  <c r="K715" i="3"/>
  <c r="J715" i="3"/>
  <c r="I715" i="3"/>
  <c r="H715" i="3"/>
  <c r="G715" i="3"/>
  <c r="E715" i="3"/>
  <c r="C715" i="3"/>
  <c r="B715" i="3"/>
  <c r="A715" i="3"/>
  <c r="R714" i="3"/>
  <c r="Q714" i="3"/>
  <c r="P714" i="3"/>
  <c r="O714" i="3"/>
  <c r="N714" i="3"/>
  <c r="M714" i="3"/>
  <c r="L714" i="3"/>
  <c r="K714" i="3"/>
  <c r="J714" i="3"/>
  <c r="I714" i="3"/>
  <c r="H714" i="3"/>
  <c r="G714" i="3"/>
  <c r="E714" i="3"/>
  <c r="C714" i="3"/>
  <c r="B714" i="3"/>
  <c r="A714" i="3"/>
  <c r="R713" i="3"/>
  <c r="Q713" i="3"/>
  <c r="P713" i="3"/>
  <c r="O713" i="3"/>
  <c r="N713" i="3"/>
  <c r="M713" i="3"/>
  <c r="L713" i="3"/>
  <c r="K713" i="3"/>
  <c r="J713" i="3"/>
  <c r="I713" i="3"/>
  <c r="H713" i="3"/>
  <c r="G713" i="3"/>
  <c r="E713" i="3"/>
  <c r="C713" i="3"/>
  <c r="B713" i="3"/>
  <c r="A713" i="3"/>
  <c r="R712" i="3"/>
  <c r="Q712" i="3"/>
  <c r="P712" i="3"/>
  <c r="O712" i="3"/>
  <c r="N712" i="3"/>
  <c r="M712" i="3"/>
  <c r="L712" i="3"/>
  <c r="K712" i="3"/>
  <c r="J712" i="3"/>
  <c r="I712" i="3"/>
  <c r="H712" i="3"/>
  <c r="G712" i="3"/>
  <c r="E712" i="3"/>
  <c r="C712" i="3"/>
  <c r="T712" i="3" s="1"/>
  <c r="B712" i="3"/>
  <c r="A712" i="3"/>
  <c r="R711" i="3"/>
  <c r="Q711" i="3"/>
  <c r="P711" i="3"/>
  <c r="O711" i="3"/>
  <c r="N711" i="3"/>
  <c r="M711" i="3"/>
  <c r="L711" i="3"/>
  <c r="K711" i="3"/>
  <c r="J711" i="3"/>
  <c r="I711" i="3"/>
  <c r="H711" i="3"/>
  <c r="G711" i="3"/>
  <c r="E711" i="3"/>
  <c r="C711" i="3"/>
  <c r="T711" i="3" s="1"/>
  <c r="B711" i="3"/>
  <c r="A711" i="3"/>
  <c r="R710" i="3"/>
  <c r="Q710" i="3"/>
  <c r="P710" i="3"/>
  <c r="O710" i="3"/>
  <c r="N710" i="3"/>
  <c r="M710" i="3"/>
  <c r="L710" i="3"/>
  <c r="K710" i="3"/>
  <c r="J710" i="3"/>
  <c r="I710" i="3"/>
  <c r="H710" i="3"/>
  <c r="G710" i="3"/>
  <c r="E710" i="3"/>
  <c r="C710" i="3"/>
  <c r="B710" i="3"/>
  <c r="A710" i="3"/>
  <c r="R709" i="3"/>
  <c r="Q709" i="3"/>
  <c r="P709" i="3"/>
  <c r="O709" i="3"/>
  <c r="N709" i="3"/>
  <c r="M709" i="3"/>
  <c r="L709" i="3"/>
  <c r="K709" i="3"/>
  <c r="J709" i="3"/>
  <c r="I709" i="3"/>
  <c r="H709" i="3"/>
  <c r="G709" i="3"/>
  <c r="E709" i="3"/>
  <c r="C709" i="3"/>
  <c r="B709" i="3"/>
  <c r="A709" i="3"/>
  <c r="R708" i="3"/>
  <c r="Q708" i="3"/>
  <c r="P708" i="3"/>
  <c r="O708" i="3"/>
  <c r="N708" i="3"/>
  <c r="M708" i="3"/>
  <c r="L708" i="3"/>
  <c r="K708" i="3"/>
  <c r="J708" i="3"/>
  <c r="I708" i="3"/>
  <c r="H708" i="3"/>
  <c r="G708" i="3"/>
  <c r="E708" i="3"/>
  <c r="C708" i="3"/>
  <c r="B708" i="3"/>
  <c r="A708" i="3"/>
  <c r="R707" i="3"/>
  <c r="Q707" i="3"/>
  <c r="P707" i="3"/>
  <c r="O707" i="3"/>
  <c r="N707" i="3"/>
  <c r="M707" i="3"/>
  <c r="L707" i="3"/>
  <c r="K707" i="3"/>
  <c r="J707" i="3"/>
  <c r="I707" i="3"/>
  <c r="H707" i="3"/>
  <c r="G707" i="3"/>
  <c r="E707" i="3"/>
  <c r="C707" i="3"/>
  <c r="B707" i="3"/>
  <c r="A707" i="3"/>
  <c r="R706" i="3"/>
  <c r="Q706" i="3"/>
  <c r="P706" i="3"/>
  <c r="O706" i="3"/>
  <c r="N706" i="3"/>
  <c r="M706" i="3"/>
  <c r="L706" i="3"/>
  <c r="K706" i="3"/>
  <c r="J706" i="3"/>
  <c r="I706" i="3"/>
  <c r="H706" i="3"/>
  <c r="G706" i="3"/>
  <c r="E706" i="3"/>
  <c r="C706" i="3"/>
  <c r="B706" i="3"/>
  <c r="A706" i="3"/>
  <c r="R705" i="3"/>
  <c r="Q705" i="3"/>
  <c r="P705" i="3"/>
  <c r="O705" i="3"/>
  <c r="N705" i="3"/>
  <c r="M705" i="3"/>
  <c r="L705" i="3"/>
  <c r="K705" i="3"/>
  <c r="J705" i="3"/>
  <c r="I705" i="3"/>
  <c r="H705" i="3"/>
  <c r="G705" i="3"/>
  <c r="E705" i="3"/>
  <c r="C705" i="3"/>
  <c r="B705" i="3"/>
  <c r="A705" i="3"/>
  <c r="R704" i="3"/>
  <c r="Q704" i="3"/>
  <c r="P704" i="3"/>
  <c r="O704" i="3"/>
  <c r="N704" i="3"/>
  <c r="M704" i="3"/>
  <c r="L704" i="3"/>
  <c r="K704" i="3"/>
  <c r="J704" i="3"/>
  <c r="I704" i="3"/>
  <c r="H704" i="3"/>
  <c r="G704" i="3"/>
  <c r="E704" i="3"/>
  <c r="C704" i="3"/>
  <c r="T704" i="3" s="1"/>
  <c r="B704" i="3"/>
  <c r="A704" i="3"/>
  <c r="R703" i="3"/>
  <c r="Q703" i="3"/>
  <c r="P703" i="3"/>
  <c r="O703" i="3"/>
  <c r="N703" i="3"/>
  <c r="M703" i="3"/>
  <c r="L703" i="3"/>
  <c r="K703" i="3"/>
  <c r="J703" i="3"/>
  <c r="I703" i="3"/>
  <c r="H703" i="3"/>
  <c r="G703" i="3"/>
  <c r="E703" i="3"/>
  <c r="C703" i="3"/>
  <c r="T703" i="3" s="1"/>
  <c r="B703" i="3"/>
  <c r="A703" i="3"/>
  <c r="R702" i="3"/>
  <c r="Q702" i="3"/>
  <c r="P702" i="3"/>
  <c r="O702" i="3"/>
  <c r="N702" i="3"/>
  <c r="M702" i="3"/>
  <c r="L702" i="3"/>
  <c r="K702" i="3"/>
  <c r="J702" i="3"/>
  <c r="I702" i="3"/>
  <c r="H702" i="3"/>
  <c r="G702" i="3"/>
  <c r="E702" i="3"/>
  <c r="C702" i="3"/>
  <c r="B702" i="3"/>
  <c r="A702" i="3"/>
  <c r="R701" i="3"/>
  <c r="Q701" i="3"/>
  <c r="P701" i="3"/>
  <c r="O701" i="3"/>
  <c r="N701" i="3"/>
  <c r="M701" i="3"/>
  <c r="L701" i="3"/>
  <c r="K701" i="3"/>
  <c r="J701" i="3"/>
  <c r="I701" i="3"/>
  <c r="H701" i="3"/>
  <c r="G701" i="3"/>
  <c r="E701" i="3"/>
  <c r="C701" i="3"/>
  <c r="B701" i="3"/>
  <c r="A701" i="3"/>
  <c r="U967" i="3" l="1"/>
  <c r="U1096" i="3"/>
  <c r="U1127" i="3"/>
  <c r="U999" i="3"/>
  <c r="U1000" i="3"/>
  <c r="U1128" i="3"/>
  <c r="U1031" i="3"/>
  <c r="U1159" i="3"/>
  <c r="U1032" i="3"/>
  <c r="U1160" i="3"/>
  <c r="U1063" i="3"/>
  <c r="T942" i="3"/>
  <c r="U1064" i="3"/>
  <c r="T1070" i="3"/>
  <c r="U935" i="3"/>
  <c r="U1095" i="3"/>
  <c r="T1071" i="3"/>
  <c r="U711" i="3"/>
  <c r="U743" i="3"/>
  <c r="U775" i="3"/>
  <c r="U807" i="3"/>
  <c r="U839" i="3"/>
  <c r="U871" i="3"/>
  <c r="U903" i="3"/>
  <c r="T814" i="3"/>
  <c r="U712" i="3"/>
  <c r="U744" i="3"/>
  <c r="U776" i="3"/>
  <c r="U808" i="3"/>
  <c r="U840" i="3"/>
  <c r="U872" i="3"/>
  <c r="U904" i="3"/>
  <c r="U936" i="3"/>
  <c r="U968" i="3"/>
  <c r="T815" i="3"/>
  <c r="T943" i="3"/>
  <c r="U719" i="3"/>
  <c r="U751" i="3"/>
  <c r="U783" i="3"/>
  <c r="U847" i="3"/>
  <c r="U879" i="3"/>
  <c r="U911" i="3"/>
  <c r="U975" i="3"/>
  <c r="U1007" i="3"/>
  <c r="U1039" i="3"/>
  <c r="U1103" i="3"/>
  <c r="U1135" i="3"/>
  <c r="U1167" i="3"/>
  <c r="T718" i="3"/>
  <c r="T846" i="3"/>
  <c r="T974" i="3"/>
  <c r="T1102" i="3"/>
  <c r="U720" i="3"/>
  <c r="U752" i="3"/>
  <c r="U784" i="3"/>
  <c r="U816" i="3"/>
  <c r="U848" i="3"/>
  <c r="U880" i="3"/>
  <c r="U912" i="3"/>
  <c r="U944" i="3"/>
  <c r="U976" i="3"/>
  <c r="U1008" i="3"/>
  <c r="U1040" i="3"/>
  <c r="U1072" i="3"/>
  <c r="U1104" i="3"/>
  <c r="U1136" i="3"/>
  <c r="U1168" i="3"/>
  <c r="U727" i="3"/>
  <c r="U759" i="3"/>
  <c r="U791" i="3"/>
  <c r="U823" i="3"/>
  <c r="U855" i="3"/>
  <c r="U887" i="3"/>
  <c r="U919" i="3"/>
  <c r="U951" i="3"/>
  <c r="U983" i="3"/>
  <c r="U1015" i="3"/>
  <c r="U1047" i="3"/>
  <c r="U1079" i="3"/>
  <c r="U1111" i="3"/>
  <c r="U1143" i="3"/>
  <c r="U1175" i="3"/>
  <c r="T750" i="3"/>
  <c r="T878" i="3"/>
  <c r="T1006" i="3"/>
  <c r="T1134" i="3"/>
  <c r="T714" i="3"/>
  <c r="U714" i="3"/>
  <c r="T730" i="3"/>
  <c r="U730" i="3"/>
  <c r="T738" i="3"/>
  <c r="U738" i="3"/>
  <c r="T739" i="3"/>
  <c r="U739" i="3"/>
  <c r="T740" i="3"/>
  <c r="U740" i="3"/>
  <c r="T741" i="3"/>
  <c r="U741" i="3"/>
  <c r="U742" i="3"/>
  <c r="T742" i="3"/>
  <c r="T761" i="3"/>
  <c r="U761" i="3"/>
  <c r="T762" i="3"/>
  <c r="U762" i="3"/>
  <c r="T763" i="3"/>
  <c r="U763" i="3"/>
  <c r="T764" i="3"/>
  <c r="U764" i="3"/>
  <c r="T765" i="3"/>
  <c r="U765" i="3"/>
  <c r="U766" i="3"/>
  <c r="T766" i="3"/>
  <c r="T769" i="3"/>
  <c r="U769" i="3"/>
  <c r="T770" i="3"/>
  <c r="U770" i="3"/>
  <c r="T771" i="3"/>
  <c r="U771" i="3"/>
  <c r="T772" i="3"/>
  <c r="U772" i="3"/>
  <c r="T773" i="3"/>
  <c r="U773" i="3"/>
  <c r="U774" i="3"/>
  <c r="T774" i="3"/>
  <c r="T777" i="3"/>
  <c r="U777" i="3"/>
  <c r="T778" i="3"/>
  <c r="U778" i="3"/>
  <c r="T779" i="3"/>
  <c r="U779" i="3"/>
  <c r="T780" i="3"/>
  <c r="U780" i="3"/>
  <c r="T781" i="3"/>
  <c r="U781" i="3"/>
  <c r="T785" i="3"/>
  <c r="U785" i="3"/>
  <c r="T786" i="3"/>
  <c r="U786" i="3"/>
  <c r="T787" i="3"/>
  <c r="U787" i="3"/>
  <c r="T788" i="3"/>
  <c r="U788" i="3"/>
  <c r="T789" i="3"/>
  <c r="U789" i="3"/>
  <c r="U790" i="3"/>
  <c r="T790" i="3"/>
  <c r="T793" i="3"/>
  <c r="U793" i="3"/>
  <c r="T794" i="3"/>
  <c r="U794" i="3"/>
  <c r="T795" i="3"/>
  <c r="U795" i="3"/>
  <c r="T796" i="3"/>
  <c r="U796" i="3"/>
  <c r="T797" i="3"/>
  <c r="U797" i="3"/>
  <c r="U798" i="3"/>
  <c r="T798" i="3"/>
  <c r="T801" i="3"/>
  <c r="U801" i="3"/>
  <c r="T802" i="3"/>
  <c r="U802" i="3"/>
  <c r="T803" i="3"/>
  <c r="U803" i="3"/>
  <c r="T804" i="3"/>
  <c r="U804" i="3"/>
  <c r="T805" i="3"/>
  <c r="U805" i="3"/>
  <c r="U806" i="3"/>
  <c r="T806" i="3"/>
  <c r="T809" i="3"/>
  <c r="U809" i="3"/>
  <c r="T810" i="3"/>
  <c r="U810" i="3"/>
  <c r="T811" i="3"/>
  <c r="U811" i="3"/>
  <c r="T812" i="3"/>
  <c r="U812" i="3"/>
  <c r="T813" i="3"/>
  <c r="U813" i="3"/>
  <c r="T817" i="3"/>
  <c r="U817" i="3"/>
  <c r="T818" i="3"/>
  <c r="U818" i="3"/>
  <c r="T819" i="3"/>
  <c r="U819" i="3"/>
  <c r="T820" i="3"/>
  <c r="U820" i="3"/>
  <c r="T821" i="3"/>
  <c r="U821" i="3"/>
  <c r="U822" i="3"/>
  <c r="T822" i="3"/>
  <c r="T825" i="3"/>
  <c r="U825" i="3"/>
  <c r="T826" i="3"/>
  <c r="U826" i="3"/>
  <c r="T827" i="3"/>
  <c r="U827" i="3"/>
  <c r="T828" i="3"/>
  <c r="U828" i="3"/>
  <c r="T829" i="3"/>
  <c r="U829" i="3"/>
  <c r="U830" i="3"/>
  <c r="T830" i="3"/>
  <c r="T833" i="3"/>
  <c r="U833" i="3"/>
  <c r="T834" i="3"/>
  <c r="U834" i="3"/>
  <c r="T835" i="3"/>
  <c r="U835" i="3"/>
  <c r="T836" i="3"/>
  <c r="U836" i="3"/>
  <c r="T837" i="3"/>
  <c r="U837" i="3"/>
  <c r="U838" i="3"/>
  <c r="T838" i="3"/>
  <c r="T841" i="3"/>
  <c r="U841" i="3"/>
  <c r="T842" i="3"/>
  <c r="U842" i="3"/>
  <c r="T843" i="3"/>
  <c r="U843" i="3"/>
  <c r="T844" i="3"/>
  <c r="U844" i="3"/>
  <c r="T845" i="3"/>
  <c r="U845" i="3"/>
  <c r="T849" i="3"/>
  <c r="U849" i="3"/>
  <c r="T850" i="3"/>
  <c r="U850" i="3"/>
  <c r="T851" i="3"/>
  <c r="U851" i="3"/>
  <c r="T852" i="3"/>
  <c r="U852" i="3"/>
  <c r="T853" i="3"/>
  <c r="U853" i="3"/>
  <c r="U854" i="3"/>
  <c r="T854" i="3"/>
  <c r="T857" i="3"/>
  <c r="U857" i="3"/>
  <c r="T858" i="3"/>
  <c r="U858" i="3"/>
  <c r="T859" i="3"/>
  <c r="U859" i="3"/>
  <c r="T860" i="3"/>
  <c r="U860" i="3"/>
  <c r="T861" i="3"/>
  <c r="U861" i="3"/>
  <c r="U862" i="3"/>
  <c r="T862" i="3"/>
  <c r="T865" i="3"/>
  <c r="U865" i="3"/>
  <c r="T866" i="3"/>
  <c r="U866" i="3"/>
  <c r="T867" i="3"/>
  <c r="U867" i="3"/>
  <c r="T868" i="3"/>
  <c r="U868" i="3"/>
  <c r="T869" i="3"/>
  <c r="U869" i="3"/>
  <c r="U870" i="3"/>
  <c r="T870" i="3"/>
  <c r="T873" i="3"/>
  <c r="U873" i="3"/>
  <c r="T874" i="3"/>
  <c r="U874" i="3"/>
  <c r="T875" i="3"/>
  <c r="U875" i="3"/>
  <c r="T876" i="3"/>
  <c r="U876" i="3"/>
  <c r="T877" i="3"/>
  <c r="U877" i="3"/>
  <c r="T881" i="3"/>
  <c r="U881" i="3"/>
  <c r="T882" i="3"/>
  <c r="U882" i="3"/>
  <c r="T883" i="3"/>
  <c r="U883" i="3"/>
  <c r="T884" i="3"/>
  <c r="U884" i="3"/>
  <c r="T885" i="3"/>
  <c r="U885" i="3"/>
  <c r="U886" i="3"/>
  <c r="T886" i="3"/>
  <c r="T889" i="3"/>
  <c r="U889" i="3"/>
  <c r="T890" i="3"/>
  <c r="U890" i="3"/>
  <c r="T891" i="3"/>
  <c r="U891" i="3"/>
  <c r="T892" i="3"/>
  <c r="U892" i="3"/>
  <c r="T893" i="3"/>
  <c r="U893" i="3"/>
  <c r="U894" i="3"/>
  <c r="T894" i="3"/>
  <c r="T897" i="3"/>
  <c r="U897" i="3"/>
  <c r="T898" i="3"/>
  <c r="U898" i="3"/>
  <c r="T899" i="3"/>
  <c r="U899" i="3"/>
  <c r="T900" i="3"/>
  <c r="U900" i="3"/>
  <c r="T901" i="3"/>
  <c r="U901" i="3"/>
  <c r="U902" i="3"/>
  <c r="T902" i="3"/>
  <c r="T905" i="3"/>
  <c r="U905" i="3"/>
  <c r="T906" i="3"/>
  <c r="U906" i="3"/>
  <c r="T907" i="3"/>
  <c r="U907" i="3"/>
  <c r="T908" i="3"/>
  <c r="U908" i="3"/>
  <c r="T909" i="3"/>
  <c r="U909" i="3"/>
  <c r="T913" i="3"/>
  <c r="U913" i="3"/>
  <c r="T914" i="3"/>
  <c r="U914" i="3"/>
  <c r="T915" i="3"/>
  <c r="U915" i="3"/>
  <c r="T916" i="3"/>
  <c r="U916" i="3"/>
  <c r="T917" i="3"/>
  <c r="U917" i="3"/>
  <c r="U918" i="3"/>
  <c r="T918" i="3"/>
  <c r="T921" i="3"/>
  <c r="U921" i="3"/>
  <c r="T922" i="3"/>
  <c r="U922" i="3"/>
  <c r="T923" i="3"/>
  <c r="U923" i="3"/>
  <c r="T924" i="3"/>
  <c r="U924" i="3"/>
  <c r="T925" i="3"/>
  <c r="U925" i="3"/>
  <c r="U926" i="3"/>
  <c r="T926" i="3"/>
  <c r="T929" i="3"/>
  <c r="U929" i="3"/>
  <c r="T930" i="3"/>
  <c r="U930" i="3"/>
  <c r="T931" i="3"/>
  <c r="U931" i="3"/>
  <c r="T932" i="3"/>
  <c r="U932" i="3"/>
  <c r="T933" i="3"/>
  <c r="U933" i="3"/>
  <c r="U934" i="3"/>
  <c r="T934" i="3"/>
  <c r="T937" i="3"/>
  <c r="U937" i="3"/>
  <c r="T938" i="3"/>
  <c r="U938" i="3"/>
  <c r="T939" i="3"/>
  <c r="U939" i="3"/>
  <c r="T940" i="3"/>
  <c r="U940" i="3"/>
  <c r="T941" i="3"/>
  <c r="U941" i="3"/>
  <c r="T945" i="3"/>
  <c r="U945" i="3"/>
  <c r="T946" i="3"/>
  <c r="U946" i="3"/>
  <c r="T947" i="3"/>
  <c r="U947" i="3"/>
  <c r="T948" i="3"/>
  <c r="U948" i="3"/>
  <c r="T949" i="3"/>
  <c r="U949" i="3"/>
  <c r="U950" i="3"/>
  <c r="T950" i="3"/>
  <c r="T953" i="3"/>
  <c r="U953" i="3"/>
  <c r="T954" i="3"/>
  <c r="U954" i="3"/>
  <c r="T955" i="3"/>
  <c r="U955" i="3"/>
  <c r="T956" i="3"/>
  <c r="U956" i="3"/>
  <c r="T957" i="3"/>
  <c r="U957" i="3"/>
  <c r="U958" i="3"/>
  <c r="T958" i="3"/>
  <c r="T961" i="3"/>
  <c r="U961" i="3"/>
  <c r="T962" i="3"/>
  <c r="U962" i="3"/>
  <c r="T963" i="3"/>
  <c r="U963" i="3"/>
  <c r="T964" i="3"/>
  <c r="U964" i="3"/>
  <c r="T965" i="3"/>
  <c r="U965" i="3"/>
  <c r="U966" i="3"/>
  <c r="T966" i="3"/>
  <c r="T969" i="3"/>
  <c r="U969" i="3"/>
  <c r="T970" i="3"/>
  <c r="U970" i="3"/>
  <c r="T971" i="3"/>
  <c r="U971" i="3"/>
  <c r="T972" i="3"/>
  <c r="U972" i="3"/>
  <c r="T973" i="3"/>
  <c r="U973" i="3"/>
  <c r="T977" i="3"/>
  <c r="U977" i="3"/>
  <c r="T978" i="3"/>
  <c r="U978" i="3"/>
  <c r="T979" i="3"/>
  <c r="U979" i="3"/>
  <c r="T980" i="3"/>
  <c r="U980" i="3"/>
  <c r="T981" i="3"/>
  <c r="U981" i="3"/>
  <c r="U982" i="3"/>
  <c r="T982" i="3"/>
  <c r="T985" i="3"/>
  <c r="U985" i="3"/>
  <c r="T986" i="3"/>
  <c r="U986" i="3"/>
  <c r="T987" i="3"/>
  <c r="U987" i="3"/>
  <c r="T988" i="3"/>
  <c r="U988" i="3"/>
  <c r="T989" i="3"/>
  <c r="U989" i="3"/>
  <c r="U990" i="3"/>
  <c r="T990" i="3"/>
  <c r="T993" i="3"/>
  <c r="U993" i="3"/>
  <c r="T994" i="3"/>
  <c r="U994" i="3"/>
  <c r="T995" i="3"/>
  <c r="U995" i="3"/>
  <c r="T996" i="3"/>
  <c r="U996" i="3"/>
  <c r="T997" i="3"/>
  <c r="U997" i="3"/>
  <c r="U998" i="3"/>
  <c r="T998" i="3"/>
  <c r="T1001" i="3"/>
  <c r="U1001" i="3"/>
  <c r="T1002" i="3"/>
  <c r="U1002" i="3"/>
  <c r="T1003" i="3"/>
  <c r="U1003" i="3"/>
  <c r="T1004" i="3"/>
  <c r="U1004" i="3"/>
  <c r="T1005" i="3"/>
  <c r="U1005" i="3"/>
  <c r="T1009" i="3"/>
  <c r="U1009" i="3"/>
  <c r="T1010" i="3"/>
  <c r="U1010" i="3"/>
  <c r="T1011" i="3"/>
  <c r="U1011" i="3"/>
  <c r="T1012" i="3"/>
  <c r="U1012" i="3"/>
  <c r="T1013" i="3"/>
  <c r="U1013" i="3"/>
  <c r="U1014" i="3"/>
  <c r="T1014" i="3"/>
  <c r="T1017" i="3"/>
  <c r="U1017" i="3"/>
  <c r="T1018" i="3"/>
  <c r="U1018" i="3"/>
  <c r="T1019" i="3"/>
  <c r="U1019" i="3"/>
  <c r="T1020" i="3"/>
  <c r="U1020" i="3"/>
  <c r="T1021" i="3"/>
  <c r="U1021" i="3"/>
  <c r="U1022" i="3"/>
  <c r="T1022" i="3"/>
  <c r="T1025" i="3"/>
  <c r="U1025" i="3"/>
  <c r="T1026" i="3"/>
  <c r="U1026" i="3"/>
  <c r="T1027" i="3"/>
  <c r="U1027" i="3"/>
  <c r="T1028" i="3"/>
  <c r="U1028" i="3"/>
  <c r="T1029" i="3"/>
  <c r="U1029" i="3"/>
  <c r="U1030" i="3"/>
  <c r="T1030" i="3"/>
  <c r="T1033" i="3"/>
  <c r="U1033" i="3"/>
  <c r="T1034" i="3"/>
  <c r="U1034" i="3"/>
  <c r="T1035" i="3"/>
  <c r="U1035" i="3"/>
  <c r="T1036" i="3"/>
  <c r="U1036" i="3"/>
  <c r="T1037" i="3"/>
  <c r="U1037" i="3"/>
  <c r="T1041" i="3"/>
  <c r="U1041" i="3"/>
  <c r="T1042" i="3"/>
  <c r="U1042" i="3"/>
  <c r="T1043" i="3"/>
  <c r="U1043" i="3"/>
  <c r="T1044" i="3"/>
  <c r="U1044" i="3"/>
  <c r="T1045" i="3"/>
  <c r="U1045" i="3"/>
  <c r="U1046" i="3"/>
  <c r="T1046" i="3"/>
  <c r="T1049" i="3"/>
  <c r="U1049" i="3"/>
  <c r="T1050" i="3"/>
  <c r="U1050" i="3"/>
  <c r="T1051" i="3"/>
  <c r="U1051" i="3"/>
  <c r="T1052" i="3"/>
  <c r="U1052" i="3"/>
  <c r="T1053" i="3"/>
  <c r="U1053" i="3"/>
  <c r="U1054" i="3"/>
  <c r="T1054" i="3"/>
  <c r="T1057" i="3"/>
  <c r="U1057" i="3"/>
  <c r="T1058" i="3"/>
  <c r="U1058" i="3"/>
  <c r="T1059" i="3"/>
  <c r="U1059" i="3"/>
  <c r="T1060" i="3"/>
  <c r="U1060" i="3"/>
  <c r="T1061" i="3"/>
  <c r="U1061" i="3"/>
  <c r="U1062" i="3"/>
  <c r="T1062" i="3"/>
  <c r="T1065" i="3"/>
  <c r="U1065" i="3"/>
  <c r="T1066" i="3"/>
  <c r="U1066" i="3"/>
  <c r="T1067" i="3"/>
  <c r="U1067" i="3"/>
  <c r="T1068" i="3"/>
  <c r="U1068" i="3"/>
  <c r="T1069" i="3"/>
  <c r="U1069" i="3"/>
  <c r="T1073" i="3"/>
  <c r="U1073" i="3"/>
  <c r="T1074" i="3"/>
  <c r="U1074" i="3"/>
  <c r="T1075" i="3"/>
  <c r="U1075" i="3"/>
  <c r="T1076" i="3"/>
  <c r="U1076" i="3"/>
  <c r="T1077" i="3"/>
  <c r="U1077" i="3"/>
  <c r="U1078" i="3"/>
  <c r="T1078" i="3"/>
  <c r="T1081" i="3"/>
  <c r="U1081" i="3"/>
  <c r="T1082" i="3"/>
  <c r="U1082" i="3"/>
  <c r="T1083" i="3"/>
  <c r="U1083" i="3"/>
  <c r="T1084" i="3"/>
  <c r="U1084" i="3"/>
  <c r="T1085" i="3"/>
  <c r="U1085" i="3"/>
  <c r="U1086" i="3"/>
  <c r="T1086" i="3"/>
  <c r="T1089" i="3"/>
  <c r="U1089" i="3"/>
  <c r="T1090" i="3"/>
  <c r="U1090" i="3"/>
  <c r="T1091" i="3"/>
  <c r="U1091" i="3"/>
  <c r="T1092" i="3"/>
  <c r="U1092" i="3"/>
  <c r="T1093" i="3"/>
  <c r="U1093" i="3"/>
  <c r="U1094" i="3"/>
  <c r="T1094" i="3"/>
  <c r="T1097" i="3"/>
  <c r="U1097" i="3"/>
  <c r="T1098" i="3"/>
  <c r="U1098" i="3"/>
  <c r="T1099" i="3"/>
  <c r="U1099" i="3"/>
  <c r="T1100" i="3"/>
  <c r="U1100" i="3"/>
  <c r="T1101" i="3"/>
  <c r="U1101" i="3"/>
  <c r="T1105" i="3"/>
  <c r="U1105" i="3"/>
  <c r="T1106" i="3"/>
  <c r="U1106" i="3"/>
  <c r="T1107" i="3"/>
  <c r="U1107" i="3"/>
  <c r="T1108" i="3"/>
  <c r="U1108" i="3"/>
  <c r="T1109" i="3"/>
  <c r="U1109" i="3"/>
  <c r="U1110" i="3"/>
  <c r="T1110" i="3"/>
  <c r="T1113" i="3"/>
  <c r="U1113" i="3"/>
  <c r="T1114" i="3"/>
  <c r="U1114" i="3"/>
  <c r="T1115" i="3"/>
  <c r="U1115" i="3"/>
  <c r="T1116" i="3"/>
  <c r="U1116" i="3"/>
  <c r="T1117" i="3"/>
  <c r="U1117" i="3"/>
  <c r="U1118" i="3"/>
  <c r="T1118" i="3"/>
  <c r="T1121" i="3"/>
  <c r="U1121" i="3"/>
  <c r="T1122" i="3"/>
  <c r="U1122" i="3"/>
  <c r="T1123" i="3"/>
  <c r="U1123" i="3"/>
  <c r="T1124" i="3"/>
  <c r="U1124" i="3"/>
  <c r="T1125" i="3"/>
  <c r="U1125" i="3"/>
  <c r="U1126" i="3"/>
  <c r="T1126" i="3"/>
  <c r="T1129" i="3"/>
  <c r="U1129" i="3"/>
  <c r="T1130" i="3"/>
  <c r="U1130" i="3"/>
  <c r="T1131" i="3"/>
  <c r="U1131" i="3"/>
  <c r="T1132" i="3"/>
  <c r="U1132" i="3"/>
  <c r="T1133" i="3"/>
  <c r="U1133" i="3"/>
  <c r="T1137" i="3"/>
  <c r="U1137" i="3"/>
  <c r="T1138" i="3"/>
  <c r="U1138" i="3"/>
  <c r="T1139" i="3"/>
  <c r="U1139" i="3"/>
  <c r="T1140" i="3"/>
  <c r="U1140" i="3"/>
  <c r="T1141" i="3"/>
  <c r="U1141" i="3"/>
  <c r="U1142" i="3"/>
  <c r="T1142" i="3"/>
  <c r="T1145" i="3"/>
  <c r="U1145" i="3"/>
  <c r="T1146" i="3"/>
  <c r="U1146" i="3"/>
  <c r="T1147" i="3"/>
  <c r="U1147" i="3"/>
  <c r="T1148" i="3"/>
  <c r="U1148" i="3"/>
  <c r="T1149" i="3"/>
  <c r="U1149" i="3"/>
  <c r="U1150" i="3"/>
  <c r="T1150" i="3"/>
  <c r="T1153" i="3"/>
  <c r="U1153" i="3"/>
  <c r="T1154" i="3"/>
  <c r="U1154" i="3"/>
  <c r="T1155" i="3"/>
  <c r="U1155" i="3"/>
  <c r="T1156" i="3"/>
  <c r="U1156" i="3"/>
  <c r="T1157" i="3"/>
  <c r="U1157" i="3"/>
  <c r="U1158" i="3"/>
  <c r="T1158" i="3"/>
  <c r="T1161" i="3"/>
  <c r="U1161" i="3"/>
  <c r="T1162" i="3"/>
  <c r="U1162" i="3"/>
  <c r="T1163" i="3"/>
  <c r="U1163" i="3"/>
  <c r="T1164" i="3"/>
  <c r="U1164" i="3"/>
  <c r="T1165" i="3"/>
  <c r="U1165" i="3"/>
  <c r="T1169" i="3"/>
  <c r="U1169" i="3"/>
  <c r="T1170" i="3"/>
  <c r="U1170" i="3"/>
  <c r="T1171" i="3"/>
  <c r="U1171" i="3"/>
  <c r="T1172" i="3"/>
  <c r="U1172" i="3"/>
  <c r="T1173" i="3"/>
  <c r="U1173" i="3"/>
  <c r="U1174" i="3"/>
  <c r="T1174" i="3"/>
  <c r="T1177" i="3"/>
  <c r="U1177" i="3"/>
  <c r="U728" i="3"/>
  <c r="U760" i="3"/>
  <c r="U792" i="3"/>
  <c r="U824" i="3"/>
  <c r="U856" i="3"/>
  <c r="U888" i="3"/>
  <c r="U920" i="3"/>
  <c r="U952" i="3"/>
  <c r="U984" i="3"/>
  <c r="U1016" i="3"/>
  <c r="U1048" i="3"/>
  <c r="U1080" i="3"/>
  <c r="U1112" i="3"/>
  <c r="U1144" i="3"/>
  <c r="U1176" i="3"/>
  <c r="T701" i="3"/>
  <c r="U701" i="3"/>
  <c r="U702" i="3"/>
  <c r="T702" i="3"/>
  <c r="T716" i="3"/>
  <c r="U716" i="3"/>
  <c r="T717" i="3"/>
  <c r="U717" i="3"/>
  <c r="T729" i="3"/>
  <c r="U729" i="3"/>
  <c r="T731" i="3"/>
  <c r="U731" i="3"/>
  <c r="T745" i="3"/>
  <c r="U745" i="3"/>
  <c r="T746" i="3"/>
  <c r="U746" i="3"/>
  <c r="T747" i="3"/>
  <c r="U747" i="3"/>
  <c r="T748" i="3"/>
  <c r="U748" i="3"/>
  <c r="T749" i="3"/>
  <c r="U749" i="3"/>
  <c r="T753" i="3"/>
  <c r="U753" i="3"/>
  <c r="T754" i="3"/>
  <c r="U754" i="3"/>
  <c r="T755" i="3"/>
  <c r="U755" i="3"/>
  <c r="T756" i="3"/>
  <c r="U756" i="3"/>
  <c r="T757" i="3"/>
  <c r="U757" i="3"/>
  <c r="U758" i="3"/>
  <c r="T758" i="3"/>
  <c r="W702" i="3"/>
  <c r="V702" i="3"/>
  <c r="W703" i="3"/>
  <c r="V703" i="3"/>
  <c r="W704" i="3"/>
  <c r="V704" i="3"/>
  <c r="W705" i="3"/>
  <c r="V705" i="3"/>
  <c r="W706" i="3"/>
  <c r="V706" i="3"/>
  <c r="W707" i="3"/>
  <c r="V707" i="3"/>
  <c r="W708" i="3"/>
  <c r="V708" i="3"/>
  <c r="W709" i="3"/>
  <c r="V709" i="3"/>
  <c r="W710" i="3"/>
  <c r="V710" i="3"/>
  <c r="W711" i="3"/>
  <c r="V711" i="3"/>
  <c r="W712" i="3"/>
  <c r="V712" i="3"/>
  <c r="W713" i="3"/>
  <c r="V713" i="3"/>
  <c r="W714" i="3"/>
  <c r="V714" i="3"/>
  <c r="W715" i="3"/>
  <c r="V715" i="3"/>
  <c r="W716" i="3"/>
  <c r="V716" i="3"/>
  <c r="W717" i="3"/>
  <c r="V717" i="3"/>
  <c r="W718" i="3"/>
  <c r="V718" i="3"/>
  <c r="W719" i="3"/>
  <c r="V719" i="3"/>
  <c r="W720" i="3"/>
  <c r="V720" i="3"/>
  <c r="W721" i="3"/>
  <c r="V721" i="3"/>
  <c r="W722" i="3"/>
  <c r="V722" i="3"/>
  <c r="W723" i="3"/>
  <c r="V723" i="3"/>
  <c r="W724" i="3"/>
  <c r="V724" i="3"/>
  <c r="W725" i="3"/>
  <c r="V725" i="3"/>
  <c r="W726" i="3"/>
  <c r="V726" i="3"/>
  <c r="W727" i="3"/>
  <c r="V727" i="3"/>
  <c r="W728" i="3"/>
  <c r="V728" i="3"/>
  <c r="W729" i="3"/>
  <c r="V729" i="3"/>
  <c r="W730" i="3"/>
  <c r="V730" i="3"/>
  <c r="W731" i="3"/>
  <c r="V731" i="3"/>
  <c r="W732" i="3"/>
  <c r="V732" i="3"/>
  <c r="W733" i="3"/>
  <c r="V733" i="3"/>
  <c r="W734" i="3"/>
  <c r="V734" i="3"/>
  <c r="W735" i="3"/>
  <c r="V735" i="3"/>
  <c r="W736" i="3"/>
  <c r="V736" i="3"/>
  <c r="W737" i="3"/>
  <c r="V737" i="3"/>
  <c r="W738" i="3"/>
  <c r="V738" i="3"/>
  <c r="W739" i="3"/>
  <c r="V739" i="3"/>
  <c r="W740" i="3"/>
  <c r="V740" i="3"/>
  <c r="W741" i="3"/>
  <c r="V741" i="3"/>
  <c r="W742" i="3"/>
  <c r="V742" i="3"/>
  <c r="W743" i="3"/>
  <c r="V743" i="3"/>
  <c r="W744" i="3"/>
  <c r="V744" i="3"/>
  <c r="W745" i="3"/>
  <c r="V745" i="3"/>
  <c r="W746" i="3"/>
  <c r="V746" i="3"/>
  <c r="W747" i="3"/>
  <c r="V747" i="3"/>
  <c r="W748" i="3"/>
  <c r="V748" i="3"/>
  <c r="W749" i="3"/>
  <c r="V749" i="3"/>
  <c r="W750" i="3"/>
  <c r="V750" i="3"/>
  <c r="W751" i="3"/>
  <c r="V751" i="3"/>
  <c r="W752" i="3"/>
  <c r="V752" i="3"/>
  <c r="W753" i="3"/>
  <c r="V753" i="3"/>
  <c r="W754" i="3"/>
  <c r="V754" i="3"/>
  <c r="W755" i="3"/>
  <c r="V755" i="3"/>
  <c r="W756" i="3"/>
  <c r="V756" i="3"/>
  <c r="W757" i="3"/>
  <c r="V757" i="3"/>
  <c r="W758" i="3"/>
  <c r="V758" i="3"/>
  <c r="W759" i="3"/>
  <c r="V759" i="3"/>
  <c r="W760" i="3"/>
  <c r="V760" i="3"/>
  <c r="W761" i="3"/>
  <c r="V761" i="3"/>
  <c r="W762" i="3"/>
  <c r="V762" i="3"/>
  <c r="W763" i="3"/>
  <c r="V763" i="3"/>
  <c r="W764" i="3"/>
  <c r="V764" i="3"/>
  <c r="W765" i="3"/>
  <c r="V765" i="3"/>
  <c r="W766" i="3"/>
  <c r="V766" i="3"/>
  <c r="W767" i="3"/>
  <c r="V767" i="3"/>
  <c r="W768" i="3"/>
  <c r="V768" i="3"/>
  <c r="W769" i="3"/>
  <c r="V769" i="3"/>
  <c r="W770" i="3"/>
  <c r="V770" i="3"/>
  <c r="W771" i="3"/>
  <c r="V771" i="3"/>
  <c r="W772" i="3"/>
  <c r="V772" i="3"/>
  <c r="W773" i="3"/>
  <c r="V773" i="3"/>
  <c r="W774" i="3"/>
  <c r="V774" i="3"/>
  <c r="W775" i="3"/>
  <c r="V775" i="3"/>
  <c r="W776" i="3"/>
  <c r="V776" i="3"/>
  <c r="W777" i="3"/>
  <c r="V777" i="3"/>
  <c r="W778" i="3"/>
  <c r="V778" i="3"/>
  <c r="W779" i="3"/>
  <c r="V779" i="3"/>
  <c r="W780" i="3"/>
  <c r="V780" i="3"/>
  <c r="W781" i="3"/>
  <c r="V781" i="3"/>
  <c r="W782" i="3"/>
  <c r="V782" i="3"/>
  <c r="W783" i="3"/>
  <c r="V783" i="3"/>
  <c r="W784" i="3"/>
  <c r="V784" i="3"/>
  <c r="W785" i="3"/>
  <c r="V785" i="3"/>
  <c r="W786" i="3"/>
  <c r="V786" i="3"/>
  <c r="W787" i="3"/>
  <c r="V787" i="3"/>
  <c r="W788" i="3"/>
  <c r="V788" i="3"/>
  <c r="W789" i="3"/>
  <c r="V789" i="3"/>
  <c r="W790" i="3"/>
  <c r="V790" i="3"/>
  <c r="W791" i="3"/>
  <c r="V791" i="3"/>
  <c r="W792" i="3"/>
  <c r="V792" i="3"/>
  <c r="W793" i="3"/>
  <c r="V793" i="3"/>
  <c r="W794" i="3"/>
  <c r="V794" i="3"/>
  <c r="W795" i="3"/>
  <c r="V795" i="3"/>
  <c r="W796" i="3"/>
  <c r="V796" i="3"/>
  <c r="W797" i="3"/>
  <c r="V797" i="3"/>
  <c r="W798" i="3"/>
  <c r="V798" i="3"/>
  <c r="W799" i="3"/>
  <c r="V799" i="3"/>
  <c r="W800" i="3"/>
  <c r="V800" i="3"/>
  <c r="W801" i="3"/>
  <c r="V801" i="3"/>
  <c r="W802" i="3"/>
  <c r="V802" i="3"/>
  <c r="W803" i="3"/>
  <c r="V803" i="3"/>
  <c r="W804" i="3"/>
  <c r="V804" i="3"/>
  <c r="W805" i="3"/>
  <c r="V805" i="3"/>
  <c r="W806" i="3"/>
  <c r="V806" i="3"/>
  <c r="W807" i="3"/>
  <c r="V807" i="3"/>
  <c r="W808" i="3"/>
  <c r="V808" i="3"/>
  <c r="W809" i="3"/>
  <c r="V809" i="3"/>
  <c r="W810" i="3"/>
  <c r="V810" i="3"/>
  <c r="W811" i="3"/>
  <c r="V811" i="3"/>
  <c r="W812" i="3"/>
  <c r="V812" i="3"/>
  <c r="W813" i="3"/>
  <c r="V813" i="3"/>
  <c r="W814" i="3"/>
  <c r="V814" i="3"/>
  <c r="W815" i="3"/>
  <c r="V815" i="3"/>
  <c r="W816" i="3"/>
  <c r="V816" i="3"/>
  <c r="W817" i="3"/>
  <c r="V817" i="3"/>
  <c r="W818" i="3"/>
  <c r="V818" i="3"/>
  <c r="W819" i="3"/>
  <c r="V819" i="3"/>
  <c r="W820" i="3"/>
  <c r="V820" i="3"/>
  <c r="W821" i="3"/>
  <c r="V821" i="3"/>
  <c r="W822" i="3"/>
  <c r="V822" i="3"/>
  <c r="W823" i="3"/>
  <c r="V823" i="3"/>
  <c r="W824" i="3"/>
  <c r="V824" i="3"/>
  <c r="W825" i="3"/>
  <c r="V825" i="3"/>
  <c r="W826" i="3"/>
  <c r="V826" i="3"/>
  <c r="W827" i="3"/>
  <c r="V827" i="3"/>
  <c r="W828" i="3"/>
  <c r="V828" i="3"/>
  <c r="W829" i="3"/>
  <c r="V829" i="3"/>
  <c r="W830" i="3"/>
  <c r="V830" i="3"/>
  <c r="W831" i="3"/>
  <c r="V831" i="3"/>
  <c r="W832" i="3"/>
  <c r="V832" i="3"/>
  <c r="W835" i="3"/>
  <c r="V835" i="3"/>
  <c r="W836" i="3"/>
  <c r="V836" i="3"/>
  <c r="W837" i="3"/>
  <c r="V837" i="3"/>
  <c r="W838" i="3"/>
  <c r="V838" i="3"/>
  <c r="W839" i="3"/>
  <c r="V839" i="3"/>
  <c r="W840" i="3"/>
  <c r="V840" i="3"/>
  <c r="W841" i="3"/>
  <c r="V841" i="3"/>
  <c r="W842" i="3"/>
  <c r="V842" i="3"/>
  <c r="W843" i="3"/>
  <c r="V843" i="3"/>
  <c r="W844" i="3"/>
  <c r="V844" i="3"/>
  <c r="W845" i="3"/>
  <c r="V845" i="3"/>
  <c r="W846" i="3"/>
  <c r="V846" i="3"/>
  <c r="W847" i="3"/>
  <c r="V847" i="3"/>
  <c r="W848" i="3"/>
  <c r="V848" i="3"/>
  <c r="W849" i="3"/>
  <c r="V849" i="3"/>
  <c r="W850" i="3"/>
  <c r="V850" i="3"/>
  <c r="W851" i="3"/>
  <c r="V851" i="3"/>
  <c r="W852" i="3"/>
  <c r="V852" i="3"/>
  <c r="W853" i="3"/>
  <c r="V853" i="3"/>
  <c r="W854" i="3"/>
  <c r="V854" i="3"/>
  <c r="W855" i="3"/>
  <c r="V855" i="3"/>
  <c r="W856" i="3"/>
  <c r="V856" i="3"/>
  <c r="W857" i="3"/>
  <c r="V857" i="3"/>
  <c r="V858" i="3"/>
  <c r="W858" i="3"/>
  <c r="W859" i="3"/>
  <c r="V859" i="3"/>
  <c r="W860" i="3"/>
  <c r="V860" i="3"/>
  <c r="W861" i="3"/>
  <c r="V861" i="3"/>
  <c r="W862" i="3"/>
  <c r="V862" i="3"/>
  <c r="W863" i="3"/>
  <c r="V863" i="3"/>
  <c r="W864" i="3"/>
  <c r="V864" i="3"/>
  <c r="W865" i="3"/>
  <c r="V865" i="3"/>
  <c r="W866" i="3"/>
  <c r="V866" i="3"/>
  <c r="W867" i="3"/>
  <c r="V867" i="3"/>
  <c r="W868" i="3"/>
  <c r="V868" i="3"/>
  <c r="W869" i="3"/>
  <c r="V869" i="3"/>
  <c r="W870" i="3"/>
  <c r="V870" i="3"/>
  <c r="W871" i="3"/>
  <c r="V871" i="3"/>
  <c r="W872" i="3"/>
  <c r="V872" i="3"/>
  <c r="W873" i="3"/>
  <c r="V873" i="3"/>
  <c r="W874" i="3"/>
  <c r="V874" i="3"/>
  <c r="W875" i="3"/>
  <c r="V875" i="3"/>
  <c r="W876" i="3"/>
  <c r="V876" i="3"/>
  <c r="W877" i="3"/>
  <c r="V877" i="3"/>
  <c r="W878" i="3"/>
  <c r="V878" i="3"/>
  <c r="W879" i="3"/>
  <c r="V879" i="3"/>
  <c r="W880" i="3"/>
  <c r="V880" i="3"/>
  <c r="W881" i="3"/>
  <c r="V881" i="3"/>
  <c r="W882" i="3"/>
  <c r="V882" i="3"/>
  <c r="W883" i="3"/>
  <c r="V883" i="3"/>
  <c r="W884" i="3"/>
  <c r="V884" i="3"/>
  <c r="W885" i="3"/>
  <c r="V885" i="3"/>
  <c r="W886" i="3"/>
  <c r="V886" i="3"/>
  <c r="W887" i="3"/>
  <c r="V887" i="3"/>
  <c r="W888" i="3"/>
  <c r="V888" i="3"/>
  <c r="W889" i="3"/>
  <c r="V889" i="3"/>
  <c r="W890" i="3"/>
  <c r="V890" i="3"/>
  <c r="W891" i="3"/>
  <c r="V891" i="3"/>
  <c r="W892" i="3"/>
  <c r="V892" i="3"/>
  <c r="W893" i="3"/>
  <c r="V893" i="3"/>
  <c r="W894" i="3"/>
  <c r="V894" i="3"/>
  <c r="W895" i="3"/>
  <c r="V895" i="3"/>
  <c r="W896" i="3"/>
  <c r="V896" i="3"/>
  <c r="W897" i="3"/>
  <c r="V897" i="3"/>
  <c r="W898" i="3"/>
  <c r="V898" i="3"/>
  <c r="W899" i="3"/>
  <c r="V899" i="3"/>
  <c r="W900" i="3"/>
  <c r="V900" i="3"/>
  <c r="W901" i="3"/>
  <c r="V901" i="3"/>
  <c r="W902" i="3"/>
  <c r="V902" i="3"/>
  <c r="W903" i="3"/>
  <c r="V903" i="3"/>
  <c r="W904" i="3"/>
  <c r="V904" i="3"/>
  <c r="W905" i="3"/>
  <c r="V905" i="3"/>
  <c r="W906" i="3"/>
  <c r="V906" i="3"/>
  <c r="W907" i="3"/>
  <c r="V907" i="3"/>
  <c r="W908" i="3"/>
  <c r="V908" i="3"/>
  <c r="W909" i="3"/>
  <c r="V909" i="3"/>
  <c r="W910" i="3"/>
  <c r="V910" i="3"/>
  <c r="W911" i="3"/>
  <c r="V911" i="3"/>
  <c r="W912" i="3"/>
  <c r="V912" i="3"/>
  <c r="W913" i="3"/>
  <c r="V913" i="3"/>
  <c r="W914" i="3"/>
  <c r="V914" i="3"/>
  <c r="W915" i="3"/>
  <c r="V915" i="3"/>
  <c r="W916" i="3"/>
  <c r="V916" i="3"/>
  <c r="W917" i="3"/>
  <c r="V917" i="3"/>
  <c r="W918" i="3"/>
  <c r="V918" i="3"/>
  <c r="W919" i="3"/>
  <c r="V919" i="3"/>
  <c r="W920" i="3"/>
  <c r="V920" i="3"/>
  <c r="W921" i="3"/>
  <c r="V921" i="3"/>
  <c r="W922" i="3"/>
  <c r="V922" i="3"/>
  <c r="W923" i="3"/>
  <c r="V923" i="3"/>
  <c r="W924" i="3"/>
  <c r="V924" i="3"/>
  <c r="W925" i="3"/>
  <c r="V925" i="3"/>
  <c r="W926" i="3"/>
  <c r="V926" i="3"/>
  <c r="W927" i="3"/>
  <c r="V927" i="3"/>
  <c r="W928" i="3"/>
  <c r="V928" i="3"/>
  <c r="W929" i="3"/>
  <c r="V929" i="3"/>
  <c r="W930" i="3"/>
  <c r="V930" i="3"/>
  <c r="W931" i="3"/>
  <c r="V931" i="3"/>
  <c r="W932" i="3"/>
  <c r="V932" i="3"/>
  <c r="W933" i="3"/>
  <c r="V933" i="3"/>
  <c r="W934" i="3"/>
  <c r="V934" i="3"/>
  <c r="W935" i="3"/>
  <c r="V935" i="3"/>
  <c r="W936" i="3"/>
  <c r="V936" i="3"/>
  <c r="W937" i="3"/>
  <c r="V937" i="3"/>
  <c r="W938" i="3"/>
  <c r="V938" i="3"/>
  <c r="W939" i="3"/>
  <c r="V939" i="3"/>
  <c r="W940" i="3"/>
  <c r="V940" i="3"/>
  <c r="W941" i="3"/>
  <c r="V941" i="3"/>
  <c r="W942" i="3"/>
  <c r="V942" i="3"/>
  <c r="W943" i="3"/>
  <c r="V943" i="3"/>
  <c r="W944" i="3"/>
  <c r="V944" i="3"/>
  <c r="W945" i="3"/>
  <c r="V945" i="3"/>
  <c r="W946" i="3"/>
  <c r="V946" i="3"/>
  <c r="W947" i="3"/>
  <c r="V947" i="3"/>
  <c r="W948" i="3"/>
  <c r="V948" i="3"/>
  <c r="W949" i="3"/>
  <c r="V949" i="3"/>
  <c r="W950" i="3"/>
  <c r="V950" i="3"/>
  <c r="W951" i="3"/>
  <c r="V951" i="3"/>
  <c r="W952" i="3"/>
  <c r="V952" i="3"/>
  <c r="W953" i="3"/>
  <c r="V953" i="3"/>
  <c r="W954" i="3"/>
  <c r="V954" i="3"/>
  <c r="W955" i="3"/>
  <c r="V955" i="3"/>
  <c r="W956" i="3"/>
  <c r="V956" i="3"/>
  <c r="W957" i="3"/>
  <c r="V957" i="3"/>
  <c r="W958" i="3"/>
  <c r="V958" i="3"/>
  <c r="W959" i="3"/>
  <c r="V959" i="3"/>
  <c r="W960" i="3"/>
  <c r="V960" i="3"/>
  <c r="W961" i="3"/>
  <c r="V961" i="3"/>
  <c r="W962" i="3"/>
  <c r="V962" i="3"/>
  <c r="W963" i="3"/>
  <c r="V963" i="3"/>
  <c r="W964" i="3"/>
  <c r="V964" i="3"/>
  <c r="W965" i="3"/>
  <c r="V965" i="3"/>
  <c r="W966" i="3"/>
  <c r="V966" i="3"/>
  <c r="W967" i="3"/>
  <c r="V967" i="3"/>
  <c r="W968" i="3"/>
  <c r="V968" i="3"/>
  <c r="W969" i="3"/>
  <c r="V969" i="3"/>
  <c r="W970" i="3"/>
  <c r="V970" i="3"/>
  <c r="W971" i="3"/>
  <c r="V971" i="3"/>
  <c r="W972" i="3"/>
  <c r="V972" i="3"/>
  <c r="W973" i="3"/>
  <c r="V973" i="3"/>
  <c r="W974" i="3"/>
  <c r="V974" i="3"/>
  <c r="W975" i="3"/>
  <c r="V975" i="3"/>
  <c r="W976" i="3"/>
  <c r="V976" i="3"/>
  <c r="W977" i="3"/>
  <c r="V977" i="3"/>
  <c r="W978" i="3"/>
  <c r="V978" i="3"/>
  <c r="W979" i="3"/>
  <c r="V979" i="3"/>
  <c r="W980" i="3"/>
  <c r="V980" i="3"/>
  <c r="W981" i="3"/>
  <c r="V981" i="3"/>
  <c r="W982" i="3"/>
  <c r="V982" i="3"/>
  <c r="W983" i="3"/>
  <c r="V983" i="3"/>
  <c r="W984" i="3"/>
  <c r="V984" i="3"/>
  <c r="W985" i="3"/>
  <c r="V985" i="3"/>
  <c r="W986" i="3"/>
  <c r="V986" i="3"/>
  <c r="W987" i="3"/>
  <c r="V987" i="3"/>
  <c r="W988" i="3"/>
  <c r="V988" i="3"/>
  <c r="W989" i="3"/>
  <c r="V989" i="3"/>
  <c r="W990" i="3"/>
  <c r="V990" i="3"/>
  <c r="W991" i="3"/>
  <c r="V991" i="3"/>
  <c r="W992" i="3"/>
  <c r="V992" i="3"/>
  <c r="W993" i="3"/>
  <c r="V993" i="3"/>
  <c r="W994" i="3"/>
  <c r="V994" i="3"/>
  <c r="W995" i="3"/>
  <c r="V995" i="3"/>
  <c r="W996" i="3"/>
  <c r="V996" i="3"/>
  <c r="W997" i="3"/>
  <c r="V997" i="3"/>
  <c r="W998" i="3"/>
  <c r="V998" i="3"/>
  <c r="W999" i="3"/>
  <c r="V999" i="3"/>
  <c r="W1000" i="3"/>
  <c r="V1000" i="3"/>
  <c r="W1001" i="3"/>
  <c r="V1001" i="3"/>
  <c r="W1002" i="3"/>
  <c r="V1002" i="3"/>
  <c r="W1003" i="3"/>
  <c r="V1003" i="3"/>
  <c r="W1004" i="3"/>
  <c r="V1004" i="3"/>
  <c r="W1005" i="3"/>
  <c r="V1005" i="3"/>
  <c r="W1006" i="3"/>
  <c r="V1006" i="3"/>
  <c r="W1007" i="3"/>
  <c r="V1007" i="3"/>
  <c r="W1008" i="3"/>
  <c r="V1008" i="3"/>
  <c r="W1009" i="3"/>
  <c r="V1009" i="3"/>
  <c r="W1010" i="3"/>
  <c r="V1010" i="3"/>
  <c r="W1011" i="3"/>
  <c r="V1011" i="3"/>
  <c r="W1012" i="3"/>
  <c r="V1012" i="3"/>
  <c r="W1013" i="3"/>
  <c r="V1013" i="3"/>
  <c r="W1014" i="3"/>
  <c r="V1014" i="3"/>
  <c r="W1015" i="3"/>
  <c r="V1015" i="3"/>
  <c r="W1016" i="3"/>
  <c r="V1016" i="3"/>
  <c r="W1017" i="3"/>
  <c r="V1017" i="3"/>
  <c r="W1018" i="3"/>
  <c r="V1018" i="3"/>
  <c r="W1019" i="3"/>
  <c r="V1019" i="3"/>
  <c r="W1020" i="3"/>
  <c r="V1020" i="3"/>
  <c r="W1021" i="3"/>
  <c r="V1021" i="3"/>
  <c r="W1022" i="3"/>
  <c r="V1022" i="3"/>
  <c r="W1023" i="3"/>
  <c r="V1023" i="3"/>
  <c r="W1024" i="3"/>
  <c r="V1024" i="3"/>
  <c r="W1025" i="3"/>
  <c r="V1025" i="3"/>
  <c r="W1026" i="3"/>
  <c r="V1026" i="3"/>
  <c r="W1027" i="3"/>
  <c r="V1027" i="3"/>
  <c r="W1028" i="3"/>
  <c r="V1028" i="3"/>
  <c r="W1029" i="3"/>
  <c r="V1029" i="3"/>
  <c r="W1030" i="3"/>
  <c r="V1030" i="3"/>
  <c r="W1031" i="3"/>
  <c r="V1031" i="3"/>
  <c r="W1032" i="3"/>
  <c r="V1032" i="3"/>
  <c r="W1033" i="3"/>
  <c r="V1033" i="3"/>
  <c r="W1034" i="3"/>
  <c r="V1034" i="3"/>
  <c r="W1035" i="3"/>
  <c r="V1035" i="3"/>
  <c r="W1036" i="3"/>
  <c r="V1036" i="3"/>
  <c r="W1037" i="3"/>
  <c r="V1037" i="3"/>
  <c r="W1038" i="3"/>
  <c r="V1038" i="3"/>
  <c r="W1039" i="3"/>
  <c r="V1039" i="3"/>
  <c r="W1040" i="3"/>
  <c r="V1040" i="3"/>
  <c r="W1041" i="3"/>
  <c r="V1041" i="3"/>
  <c r="W1042" i="3"/>
  <c r="V1042" i="3"/>
  <c r="W1043" i="3"/>
  <c r="V1043" i="3"/>
  <c r="W1044" i="3"/>
  <c r="V1044" i="3"/>
  <c r="W1045" i="3"/>
  <c r="V1045" i="3"/>
  <c r="W1046" i="3"/>
  <c r="V1046" i="3"/>
  <c r="W1047" i="3"/>
  <c r="V1047" i="3"/>
  <c r="W1048" i="3"/>
  <c r="V1048" i="3"/>
  <c r="W1049" i="3"/>
  <c r="V1049" i="3"/>
  <c r="W1050" i="3"/>
  <c r="V1050" i="3"/>
  <c r="W1051" i="3"/>
  <c r="V1051" i="3"/>
  <c r="W1052" i="3"/>
  <c r="V1052" i="3"/>
  <c r="W1053" i="3"/>
  <c r="V1053" i="3"/>
  <c r="W1054" i="3"/>
  <c r="V1054" i="3"/>
  <c r="W1055" i="3"/>
  <c r="V1055" i="3"/>
  <c r="W1056" i="3"/>
  <c r="V1056" i="3"/>
  <c r="W1057" i="3"/>
  <c r="V1057" i="3"/>
  <c r="W1058" i="3"/>
  <c r="V1058" i="3"/>
  <c r="W1059" i="3"/>
  <c r="V1059" i="3"/>
  <c r="W1060" i="3"/>
  <c r="V1060" i="3"/>
  <c r="W1061" i="3"/>
  <c r="V1061" i="3"/>
  <c r="W1062" i="3"/>
  <c r="V1062" i="3"/>
  <c r="W1063" i="3"/>
  <c r="V1063" i="3"/>
  <c r="W1064" i="3"/>
  <c r="V1064" i="3"/>
  <c r="W1065" i="3"/>
  <c r="V1065" i="3"/>
  <c r="W1066" i="3"/>
  <c r="V1066" i="3"/>
  <c r="W1067" i="3"/>
  <c r="V1067" i="3"/>
  <c r="W1068" i="3"/>
  <c r="V1068" i="3"/>
  <c r="W1069" i="3"/>
  <c r="V1069" i="3"/>
  <c r="W1070" i="3"/>
  <c r="V1070" i="3"/>
  <c r="W1071" i="3"/>
  <c r="V1071" i="3"/>
  <c r="W1072" i="3"/>
  <c r="V1072" i="3"/>
  <c r="W1073" i="3"/>
  <c r="V1073" i="3"/>
  <c r="W1074" i="3"/>
  <c r="V1074" i="3"/>
  <c r="W1075" i="3"/>
  <c r="V1075" i="3"/>
  <c r="W1076" i="3"/>
  <c r="V1076" i="3"/>
  <c r="W1077" i="3"/>
  <c r="V1077" i="3"/>
  <c r="W1078" i="3"/>
  <c r="V1078" i="3"/>
  <c r="W1079" i="3"/>
  <c r="V1079" i="3"/>
  <c r="W1080" i="3"/>
  <c r="V1080" i="3"/>
  <c r="W1081" i="3"/>
  <c r="V1081" i="3"/>
  <c r="W1082" i="3"/>
  <c r="V1082" i="3"/>
  <c r="W1083" i="3"/>
  <c r="V1083" i="3"/>
  <c r="W1084" i="3"/>
  <c r="V1084" i="3"/>
  <c r="W1085" i="3"/>
  <c r="V1085" i="3"/>
  <c r="W1086" i="3"/>
  <c r="V1086" i="3"/>
  <c r="W1087" i="3"/>
  <c r="V1087" i="3"/>
  <c r="W1088" i="3"/>
  <c r="V1088" i="3"/>
  <c r="W1089" i="3"/>
  <c r="V1089" i="3"/>
  <c r="V1090" i="3"/>
  <c r="W1090" i="3"/>
  <c r="W1091" i="3"/>
  <c r="V1091" i="3"/>
  <c r="W1092" i="3"/>
  <c r="V1092" i="3"/>
  <c r="W1093" i="3"/>
  <c r="V1093" i="3"/>
  <c r="W1094" i="3"/>
  <c r="V1094" i="3"/>
  <c r="W1095" i="3"/>
  <c r="V1095" i="3"/>
  <c r="W1096" i="3"/>
  <c r="V1096" i="3"/>
  <c r="W1097" i="3"/>
  <c r="V1097" i="3"/>
  <c r="V1098" i="3"/>
  <c r="W1098" i="3"/>
  <c r="W1099" i="3"/>
  <c r="V1099" i="3"/>
  <c r="W1100" i="3"/>
  <c r="V1100" i="3"/>
  <c r="W1101" i="3"/>
  <c r="V1101" i="3"/>
  <c r="W1102" i="3"/>
  <c r="V1102" i="3"/>
  <c r="W1103" i="3"/>
  <c r="V1103" i="3"/>
  <c r="W1104" i="3"/>
  <c r="V1104" i="3"/>
  <c r="W1105" i="3"/>
  <c r="V1105" i="3"/>
  <c r="W1106" i="3"/>
  <c r="V1106" i="3"/>
  <c r="W1107" i="3"/>
  <c r="V1107" i="3"/>
  <c r="W1108" i="3"/>
  <c r="V1108" i="3"/>
  <c r="W1109" i="3"/>
  <c r="V1109" i="3"/>
  <c r="W1110" i="3"/>
  <c r="V1110" i="3"/>
  <c r="W1111" i="3"/>
  <c r="V1111" i="3"/>
  <c r="W1112" i="3"/>
  <c r="V1112" i="3"/>
  <c r="W1113" i="3"/>
  <c r="V1113" i="3"/>
  <c r="V1114" i="3"/>
  <c r="W1114" i="3"/>
  <c r="W1115" i="3"/>
  <c r="V1115" i="3"/>
  <c r="W1116" i="3"/>
  <c r="V1116" i="3"/>
  <c r="W1117" i="3"/>
  <c r="V1117" i="3"/>
  <c r="W1118" i="3"/>
  <c r="V1118" i="3"/>
  <c r="W1119" i="3"/>
  <c r="V1119" i="3"/>
  <c r="W1120" i="3"/>
  <c r="V1120" i="3"/>
  <c r="W1121" i="3"/>
  <c r="V1121" i="3"/>
  <c r="V1122" i="3"/>
  <c r="W1122" i="3"/>
  <c r="W1123" i="3"/>
  <c r="V1123" i="3"/>
  <c r="W1124" i="3"/>
  <c r="V1124" i="3"/>
  <c r="W1125" i="3"/>
  <c r="V1125" i="3"/>
  <c r="W1126" i="3"/>
  <c r="V1126" i="3"/>
  <c r="W1127" i="3"/>
  <c r="V1127" i="3"/>
  <c r="W1128" i="3"/>
  <c r="V1128" i="3"/>
  <c r="W1129" i="3"/>
  <c r="V1129" i="3"/>
  <c r="V1130" i="3"/>
  <c r="W1130" i="3"/>
  <c r="W1131" i="3"/>
  <c r="V1131" i="3"/>
  <c r="W1132" i="3"/>
  <c r="V1132" i="3"/>
  <c r="W1133" i="3"/>
  <c r="V1133" i="3"/>
  <c r="W1134" i="3"/>
  <c r="V1134" i="3"/>
  <c r="W1135" i="3"/>
  <c r="V1135" i="3"/>
  <c r="W1136" i="3"/>
  <c r="V1136" i="3"/>
  <c r="W1137" i="3"/>
  <c r="V1137" i="3"/>
  <c r="V1138" i="3"/>
  <c r="W1138" i="3"/>
  <c r="W1139" i="3"/>
  <c r="V1139" i="3"/>
  <c r="W1140" i="3"/>
  <c r="V1140" i="3"/>
  <c r="W1141" i="3"/>
  <c r="V1141" i="3"/>
  <c r="W1142" i="3"/>
  <c r="V1142" i="3"/>
  <c r="W1143" i="3"/>
  <c r="V1143" i="3"/>
  <c r="W1144" i="3"/>
  <c r="V1144" i="3"/>
  <c r="W1145" i="3"/>
  <c r="V1145" i="3"/>
  <c r="V1146" i="3"/>
  <c r="W1146" i="3"/>
  <c r="W1147" i="3"/>
  <c r="V1147" i="3"/>
  <c r="W1148" i="3"/>
  <c r="V1148" i="3"/>
  <c r="W1149" i="3"/>
  <c r="V1149" i="3"/>
  <c r="W1150" i="3"/>
  <c r="V1150" i="3"/>
  <c r="W1151" i="3"/>
  <c r="V1151" i="3"/>
  <c r="W1152" i="3"/>
  <c r="V1152" i="3"/>
  <c r="W1153" i="3"/>
  <c r="V1153" i="3"/>
  <c r="V1154" i="3"/>
  <c r="W1154" i="3"/>
  <c r="W1155" i="3"/>
  <c r="V1155" i="3"/>
  <c r="W1156" i="3"/>
  <c r="V1156" i="3"/>
  <c r="W1157" i="3"/>
  <c r="V1157" i="3"/>
  <c r="W1158" i="3"/>
  <c r="V1158" i="3"/>
  <c r="W1159" i="3"/>
  <c r="V1159" i="3"/>
  <c r="W1160" i="3"/>
  <c r="V1160" i="3"/>
  <c r="W1161" i="3"/>
  <c r="V1161" i="3"/>
  <c r="V1162" i="3"/>
  <c r="W1162" i="3"/>
  <c r="W1163" i="3"/>
  <c r="V1163" i="3"/>
  <c r="W1164" i="3"/>
  <c r="V1164" i="3"/>
  <c r="W1165" i="3"/>
  <c r="V1165" i="3"/>
  <c r="W1166" i="3"/>
  <c r="V1166" i="3"/>
  <c r="W1167" i="3"/>
  <c r="V1167" i="3"/>
  <c r="W1168" i="3"/>
  <c r="V1168" i="3"/>
  <c r="W1169" i="3"/>
  <c r="V1169" i="3"/>
  <c r="W1170" i="3"/>
  <c r="V1170" i="3"/>
  <c r="W1171" i="3"/>
  <c r="V1171" i="3"/>
  <c r="W1172" i="3"/>
  <c r="V1172" i="3"/>
  <c r="W1173" i="3"/>
  <c r="V1173" i="3"/>
  <c r="W1174" i="3"/>
  <c r="V1174" i="3"/>
  <c r="W1175" i="3"/>
  <c r="V1175" i="3"/>
  <c r="W1176" i="3"/>
  <c r="V1176" i="3"/>
  <c r="W1177" i="3"/>
  <c r="V1177" i="3"/>
  <c r="U703" i="3"/>
  <c r="U735" i="3"/>
  <c r="U767" i="3"/>
  <c r="U799" i="3"/>
  <c r="U831" i="3"/>
  <c r="U863" i="3"/>
  <c r="U895" i="3"/>
  <c r="U927" i="3"/>
  <c r="U959" i="3"/>
  <c r="U991" i="3"/>
  <c r="U1023" i="3"/>
  <c r="U1055" i="3"/>
  <c r="U1087" i="3"/>
  <c r="U1119" i="3"/>
  <c r="U1151" i="3"/>
  <c r="T782" i="3"/>
  <c r="T910" i="3"/>
  <c r="T1038" i="3"/>
  <c r="T1166" i="3"/>
  <c r="V833" i="3"/>
  <c r="T705" i="3"/>
  <c r="U705" i="3"/>
  <c r="T706" i="3"/>
  <c r="U706" i="3"/>
  <c r="T707" i="3"/>
  <c r="U707" i="3"/>
  <c r="T708" i="3"/>
  <c r="U708" i="3"/>
  <c r="T709" i="3"/>
  <c r="U709" i="3"/>
  <c r="U710" i="3"/>
  <c r="T710" i="3"/>
  <c r="T713" i="3"/>
  <c r="U713" i="3"/>
  <c r="T715" i="3"/>
  <c r="U715" i="3"/>
  <c r="T721" i="3"/>
  <c r="U721" i="3"/>
  <c r="T722" i="3"/>
  <c r="U722" i="3"/>
  <c r="T723" i="3"/>
  <c r="U723" i="3"/>
  <c r="T724" i="3"/>
  <c r="U724" i="3"/>
  <c r="T725" i="3"/>
  <c r="U725" i="3"/>
  <c r="U726" i="3"/>
  <c r="T726" i="3"/>
  <c r="T732" i="3"/>
  <c r="U732" i="3"/>
  <c r="T733" i="3"/>
  <c r="U733" i="3"/>
  <c r="U734" i="3"/>
  <c r="T734" i="3"/>
  <c r="T737" i="3"/>
  <c r="U737" i="3"/>
  <c r="W701" i="3"/>
  <c r="V701" i="3"/>
  <c r="U704" i="3"/>
  <c r="U736" i="3"/>
  <c r="U768" i="3"/>
  <c r="U800" i="3"/>
  <c r="U832" i="3"/>
  <c r="U864" i="3"/>
  <c r="U896" i="3"/>
  <c r="U928" i="3"/>
  <c r="U960" i="3"/>
  <c r="U992" i="3"/>
  <c r="U1024" i="3"/>
  <c r="U1056" i="3"/>
  <c r="U1088" i="3"/>
  <c r="U1120" i="3"/>
  <c r="U1152" i="3"/>
  <c r="V834" i="3"/>
  <c r="Q666" i="4"/>
  <c r="A29" i="2" l="1"/>
  <c r="B27" i="2"/>
  <c r="B29" i="2"/>
  <c r="A27" i="2"/>
  <c r="A16" i="2"/>
  <c r="Q700" i="3"/>
  <c r="P700" i="3"/>
  <c r="O700" i="3"/>
  <c r="N700" i="3"/>
  <c r="M700" i="3"/>
  <c r="L700" i="3"/>
  <c r="K700" i="3"/>
  <c r="J700" i="3"/>
  <c r="I700" i="3"/>
  <c r="H700" i="3"/>
  <c r="G700" i="3"/>
  <c r="E700" i="3"/>
  <c r="C700" i="3"/>
  <c r="B700" i="3"/>
  <c r="Q699" i="3"/>
  <c r="P699" i="3"/>
  <c r="O699" i="3"/>
  <c r="N699" i="3"/>
  <c r="M699" i="3"/>
  <c r="L699" i="3"/>
  <c r="K699" i="3"/>
  <c r="J699" i="3"/>
  <c r="I699" i="3"/>
  <c r="H699" i="3"/>
  <c r="G699" i="3"/>
  <c r="E699" i="3"/>
  <c r="C699" i="3"/>
  <c r="B699" i="3"/>
  <c r="Q698" i="3"/>
  <c r="P698" i="3"/>
  <c r="O698" i="3"/>
  <c r="N698" i="3"/>
  <c r="M698" i="3"/>
  <c r="L698" i="3"/>
  <c r="K698" i="3"/>
  <c r="J698" i="3"/>
  <c r="I698" i="3"/>
  <c r="H698" i="3"/>
  <c r="G698" i="3"/>
  <c r="E698" i="3"/>
  <c r="C698" i="3"/>
  <c r="B698" i="3"/>
  <c r="Q697" i="3"/>
  <c r="P697" i="3"/>
  <c r="O697" i="3"/>
  <c r="N697" i="3"/>
  <c r="M697" i="3"/>
  <c r="L697" i="3"/>
  <c r="K697" i="3"/>
  <c r="J697" i="3"/>
  <c r="I697" i="3"/>
  <c r="H697" i="3"/>
  <c r="G697" i="3"/>
  <c r="E697" i="3"/>
  <c r="C697" i="3"/>
  <c r="B697" i="3"/>
  <c r="Q696" i="3"/>
  <c r="P696" i="3"/>
  <c r="O696" i="3"/>
  <c r="N696" i="3"/>
  <c r="M696" i="3"/>
  <c r="L696" i="3"/>
  <c r="K696" i="3"/>
  <c r="J696" i="3"/>
  <c r="I696" i="3"/>
  <c r="H696" i="3"/>
  <c r="G696" i="3"/>
  <c r="E696" i="3"/>
  <c r="C696" i="3"/>
  <c r="B696" i="3"/>
  <c r="Q695" i="3"/>
  <c r="P695" i="3"/>
  <c r="O695" i="3"/>
  <c r="N695" i="3"/>
  <c r="M695" i="3"/>
  <c r="L695" i="3"/>
  <c r="K695" i="3"/>
  <c r="J695" i="3"/>
  <c r="I695" i="3"/>
  <c r="H695" i="3"/>
  <c r="G695" i="3"/>
  <c r="E695" i="3"/>
  <c r="C695" i="3"/>
  <c r="B695" i="3"/>
  <c r="Q694" i="3"/>
  <c r="P694" i="3"/>
  <c r="O694" i="3"/>
  <c r="N694" i="3"/>
  <c r="M694" i="3"/>
  <c r="L694" i="3"/>
  <c r="K694" i="3"/>
  <c r="J694" i="3"/>
  <c r="I694" i="3"/>
  <c r="H694" i="3"/>
  <c r="G694" i="3"/>
  <c r="E694" i="3"/>
  <c r="C694" i="3"/>
  <c r="B694" i="3"/>
  <c r="Q693" i="3"/>
  <c r="P693" i="3"/>
  <c r="O693" i="3"/>
  <c r="N693" i="3"/>
  <c r="M693" i="3"/>
  <c r="L693" i="3"/>
  <c r="K693" i="3"/>
  <c r="J693" i="3"/>
  <c r="I693" i="3"/>
  <c r="H693" i="3"/>
  <c r="G693" i="3"/>
  <c r="E693" i="3"/>
  <c r="C693" i="3"/>
  <c r="B693" i="3"/>
  <c r="Q692" i="3"/>
  <c r="P692" i="3"/>
  <c r="O692" i="3"/>
  <c r="N692" i="3"/>
  <c r="M692" i="3"/>
  <c r="L692" i="3"/>
  <c r="K692" i="3"/>
  <c r="J692" i="3"/>
  <c r="I692" i="3"/>
  <c r="H692" i="3"/>
  <c r="G692" i="3"/>
  <c r="E692" i="3"/>
  <c r="C692" i="3"/>
  <c r="B692" i="3"/>
  <c r="Q691" i="3"/>
  <c r="P691" i="3"/>
  <c r="O691" i="3"/>
  <c r="N691" i="3"/>
  <c r="M691" i="3"/>
  <c r="L691" i="3"/>
  <c r="K691" i="3"/>
  <c r="J691" i="3"/>
  <c r="I691" i="3"/>
  <c r="H691" i="3"/>
  <c r="G691" i="3"/>
  <c r="E691" i="3"/>
  <c r="C691" i="3"/>
  <c r="B691" i="3"/>
  <c r="Q690" i="3"/>
  <c r="P690" i="3"/>
  <c r="O690" i="3"/>
  <c r="N690" i="3"/>
  <c r="M690" i="3"/>
  <c r="L690" i="3"/>
  <c r="K690" i="3"/>
  <c r="J690" i="3"/>
  <c r="I690" i="3"/>
  <c r="H690" i="3"/>
  <c r="G690" i="3"/>
  <c r="E690" i="3"/>
  <c r="C690" i="3"/>
  <c r="B690" i="3"/>
  <c r="Q689" i="3"/>
  <c r="P689" i="3"/>
  <c r="O689" i="3"/>
  <c r="N689" i="3"/>
  <c r="M689" i="3"/>
  <c r="L689" i="3"/>
  <c r="K689" i="3"/>
  <c r="J689" i="3"/>
  <c r="I689" i="3"/>
  <c r="H689" i="3"/>
  <c r="G689" i="3"/>
  <c r="E689" i="3"/>
  <c r="C689" i="3"/>
  <c r="B689" i="3"/>
  <c r="Q688" i="3"/>
  <c r="P688" i="3"/>
  <c r="O688" i="3"/>
  <c r="N688" i="3"/>
  <c r="M688" i="3"/>
  <c r="L688" i="3"/>
  <c r="K688" i="3"/>
  <c r="J688" i="3"/>
  <c r="I688" i="3"/>
  <c r="H688" i="3"/>
  <c r="G688" i="3"/>
  <c r="E688" i="3"/>
  <c r="C688" i="3"/>
  <c r="B688" i="3"/>
  <c r="Q687" i="3"/>
  <c r="P687" i="3"/>
  <c r="O687" i="3"/>
  <c r="N687" i="3"/>
  <c r="M687" i="3"/>
  <c r="L687" i="3"/>
  <c r="K687" i="3"/>
  <c r="J687" i="3"/>
  <c r="I687" i="3"/>
  <c r="H687" i="3"/>
  <c r="G687" i="3"/>
  <c r="E687" i="3"/>
  <c r="C687" i="3"/>
  <c r="B687" i="3"/>
  <c r="Q686" i="3"/>
  <c r="P686" i="3"/>
  <c r="O686" i="3"/>
  <c r="N686" i="3"/>
  <c r="M686" i="3"/>
  <c r="L686" i="3"/>
  <c r="K686" i="3"/>
  <c r="J686" i="3"/>
  <c r="I686" i="3"/>
  <c r="H686" i="3"/>
  <c r="G686" i="3"/>
  <c r="E686" i="3"/>
  <c r="C686" i="3"/>
  <c r="B686" i="3"/>
  <c r="Q685" i="3"/>
  <c r="P685" i="3"/>
  <c r="O685" i="3"/>
  <c r="N685" i="3"/>
  <c r="M685" i="3"/>
  <c r="L685" i="3"/>
  <c r="K685" i="3"/>
  <c r="J685" i="3"/>
  <c r="I685" i="3"/>
  <c r="H685" i="3"/>
  <c r="G685" i="3"/>
  <c r="E685" i="3"/>
  <c r="C685" i="3"/>
  <c r="B685" i="3"/>
  <c r="Q684" i="3"/>
  <c r="P684" i="3"/>
  <c r="O684" i="3"/>
  <c r="N684" i="3"/>
  <c r="M684" i="3"/>
  <c r="L684" i="3"/>
  <c r="K684" i="3"/>
  <c r="J684" i="3"/>
  <c r="I684" i="3"/>
  <c r="H684" i="3"/>
  <c r="G684" i="3"/>
  <c r="E684" i="3"/>
  <c r="C684" i="3"/>
  <c r="B684" i="3"/>
  <c r="Q683" i="3"/>
  <c r="P683" i="3"/>
  <c r="O683" i="3"/>
  <c r="N683" i="3"/>
  <c r="M683" i="3"/>
  <c r="L683" i="3"/>
  <c r="K683" i="3"/>
  <c r="J683" i="3"/>
  <c r="I683" i="3"/>
  <c r="H683" i="3"/>
  <c r="G683" i="3"/>
  <c r="E683" i="3"/>
  <c r="C683" i="3"/>
  <c r="B683" i="3"/>
  <c r="Q682" i="3"/>
  <c r="P682" i="3"/>
  <c r="O682" i="3"/>
  <c r="N682" i="3"/>
  <c r="M682" i="3"/>
  <c r="L682" i="3"/>
  <c r="K682" i="3"/>
  <c r="J682" i="3"/>
  <c r="I682" i="3"/>
  <c r="H682" i="3"/>
  <c r="G682" i="3"/>
  <c r="E682" i="3"/>
  <c r="C682" i="3"/>
  <c r="B682" i="3"/>
  <c r="Q681" i="3"/>
  <c r="P681" i="3"/>
  <c r="O681" i="3"/>
  <c r="N681" i="3"/>
  <c r="M681" i="3"/>
  <c r="L681" i="3"/>
  <c r="K681" i="3"/>
  <c r="J681" i="3"/>
  <c r="I681" i="3"/>
  <c r="H681" i="3"/>
  <c r="G681" i="3"/>
  <c r="E681" i="3"/>
  <c r="C681" i="3"/>
  <c r="B681" i="3"/>
  <c r="Q680" i="3"/>
  <c r="P680" i="3"/>
  <c r="O680" i="3"/>
  <c r="N680" i="3"/>
  <c r="M680" i="3"/>
  <c r="L680" i="3"/>
  <c r="K680" i="3"/>
  <c r="J680" i="3"/>
  <c r="I680" i="3"/>
  <c r="H680" i="3"/>
  <c r="G680" i="3"/>
  <c r="E680" i="3"/>
  <c r="C680" i="3"/>
  <c r="B680" i="3"/>
  <c r="Q679" i="3"/>
  <c r="P679" i="3"/>
  <c r="O679" i="3"/>
  <c r="N679" i="3"/>
  <c r="M679" i="3"/>
  <c r="L679" i="3"/>
  <c r="K679" i="3"/>
  <c r="J679" i="3"/>
  <c r="I679" i="3"/>
  <c r="H679" i="3"/>
  <c r="G679" i="3"/>
  <c r="E679" i="3"/>
  <c r="C679" i="3"/>
  <c r="B679" i="3"/>
  <c r="Q678" i="3"/>
  <c r="P678" i="3"/>
  <c r="O678" i="3"/>
  <c r="N678" i="3"/>
  <c r="M678" i="3"/>
  <c r="L678" i="3"/>
  <c r="K678" i="3"/>
  <c r="J678" i="3"/>
  <c r="I678" i="3"/>
  <c r="H678" i="3"/>
  <c r="G678" i="3"/>
  <c r="E678" i="3"/>
  <c r="C678" i="3"/>
  <c r="B678" i="3"/>
  <c r="Q677" i="3"/>
  <c r="P677" i="3"/>
  <c r="O677" i="3"/>
  <c r="N677" i="3"/>
  <c r="M677" i="3"/>
  <c r="L677" i="3"/>
  <c r="K677" i="3"/>
  <c r="J677" i="3"/>
  <c r="I677" i="3"/>
  <c r="H677" i="3"/>
  <c r="G677" i="3"/>
  <c r="E677" i="3"/>
  <c r="C677" i="3"/>
  <c r="B677" i="3"/>
  <c r="Q676" i="3"/>
  <c r="P676" i="3"/>
  <c r="O676" i="3"/>
  <c r="N676" i="3"/>
  <c r="M676" i="3"/>
  <c r="L676" i="3"/>
  <c r="K676" i="3"/>
  <c r="J676" i="3"/>
  <c r="I676" i="3"/>
  <c r="H676" i="3"/>
  <c r="G676" i="3"/>
  <c r="E676" i="3"/>
  <c r="C676" i="3"/>
  <c r="B676" i="3"/>
  <c r="Q675" i="3"/>
  <c r="P675" i="3"/>
  <c r="O675" i="3"/>
  <c r="N675" i="3"/>
  <c r="M675" i="3"/>
  <c r="L675" i="3"/>
  <c r="K675" i="3"/>
  <c r="J675" i="3"/>
  <c r="I675" i="3"/>
  <c r="H675" i="3"/>
  <c r="G675" i="3"/>
  <c r="E675" i="3"/>
  <c r="C675" i="3"/>
  <c r="B675" i="3"/>
  <c r="Q674" i="3"/>
  <c r="P674" i="3"/>
  <c r="O674" i="3"/>
  <c r="N674" i="3"/>
  <c r="M674" i="3"/>
  <c r="L674" i="3"/>
  <c r="K674" i="3"/>
  <c r="J674" i="3"/>
  <c r="I674" i="3"/>
  <c r="H674" i="3"/>
  <c r="G674" i="3"/>
  <c r="E674" i="3"/>
  <c r="C674" i="3"/>
  <c r="B674" i="3"/>
  <c r="Q673" i="3"/>
  <c r="P673" i="3"/>
  <c r="O673" i="3"/>
  <c r="N673" i="3"/>
  <c r="M673" i="3"/>
  <c r="L673" i="3"/>
  <c r="K673" i="3"/>
  <c r="J673" i="3"/>
  <c r="I673" i="3"/>
  <c r="H673" i="3"/>
  <c r="G673" i="3"/>
  <c r="E673" i="3"/>
  <c r="C673" i="3"/>
  <c r="B673" i="3"/>
  <c r="Q672" i="3"/>
  <c r="P672" i="3"/>
  <c r="O672" i="3"/>
  <c r="N672" i="3"/>
  <c r="M672" i="3"/>
  <c r="L672" i="3"/>
  <c r="K672" i="3"/>
  <c r="J672" i="3"/>
  <c r="I672" i="3"/>
  <c r="H672" i="3"/>
  <c r="G672" i="3"/>
  <c r="E672" i="3"/>
  <c r="C672" i="3"/>
  <c r="B672" i="3"/>
  <c r="Q671" i="3"/>
  <c r="P671" i="3"/>
  <c r="O671" i="3"/>
  <c r="N671" i="3"/>
  <c r="M671" i="3"/>
  <c r="L671" i="3"/>
  <c r="K671" i="3"/>
  <c r="J671" i="3"/>
  <c r="I671" i="3"/>
  <c r="H671" i="3"/>
  <c r="G671" i="3"/>
  <c r="E671" i="3"/>
  <c r="C671" i="3"/>
  <c r="B671" i="3"/>
  <c r="Q670" i="3"/>
  <c r="P670" i="3"/>
  <c r="O670" i="3"/>
  <c r="N670" i="3"/>
  <c r="M670" i="3"/>
  <c r="L670" i="3"/>
  <c r="K670" i="3"/>
  <c r="J670" i="3"/>
  <c r="I670" i="3"/>
  <c r="H670" i="3"/>
  <c r="G670" i="3"/>
  <c r="E670" i="3"/>
  <c r="C670" i="3"/>
  <c r="B670" i="3"/>
  <c r="Q669" i="3"/>
  <c r="P669" i="3"/>
  <c r="O669" i="3"/>
  <c r="N669" i="3"/>
  <c r="M669" i="3"/>
  <c r="L669" i="3"/>
  <c r="K669" i="3"/>
  <c r="J669" i="3"/>
  <c r="I669" i="3"/>
  <c r="H669" i="3"/>
  <c r="G669" i="3"/>
  <c r="E669" i="3"/>
  <c r="C669" i="3"/>
  <c r="B669" i="3"/>
  <c r="Q668" i="3"/>
  <c r="P668" i="3"/>
  <c r="O668" i="3"/>
  <c r="N668" i="3"/>
  <c r="M668" i="3"/>
  <c r="L668" i="3"/>
  <c r="K668" i="3"/>
  <c r="J668" i="3"/>
  <c r="I668" i="3"/>
  <c r="H668" i="3"/>
  <c r="G668" i="3"/>
  <c r="E668" i="3"/>
  <c r="C668" i="3"/>
  <c r="B668" i="3"/>
  <c r="Q667" i="3"/>
  <c r="P667" i="3"/>
  <c r="O667" i="3"/>
  <c r="N667" i="3"/>
  <c r="M667" i="3"/>
  <c r="L667" i="3"/>
  <c r="K667" i="3"/>
  <c r="J667" i="3"/>
  <c r="I667" i="3"/>
  <c r="H667" i="3"/>
  <c r="G667" i="3"/>
  <c r="E667" i="3"/>
  <c r="C667" i="3"/>
  <c r="B667" i="3"/>
  <c r="R666" i="3"/>
  <c r="Q666" i="3"/>
  <c r="P666" i="3"/>
  <c r="O666" i="3"/>
  <c r="N666" i="3"/>
  <c r="M666" i="3"/>
  <c r="L666" i="3"/>
  <c r="K666" i="3"/>
  <c r="J666" i="3"/>
  <c r="I666" i="3"/>
  <c r="H666" i="3"/>
  <c r="G666" i="3"/>
  <c r="E666" i="3"/>
  <c r="C666" i="3"/>
  <c r="B666" i="3"/>
  <c r="Q665" i="3"/>
  <c r="P665" i="3"/>
  <c r="O665" i="3"/>
  <c r="N665" i="3"/>
  <c r="M665" i="3"/>
  <c r="L665" i="3"/>
  <c r="K665" i="3"/>
  <c r="J665" i="3"/>
  <c r="I665" i="3"/>
  <c r="H665" i="3"/>
  <c r="G665" i="3"/>
  <c r="E665" i="3"/>
  <c r="C665" i="3"/>
  <c r="B665" i="3"/>
  <c r="Q664" i="3"/>
  <c r="P664" i="3"/>
  <c r="O664" i="3"/>
  <c r="N664" i="3"/>
  <c r="M664" i="3"/>
  <c r="L664" i="3"/>
  <c r="K664" i="3"/>
  <c r="J664" i="3"/>
  <c r="I664" i="3"/>
  <c r="H664" i="3"/>
  <c r="G664" i="3"/>
  <c r="E664" i="3"/>
  <c r="C664" i="3"/>
  <c r="B664" i="3"/>
  <c r="Q663" i="3"/>
  <c r="P663" i="3"/>
  <c r="O663" i="3"/>
  <c r="N663" i="3"/>
  <c r="M663" i="3"/>
  <c r="L663" i="3"/>
  <c r="K663" i="3"/>
  <c r="J663" i="3"/>
  <c r="I663" i="3"/>
  <c r="H663" i="3"/>
  <c r="G663" i="3"/>
  <c r="E663" i="3"/>
  <c r="C663" i="3"/>
  <c r="B663" i="3"/>
  <c r="Q662" i="3"/>
  <c r="P662" i="3"/>
  <c r="O662" i="3"/>
  <c r="N662" i="3"/>
  <c r="M662" i="3"/>
  <c r="L662" i="3"/>
  <c r="K662" i="3"/>
  <c r="J662" i="3"/>
  <c r="I662" i="3"/>
  <c r="H662" i="3"/>
  <c r="G662" i="3"/>
  <c r="E662" i="3"/>
  <c r="C662" i="3"/>
  <c r="B662" i="3"/>
  <c r="Q661" i="3"/>
  <c r="P661" i="3"/>
  <c r="O661" i="3"/>
  <c r="N661" i="3"/>
  <c r="M661" i="3"/>
  <c r="L661" i="3"/>
  <c r="K661" i="3"/>
  <c r="J661" i="3"/>
  <c r="I661" i="3"/>
  <c r="H661" i="3"/>
  <c r="G661" i="3"/>
  <c r="E661" i="3"/>
  <c r="C661" i="3"/>
  <c r="B661" i="3"/>
  <c r="Q660" i="3"/>
  <c r="P660" i="3"/>
  <c r="O660" i="3"/>
  <c r="N660" i="3"/>
  <c r="M660" i="3"/>
  <c r="L660" i="3"/>
  <c r="K660" i="3"/>
  <c r="J660" i="3"/>
  <c r="I660" i="3"/>
  <c r="H660" i="3"/>
  <c r="G660" i="3"/>
  <c r="E660" i="3"/>
  <c r="C660" i="3"/>
  <c r="B660" i="3"/>
  <c r="Q659" i="3"/>
  <c r="P659" i="3"/>
  <c r="O659" i="3"/>
  <c r="N659" i="3"/>
  <c r="M659" i="3"/>
  <c r="L659" i="3"/>
  <c r="K659" i="3"/>
  <c r="J659" i="3"/>
  <c r="I659" i="3"/>
  <c r="H659" i="3"/>
  <c r="G659" i="3"/>
  <c r="E659" i="3"/>
  <c r="C659" i="3"/>
  <c r="B659" i="3"/>
  <c r="Q658" i="3"/>
  <c r="P658" i="3"/>
  <c r="O658" i="3"/>
  <c r="N658" i="3"/>
  <c r="M658" i="3"/>
  <c r="L658" i="3"/>
  <c r="K658" i="3"/>
  <c r="J658" i="3"/>
  <c r="I658" i="3"/>
  <c r="H658" i="3"/>
  <c r="G658" i="3"/>
  <c r="E658" i="3"/>
  <c r="C658" i="3"/>
  <c r="B658" i="3"/>
  <c r="Q657" i="3"/>
  <c r="P657" i="3"/>
  <c r="O657" i="3"/>
  <c r="N657" i="3"/>
  <c r="M657" i="3"/>
  <c r="L657" i="3"/>
  <c r="K657" i="3"/>
  <c r="J657" i="3"/>
  <c r="I657" i="3"/>
  <c r="H657" i="3"/>
  <c r="G657" i="3"/>
  <c r="E657" i="3"/>
  <c r="C657" i="3"/>
  <c r="B657" i="3"/>
  <c r="Q656" i="3"/>
  <c r="P656" i="3"/>
  <c r="O656" i="3"/>
  <c r="N656" i="3"/>
  <c r="M656" i="3"/>
  <c r="L656" i="3"/>
  <c r="K656" i="3"/>
  <c r="J656" i="3"/>
  <c r="I656" i="3"/>
  <c r="H656" i="3"/>
  <c r="G656" i="3"/>
  <c r="E656" i="3"/>
  <c r="C656" i="3"/>
  <c r="B656" i="3"/>
  <c r="Q655" i="3"/>
  <c r="P655" i="3"/>
  <c r="O655" i="3"/>
  <c r="N655" i="3"/>
  <c r="M655" i="3"/>
  <c r="L655" i="3"/>
  <c r="K655" i="3"/>
  <c r="J655" i="3"/>
  <c r="I655" i="3"/>
  <c r="H655" i="3"/>
  <c r="G655" i="3"/>
  <c r="E655" i="3"/>
  <c r="C655" i="3"/>
  <c r="B655" i="3"/>
  <c r="Q654" i="3"/>
  <c r="P654" i="3"/>
  <c r="O654" i="3"/>
  <c r="N654" i="3"/>
  <c r="M654" i="3"/>
  <c r="L654" i="3"/>
  <c r="K654" i="3"/>
  <c r="J654" i="3"/>
  <c r="I654" i="3"/>
  <c r="H654" i="3"/>
  <c r="G654" i="3"/>
  <c r="E654" i="3"/>
  <c r="C654" i="3"/>
  <c r="B654" i="3"/>
  <c r="Q653" i="3"/>
  <c r="P653" i="3"/>
  <c r="O653" i="3"/>
  <c r="N653" i="3"/>
  <c r="M653" i="3"/>
  <c r="L653" i="3"/>
  <c r="K653" i="3"/>
  <c r="J653" i="3"/>
  <c r="I653" i="3"/>
  <c r="H653" i="3"/>
  <c r="G653" i="3"/>
  <c r="E653" i="3"/>
  <c r="C653" i="3"/>
  <c r="B653" i="3"/>
  <c r="Q652" i="3"/>
  <c r="P652" i="3"/>
  <c r="O652" i="3"/>
  <c r="N652" i="3"/>
  <c r="M652" i="3"/>
  <c r="L652" i="3"/>
  <c r="K652" i="3"/>
  <c r="J652" i="3"/>
  <c r="I652" i="3"/>
  <c r="H652" i="3"/>
  <c r="G652" i="3"/>
  <c r="E652" i="3"/>
  <c r="C652" i="3"/>
  <c r="B652" i="3"/>
  <c r="Q651" i="3"/>
  <c r="P651" i="3"/>
  <c r="O651" i="3"/>
  <c r="N651" i="3"/>
  <c r="M651" i="3"/>
  <c r="L651" i="3"/>
  <c r="K651" i="3"/>
  <c r="J651" i="3"/>
  <c r="I651" i="3"/>
  <c r="H651" i="3"/>
  <c r="G651" i="3"/>
  <c r="E651" i="3"/>
  <c r="C651" i="3"/>
  <c r="B651" i="3"/>
  <c r="Q650" i="3"/>
  <c r="P650" i="3"/>
  <c r="O650" i="3"/>
  <c r="N650" i="3"/>
  <c r="M650" i="3"/>
  <c r="L650" i="3"/>
  <c r="K650" i="3"/>
  <c r="J650" i="3"/>
  <c r="I650" i="3"/>
  <c r="H650" i="3"/>
  <c r="G650" i="3"/>
  <c r="E650" i="3"/>
  <c r="C650" i="3"/>
  <c r="B650" i="3"/>
  <c r="Q649" i="3"/>
  <c r="P649" i="3"/>
  <c r="O649" i="3"/>
  <c r="N649" i="3"/>
  <c r="M649" i="3"/>
  <c r="L649" i="3"/>
  <c r="K649" i="3"/>
  <c r="J649" i="3"/>
  <c r="I649" i="3"/>
  <c r="H649" i="3"/>
  <c r="G649" i="3"/>
  <c r="E649" i="3"/>
  <c r="C649" i="3"/>
  <c r="B649" i="3"/>
  <c r="Q648" i="3"/>
  <c r="P648" i="3"/>
  <c r="O648" i="3"/>
  <c r="N648" i="3"/>
  <c r="M648" i="3"/>
  <c r="L648" i="3"/>
  <c r="K648" i="3"/>
  <c r="J648" i="3"/>
  <c r="I648" i="3"/>
  <c r="H648" i="3"/>
  <c r="G648" i="3"/>
  <c r="E648" i="3"/>
  <c r="C648" i="3"/>
  <c r="B648" i="3"/>
  <c r="Q647" i="3"/>
  <c r="P647" i="3"/>
  <c r="O647" i="3"/>
  <c r="N647" i="3"/>
  <c r="M647" i="3"/>
  <c r="L647" i="3"/>
  <c r="K647" i="3"/>
  <c r="J647" i="3"/>
  <c r="I647" i="3"/>
  <c r="H647" i="3"/>
  <c r="G647" i="3"/>
  <c r="E647" i="3"/>
  <c r="C647" i="3"/>
  <c r="B647" i="3"/>
  <c r="Q646" i="3"/>
  <c r="P646" i="3"/>
  <c r="O646" i="3"/>
  <c r="N646" i="3"/>
  <c r="M646" i="3"/>
  <c r="L646" i="3"/>
  <c r="K646" i="3"/>
  <c r="J646" i="3"/>
  <c r="I646" i="3"/>
  <c r="H646" i="3"/>
  <c r="G646" i="3"/>
  <c r="E646" i="3"/>
  <c r="C646" i="3"/>
  <c r="B646" i="3"/>
  <c r="Q645" i="3"/>
  <c r="P645" i="3"/>
  <c r="O645" i="3"/>
  <c r="N645" i="3"/>
  <c r="M645" i="3"/>
  <c r="L645" i="3"/>
  <c r="K645" i="3"/>
  <c r="J645" i="3"/>
  <c r="I645" i="3"/>
  <c r="H645" i="3"/>
  <c r="G645" i="3"/>
  <c r="E645" i="3"/>
  <c r="C645" i="3"/>
  <c r="B645" i="3"/>
  <c r="Q644" i="3"/>
  <c r="P644" i="3"/>
  <c r="O644" i="3"/>
  <c r="N644" i="3"/>
  <c r="M644" i="3"/>
  <c r="L644" i="3"/>
  <c r="K644" i="3"/>
  <c r="J644" i="3"/>
  <c r="I644" i="3"/>
  <c r="H644" i="3"/>
  <c r="G644" i="3"/>
  <c r="E644" i="3"/>
  <c r="C644" i="3"/>
  <c r="B644" i="3"/>
  <c r="Q643" i="3"/>
  <c r="P643" i="3"/>
  <c r="O643" i="3"/>
  <c r="N643" i="3"/>
  <c r="M643" i="3"/>
  <c r="L643" i="3"/>
  <c r="K643" i="3"/>
  <c r="J643" i="3"/>
  <c r="I643" i="3"/>
  <c r="H643" i="3"/>
  <c r="G643" i="3"/>
  <c r="E643" i="3"/>
  <c r="C643" i="3"/>
  <c r="B643" i="3"/>
  <c r="Q642" i="3"/>
  <c r="P642" i="3"/>
  <c r="O642" i="3"/>
  <c r="N642" i="3"/>
  <c r="M642" i="3"/>
  <c r="L642" i="3"/>
  <c r="K642" i="3"/>
  <c r="J642" i="3"/>
  <c r="I642" i="3"/>
  <c r="H642" i="3"/>
  <c r="G642" i="3"/>
  <c r="E642" i="3"/>
  <c r="C642" i="3"/>
  <c r="B642" i="3"/>
  <c r="Q641" i="3"/>
  <c r="P641" i="3"/>
  <c r="O641" i="3"/>
  <c r="N641" i="3"/>
  <c r="M641" i="3"/>
  <c r="L641" i="3"/>
  <c r="K641" i="3"/>
  <c r="J641" i="3"/>
  <c r="I641" i="3"/>
  <c r="H641" i="3"/>
  <c r="G641" i="3"/>
  <c r="E641" i="3"/>
  <c r="C641" i="3"/>
  <c r="B641" i="3"/>
  <c r="Q640" i="3"/>
  <c r="P640" i="3"/>
  <c r="O640" i="3"/>
  <c r="N640" i="3"/>
  <c r="M640" i="3"/>
  <c r="L640" i="3"/>
  <c r="K640" i="3"/>
  <c r="J640" i="3"/>
  <c r="I640" i="3"/>
  <c r="H640" i="3"/>
  <c r="G640" i="3"/>
  <c r="E640" i="3"/>
  <c r="C640" i="3"/>
  <c r="B640" i="3"/>
  <c r="Q639" i="3"/>
  <c r="P639" i="3"/>
  <c r="O639" i="3"/>
  <c r="N639" i="3"/>
  <c r="M639" i="3"/>
  <c r="L639" i="3"/>
  <c r="K639" i="3"/>
  <c r="J639" i="3"/>
  <c r="I639" i="3"/>
  <c r="H639" i="3"/>
  <c r="G639" i="3"/>
  <c r="E639" i="3"/>
  <c r="C639" i="3"/>
  <c r="B639" i="3"/>
  <c r="Q638" i="3"/>
  <c r="P638" i="3"/>
  <c r="O638" i="3"/>
  <c r="N638" i="3"/>
  <c r="M638" i="3"/>
  <c r="L638" i="3"/>
  <c r="K638" i="3"/>
  <c r="J638" i="3"/>
  <c r="I638" i="3"/>
  <c r="H638" i="3"/>
  <c r="G638" i="3"/>
  <c r="E638" i="3"/>
  <c r="C638" i="3"/>
  <c r="B638" i="3"/>
  <c r="Q637" i="3"/>
  <c r="P637" i="3"/>
  <c r="O637" i="3"/>
  <c r="N637" i="3"/>
  <c r="M637" i="3"/>
  <c r="L637" i="3"/>
  <c r="K637" i="3"/>
  <c r="J637" i="3"/>
  <c r="I637" i="3"/>
  <c r="H637" i="3"/>
  <c r="G637" i="3"/>
  <c r="E637" i="3"/>
  <c r="C637" i="3"/>
  <c r="B637" i="3"/>
  <c r="Q636" i="3"/>
  <c r="P636" i="3"/>
  <c r="O636" i="3"/>
  <c r="N636" i="3"/>
  <c r="M636" i="3"/>
  <c r="L636" i="3"/>
  <c r="K636" i="3"/>
  <c r="J636" i="3"/>
  <c r="I636" i="3"/>
  <c r="H636" i="3"/>
  <c r="G636" i="3"/>
  <c r="E636" i="3"/>
  <c r="C636" i="3"/>
  <c r="B636" i="3"/>
  <c r="Q635" i="3"/>
  <c r="P635" i="3"/>
  <c r="O635" i="3"/>
  <c r="N635" i="3"/>
  <c r="M635" i="3"/>
  <c r="L635" i="3"/>
  <c r="K635" i="3"/>
  <c r="J635" i="3"/>
  <c r="I635" i="3"/>
  <c r="H635" i="3"/>
  <c r="G635" i="3"/>
  <c r="E635" i="3"/>
  <c r="C635" i="3"/>
  <c r="B635" i="3"/>
  <c r="Q634" i="3"/>
  <c r="P634" i="3"/>
  <c r="O634" i="3"/>
  <c r="N634" i="3"/>
  <c r="M634" i="3"/>
  <c r="L634" i="3"/>
  <c r="K634" i="3"/>
  <c r="J634" i="3"/>
  <c r="I634" i="3"/>
  <c r="H634" i="3"/>
  <c r="G634" i="3"/>
  <c r="E634" i="3"/>
  <c r="C634" i="3"/>
  <c r="B634" i="3"/>
  <c r="Q633" i="3"/>
  <c r="P633" i="3"/>
  <c r="O633" i="3"/>
  <c r="N633" i="3"/>
  <c r="M633" i="3"/>
  <c r="L633" i="3"/>
  <c r="K633" i="3"/>
  <c r="J633" i="3"/>
  <c r="I633" i="3"/>
  <c r="H633" i="3"/>
  <c r="G633" i="3"/>
  <c r="E633" i="3"/>
  <c r="C633" i="3"/>
  <c r="B633" i="3"/>
  <c r="Q632" i="3"/>
  <c r="P632" i="3"/>
  <c r="O632" i="3"/>
  <c r="N632" i="3"/>
  <c r="M632" i="3"/>
  <c r="L632" i="3"/>
  <c r="K632" i="3"/>
  <c r="J632" i="3"/>
  <c r="I632" i="3"/>
  <c r="H632" i="3"/>
  <c r="G632" i="3"/>
  <c r="E632" i="3"/>
  <c r="C632" i="3"/>
  <c r="B632" i="3"/>
  <c r="Q631" i="3"/>
  <c r="P631" i="3"/>
  <c r="O631" i="3"/>
  <c r="N631" i="3"/>
  <c r="M631" i="3"/>
  <c r="L631" i="3"/>
  <c r="K631" i="3"/>
  <c r="J631" i="3"/>
  <c r="I631" i="3"/>
  <c r="H631" i="3"/>
  <c r="G631" i="3"/>
  <c r="E631" i="3"/>
  <c r="C631" i="3"/>
  <c r="B631" i="3"/>
  <c r="Q630" i="3"/>
  <c r="P630" i="3"/>
  <c r="O630" i="3"/>
  <c r="N630" i="3"/>
  <c r="M630" i="3"/>
  <c r="L630" i="3"/>
  <c r="K630" i="3"/>
  <c r="J630" i="3"/>
  <c r="I630" i="3"/>
  <c r="H630" i="3"/>
  <c r="G630" i="3"/>
  <c r="E630" i="3"/>
  <c r="C630" i="3"/>
  <c r="B630" i="3"/>
  <c r="Q629" i="3"/>
  <c r="P629" i="3"/>
  <c r="O629" i="3"/>
  <c r="N629" i="3"/>
  <c r="M629" i="3"/>
  <c r="L629" i="3"/>
  <c r="K629" i="3"/>
  <c r="J629" i="3"/>
  <c r="I629" i="3"/>
  <c r="H629" i="3"/>
  <c r="G629" i="3"/>
  <c r="E629" i="3"/>
  <c r="C629" i="3"/>
  <c r="B629" i="3"/>
  <c r="Q628" i="3"/>
  <c r="P628" i="3"/>
  <c r="O628" i="3"/>
  <c r="N628" i="3"/>
  <c r="M628" i="3"/>
  <c r="L628" i="3"/>
  <c r="K628" i="3"/>
  <c r="J628" i="3"/>
  <c r="I628" i="3"/>
  <c r="H628" i="3"/>
  <c r="G628" i="3"/>
  <c r="E628" i="3"/>
  <c r="C628" i="3"/>
  <c r="B628" i="3"/>
  <c r="Q627" i="3"/>
  <c r="P627" i="3"/>
  <c r="O627" i="3"/>
  <c r="N627" i="3"/>
  <c r="M627" i="3"/>
  <c r="L627" i="3"/>
  <c r="K627" i="3"/>
  <c r="J627" i="3"/>
  <c r="I627" i="3"/>
  <c r="H627" i="3"/>
  <c r="G627" i="3"/>
  <c r="E627" i="3"/>
  <c r="C627" i="3"/>
  <c r="B627" i="3"/>
  <c r="Q626" i="3"/>
  <c r="P626" i="3"/>
  <c r="O626" i="3"/>
  <c r="N626" i="3"/>
  <c r="M626" i="3"/>
  <c r="L626" i="3"/>
  <c r="K626" i="3"/>
  <c r="J626" i="3"/>
  <c r="I626" i="3"/>
  <c r="H626" i="3"/>
  <c r="G626" i="3"/>
  <c r="E626" i="3"/>
  <c r="C626" i="3"/>
  <c r="B626" i="3"/>
  <c r="Q625" i="3"/>
  <c r="P625" i="3"/>
  <c r="O625" i="3"/>
  <c r="N625" i="3"/>
  <c r="M625" i="3"/>
  <c r="L625" i="3"/>
  <c r="K625" i="3"/>
  <c r="J625" i="3"/>
  <c r="I625" i="3"/>
  <c r="H625" i="3"/>
  <c r="G625" i="3"/>
  <c r="E625" i="3"/>
  <c r="C625" i="3"/>
  <c r="B625" i="3"/>
  <c r="Q624" i="3"/>
  <c r="P624" i="3"/>
  <c r="O624" i="3"/>
  <c r="N624" i="3"/>
  <c r="M624" i="3"/>
  <c r="L624" i="3"/>
  <c r="K624" i="3"/>
  <c r="J624" i="3"/>
  <c r="I624" i="3"/>
  <c r="H624" i="3"/>
  <c r="G624" i="3"/>
  <c r="E624" i="3"/>
  <c r="C624" i="3"/>
  <c r="B624" i="3"/>
  <c r="Q623" i="3"/>
  <c r="P623" i="3"/>
  <c r="O623" i="3"/>
  <c r="N623" i="3"/>
  <c r="M623" i="3"/>
  <c r="L623" i="3"/>
  <c r="K623" i="3"/>
  <c r="J623" i="3"/>
  <c r="I623" i="3"/>
  <c r="H623" i="3"/>
  <c r="G623" i="3"/>
  <c r="E623" i="3"/>
  <c r="C623" i="3"/>
  <c r="B623" i="3"/>
  <c r="Q622" i="3"/>
  <c r="P622" i="3"/>
  <c r="O622" i="3"/>
  <c r="N622" i="3"/>
  <c r="M622" i="3"/>
  <c r="L622" i="3"/>
  <c r="K622" i="3"/>
  <c r="J622" i="3"/>
  <c r="I622" i="3"/>
  <c r="H622" i="3"/>
  <c r="G622" i="3"/>
  <c r="E622" i="3"/>
  <c r="C622" i="3"/>
  <c r="B622" i="3"/>
  <c r="Q621" i="3"/>
  <c r="P621" i="3"/>
  <c r="O621" i="3"/>
  <c r="N621" i="3"/>
  <c r="M621" i="3"/>
  <c r="L621" i="3"/>
  <c r="K621" i="3"/>
  <c r="J621" i="3"/>
  <c r="I621" i="3"/>
  <c r="H621" i="3"/>
  <c r="G621" i="3"/>
  <c r="E621" i="3"/>
  <c r="C621" i="3"/>
  <c r="B621" i="3"/>
  <c r="Q620" i="3"/>
  <c r="P620" i="3"/>
  <c r="O620" i="3"/>
  <c r="N620" i="3"/>
  <c r="M620" i="3"/>
  <c r="L620" i="3"/>
  <c r="K620" i="3"/>
  <c r="J620" i="3"/>
  <c r="I620" i="3"/>
  <c r="H620" i="3"/>
  <c r="G620" i="3"/>
  <c r="E620" i="3"/>
  <c r="C620" i="3"/>
  <c r="B620" i="3"/>
  <c r="Q619" i="3"/>
  <c r="P619" i="3"/>
  <c r="O619" i="3"/>
  <c r="N619" i="3"/>
  <c r="M619" i="3"/>
  <c r="L619" i="3"/>
  <c r="K619" i="3"/>
  <c r="J619" i="3"/>
  <c r="I619" i="3"/>
  <c r="H619" i="3"/>
  <c r="G619" i="3"/>
  <c r="E619" i="3"/>
  <c r="C619" i="3"/>
  <c r="B619" i="3"/>
  <c r="Q618" i="3"/>
  <c r="P618" i="3"/>
  <c r="O618" i="3"/>
  <c r="N618" i="3"/>
  <c r="M618" i="3"/>
  <c r="L618" i="3"/>
  <c r="K618" i="3"/>
  <c r="J618" i="3"/>
  <c r="I618" i="3"/>
  <c r="H618" i="3"/>
  <c r="G618" i="3"/>
  <c r="E618" i="3"/>
  <c r="C618" i="3"/>
  <c r="B618" i="3"/>
  <c r="Q617" i="3"/>
  <c r="P617" i="3"/>
  <c r="O617" i="3"/>
  <c r="N617" i="3"/>
  <c r="M617" i="3"/>
  <c r="L617" i="3"/>
  <c r="K617" i="3"/>
  <c r="J617" i="3"/>
  <c r="I617" i="3"/>
  <c r="H617" i="3"/>
  <c r="G617" i="3"/>
  <c r="E617" i="3"/>
  <c r="C617" i="3"/>
  <c r="B617" i="3"/>
  <c r="Q616" i="3"/>
  <c r="P616" i="3"/>
  <c r="O616" i="3"/>
  <c r="N616" i="3"/>
  <c r="M616" i="3"/>
  <c r="L616" i="3"/>
  <c r="K616" i="3"/>
  <c r="J616" i="3"/>
  <c r="I616" i="3"/>
  <c r="H616" i="3"/>
  <c r="G616" i="3"/>
  <c r="E616" i="3"/>
  <c r="C616" i="3"/>
  <c r="B616" i="3"/>
  <c r="Q615" i="3"/>
  <c r="P615" i="3"/>
  <c r="O615" i="3"/>
  <c r="N615" i="3"/>
  <c r="M615" i="3"/>
  <c r="L615" i="3"/>
  <c r="K615" i="3"/>
  <c r="J615" i="3"/>
  <c r="I615" i="3"/>
  <c r="H615" i="3"/>
  <c r="G615" i="3"/>
  <c r="E615" i="3"/>
  <c r="C615" i="3"/>
  <c r="B615" i="3"/>
  <c r="Q614" i="3"/>
  <c r="P614" i="3"/>
  <c r="O614" i="3"/>
  <c r="N614" i="3"/>
  <c r="M614" i="3"/>
  <c r="L614" i="3"/>
  <c r="K614" i="3"/>
  <c r="J614" i="3"/>
  <c r="I614" i="3"/>
  <c r="H614" i="3"/>
  <c r="G614" i="3"/>
  <c r="E614" i="3"/>
  <c r="C614" i="3"/>
  <c r="B614" i="3"/>
  <c r="Q613" i="3"/>
  <c r="P613" i="3"/>
  <c r="O613" i="3"/>
  <c r="N613" i="3"/>
  <c r="M613" i="3"/>
  <c r="L613" i="3"/>
  <c r="K613" i="3"/>
  <c r="J613" i="3"/>
  <c r="I613" i="3"/>
  <c r="H613" i="3"/>
  <c r="G613" i="3"/>
  <c r="E613" i="3"/>
  <c r="C613" i="3"/>
  <c r="B613" i="3"/>
  <c r="Q612" i="3"/>
  <c r="P612" i="3"/>
  <c r="O612" i="3"/>
  <c r="N612" i="3"/>
  <c r="M612" i="3"/>
  <c r="L612" i="3"/>
  <c r="K612" i="3"/>
  <c r="J612" i="3"/>
  <c r="I612" i="3"/>
  <c r="H612" i="3"/>
  <c r="G612" i="3"/>
  <c r="E612" i="3"/>
  <c r="C612" i="3"/>
  <c r="B612" i="3"/>
  <c r="Q611" i="3"/>
  <c r="P611" i="3"/>
  <c r="O611" i="3"/>
  <c r="N611" i="3"/>
  <c r="M611" i="3"/>
  <c r="L611" i="3"/>
  <c r="K611" i="3"/>
  <c r="J611" i="3"/>
  <c r="I611" i="3"/>
  <c r="H611" i="3"/>
  <c r="G611" i="3"/>
  <c r="E611" i="3"/>
  <c r="C611" i="3"/>
  <c r="B611" i="3"/>
  <c r="Q610" i="3"/>
  <c r="P610" i="3"/>
  <c r="O610" i="3"/>
  <c r="N610" i="3"/>
  <c r="M610" i="3"/>
  <c r="L610" i="3"/>
  <c r="K610" i="3"/>
  <c r="J610" i="3"/>
  <c r="I610" i="3"/>
  <c r="H610" i="3"/>
  <c r="G610" i="3"/>
  <c r="E610" i="3"/>
  <c r="C610" i="3"/>
  <c r="B610" i="3"/>
  <c r="Q609" i="3"/>
  <c r="P609" i="3"/>
  <c r="O609" i="3"/>
  <c r="N609" i="3"/>
  <c r="M609" i="3"/>
  <c r="L609" i="3"/>
  <c r="K609" i="3"/>
  <c r="J609" i="3"/>
  <c r="I609" i="3"/>
  <c r="H609" i="3"/>
  <c r="G609" i="3"/>
  <c r="E609" i="3"/>
  <c r="C609" i="3"/>
  <c r="B609" i="3"/>
  <c r="Q608" i="3"/>
  <c r="P608" i="3"/>
  <c r="O608" i="3"/>
  <c r="N608" i="3"/>
  <c r="M608" i="3"/>
  <c r="L608" i="3"/>
  <c r="K608" i="3"/>
  <c r="J608" i="3"/>
  <c r="I608" i="3"/>
  <c r="H608" i="3"/>
  <c r="G608" i="3"/>
  <c r="E608" i="3"/>
  <c r="C608" i="3"/>
  <c r="B608" i="3"/>
  <c r="Q607" i="3"/>
  <c r="P607" i="3"/>
  <c r="O607" i="3"/>
  <c r="N607" i="3"/>
  <c r="M607" i="3"/>
  <c r="L607" i="3"/>
  <c r="K607" i="3"/>
  <c r="J607" i="3"/>
  <c r="I607" i="3"/>
  <c r="H607" i="3"/>
  <c r="G607" i="3"/>
  <c r="E607" i="3"/>
  <c r="C607" i="3"/>
  <c r="B607" i="3"/>
  <c r="Q606" i="3"/>
  <c r="P606" i="3"/>
  <c r="O606" i="3"/>
  <c r="N606" i="3"/>
  <c r="M606" i="3"/>
  <c r="L606" i="3"/>
  <c r="K606" i="3"/>
  <c r="J606" i="3"/>
  <c r="I606" i="3"/>
  <c r="H606" i="3"/>
  <c r="G606" i="3"/>
  <c r="E606" i="3"/>
  <c r="C606" i="3"/>
  <c r="B606" i="3"/>
  <c r="Q605" i="3"/>
  <c r="P605" i="3"/>
  <c r="O605" i="3"/>
  <c r="N605" i="3"/>
  <c r="M605" i="3"/>
  <c r="L605" i="3"/>
  <c r="K605" i="3"/>
  <c r="J605" i="3"/>
  <c r="I605" i="3"/>
  <c r="H605" i="3"/>
  <c r="G605" i="3"/>
  <c r="E605" i="3"/>
  <c r="C605" i="3"/>
  <c r="B605" i="3"/>
  <c r="Q604" i="3"/>
  <c r="P604" i="3"/>
  <c r="O604" i="3"/>
  <c r="N604" i="3"/>
  <c r="M604" i="3"/>
  <c r="L604" i="3"/>
  <c r="K604" i="3"/>
  <c r="J604" i="3"/>
  <c r="I604" i="3"/>
  <c r="H604" i="3"/>
  <c r="G604" i="3"/>
  <c r="E604" i="3"/>
  <c r="C604" i="3"/>
  <c r="B604" i="3"/>
  <c r="Q603" i="3"/>
  <c r="P603" i="3"/>
  <c r="O603" i="3"/>
  <c r="N603" i="3"/>
  <c r="M603" i="3"/>
  <c r="L603" i="3"/>
  <c r="K603" i="3"/>
  <c r="J603" i="3"/>
  <c r="I603" i="3"/>
  <c r="H603" i="3"/>
  <c r="G603" i="3"/>
  <c r="E603" i="3"/>
  <c r="C603" i="3"/>
  <c r="B603" i="3"/>
  <c r="Q602" i="3"/>
  <c r="P602" i="3"/>
  <c r="O602" i="3"/>
  <c r="N602" i="3"/>
  <c r="M602" i="3"/>
  <c r="L602" i="3"/>
  <c r="K602" i="3"/>
  <c r="J602" i="3"/>
  <c r="I602" i="3"/>
  <c r="H602" i="3"/>
  <c r="G602" i="3"/>
  <c r="E602" i="3"/>
  <c r="C602" i="3"/>
  <c r="B602" i="3"/>
  <c r="Q601" i="3"/>
  <c r="P601" i="3"/>
  <c r="O601" i="3"/>
  <c r="N601" i="3"/>
  <c r="M601" i="3"/>
  <c r="L601" i="3"/>
  <c r="K601" i="3"/>
  <c r="J601" i="3"/>
  <c r="I601" i="3"/>
  <c r="H601" i="3"/>
  <c r="G601" i="3"/>
  <c r="E601" i="3"/>
  <c r="C601" i="3"/>
  <c r="B601" i="3"/>
  <c r="Q600" i="3"/>
  <c r="P600" i="3"/>
  <c r="O600" i="3"/>
  <c r="N600" i="3"/>
  <c r="M600" i="3"/>
  <c r="L600" i="3"/>
  <c r="K600" i="3"/>
  <c r="J600" i="3"/>
  <c r="I600" i="3"/>
  <c r="H600" i="3"/>
  <c r="G600" i="3"/>
  <c r="E600" i="3"/>
  <c r="C600" i="3"/>
  <c r="B600" i="3"/>
  <c r="Q599" i="3"/>
  <c r="P599" i="3"/>
  <c r="O599" i="3"/>
  <c r="N599" i="3"/>
  <c r="M599" i="3"/>
  <c r="L599" i="3"/>
  <c r="K599" i="3"/>
  <c r="J599" i="3"/>
  <c r="I599" i="3"/>
  <c r="H599" i="3"/>
  <c r="G599" i="3"/>
  <c r="E599" i="3"/>
  <c r="C599" i="3"/>
  <c r="B599" i="3"/>
  <c r="Q598" i="3"/>
  <c r="P598" i="3"/>
  <c r="O598" i="3"/>
  <c r="N598" i="3"/>
  <c r="M598" i="3"/>
  <c r="L598" i="3"/>
  <c r="K598" i="3"/>
  <c r="J598" i="3"/>
  <c r="I598" i="3"/>
  <c r="H598" i="3"/>
  <c r="G598" i="3"/>
  <c r="E598" i="3"/>
  <c r="C598" i="3"/>
  <c r="B598" i="3"/>
  <c r="Q597" i="3"/>
  <c r="P597" i="3"/>
  <c r="O597" i="3"/>
  <c r="N597" i="3"/>
  <c r="M597" i="3"/>
  <c r="L597" i="3"/>
  <c r="K597" i="3"/>
  <c r="J597" i="3"/>
  <c r="I597" i="3"/>
  <c r="H597" i="3"/>
  <c r="G597" i="3"/>
  <c r="E597" i="3"/>
  <c r="C597" i="3"/>
  <c r="B597" i="3"/>
  <c r="Q596" i="3"/>
  <c r="P596" i="3"/>
  <c r="O596" i="3"/>
  <c r="N596" i="3"/>
  <c r="M596" i="3"/>
  <c r="L596" i="3"/>
  <c r="K596" i="3"/>
  <c r="J596" i="3"/>
  <c r="I596" i="3"/>
  <c r="H596" i="3"/>
  <c r="G596" i="3"/>
  <c r="E596" i="3"/>
  <c r="C596" i="3"/>
  <c r="B596" i="3"/>
  <c r="Q595" i="3"/>
  <c r="P595" i="3"/>
  <c r="O595" i="3"/>
  <c r="N595" i="3"/>
  <c r="M595" i="3"/>
  <c r="L595" i="3"/>
  <c r="K595" i="3"/>
  <c r="J595" i="3"/>
  <c r="I595" i="3"/>
  <c r="H595" i="3"/>
  <c r="G595" i="3"/>
  <c r="E595" i="3"/>
  <c r="C595" i="3"/>
  <c r="B595" i="3"/>
  <c r="Q594" i="3"/>
  <c r="P594" i="3"/>
  <c r="O594" i="3"/>
  <c r="N594" i="3"/>
  <c r="M594" i="3"/>
  <c r="L594" i="3"/>
  <c r="K594" i="3"/>
  <c r="J594" i="3"/>
  <c r="I594" i="3"/>
  <c r="H594" i="3"/>
  <c r="G594" i="3"/>
  <c r="E594" i="3"/>
  <c r="C594" i="3"/>
  <c r="B594" i="3"/>
  <c r="Q593" i="3"/>
  <c r="P593" i="3"/>
  <c r="O593" i="3"/>
  <c r="N593" i="3"/>
  <c r="M593" i="3"/>
  <c r="L593" i="3"/>
  <c r="K593" i="3"/>
  <c r="J593" i="3"/>
  <c r="I593" i="3"/>
  <c r="H593" i="3"/>
  <c r="G593" i="3"/>
  <c r="E593" i="3"/>
  <c r="C593" i="3"/>
  <c r="B593" i="3"/>
  <c r="Q592" i="3"/>
  <c r="P592" i="3"/>
  <c r="O592" i="3"/>
  <c r="N592" i="3"/>
  <c r="M592" i="3"/>
  <c r="L592" i="3"/>
  <c r="K592" i="3"/>
  <c r="J592" i="3"/>
  <c r="I592" i="3"/>
  <c r="H592" i="3"/>
  <c r="G592" i="3"/>
  <c r="E592" i="3"/>
  <c r="C592" i="3"/>
  <c r="B592" i="3"/>
  <c r="Q591" i="3"/>
  <c r="P591" i="3"/>
  <c r="O591" i="3"/>
  <c r="N591" i="3"/>
  <c r="M591" i="3"/>
  <c r="L591" i="3"/>
  <c r="K591" i="3"/>
  <c r="J591" i="3"/>
  <c r="I591" i="3"/>
  <c r="H591" i="3"/>
  <c r="G591" i="3"/>
  <c r="E591" i="3"/>
  <c r="C591" i="3"/>
  <c r="B591" i="3"/>
  <c r="Q590" i="3"/>
  <c r="P590" i="3"/>
  <c r="O590" i="3"/>
  <c r="N590" i="3"/>
  <c r="M590" i="3"/>
  <c r="L590" i="3"/>
  <c r="K590" i="3"/>
  <c r="J590" i="3"/>
  <c r="I590" i="3"/>
  <c r="H590" i="3"/>
  <c r="G590" i="3"/>
  <c r="E590" i="3"/>
  <c r="C590" i="3"/>
  <c r="B590" i="3"/>
  <c r="Q589" i="3"/>
  <c r="P589" i="3"/>
  <c r="O589" i="3"/>
  <c r="N589" i="3"/>
  <c r="M589" i="3"/>
  <c r="L589" i="3"/>
  <c r="K589" i="3"/>
  <c r="J589" i="3"/>
  <c r="I589" i="3"/>
  <c r="H589" i="3"/>
  <c r="G589" i="3"/>
  <c r="E589" i="3"/>
  <c r="C589" i="3"/>
  <c r="B589" i="3"/>
  <c r="Q588" i="3"/>
  <c r="P588" i="3"/>
  <c r="O588" i="3"/>
  <c r="N588" i="3"/>
  <c r="M588" i="3"/>
  <c r="L588" i="3"/>
  <c r="K588" i="3"/>
  <c r="J588" i="3"/>
  <c r="I588" i="3"/>
  <c r="H588" i="3"/>
  <c r="G588" i="3"/>
  <c r="E588" i="3"/>
  <c r="C588" i="3"/>
  <c r="B588" i="3"/>
  <c r="Q587" i="3"/>
  <c r="P587" i="3"/>
  <c r="O587" i="3"/>
  <c r="N587" i="3"/>
  <c r="M587" i="3"/>
  <c r="L587" i="3"/>
  <c r="K587" i="3"/>
  <c r="J587" i="3"/>
  <c r="I587" i="3"/>
  <c r="H587" i="3"/>
  <c r="G587" i="3"/>
  <c r="E587" i="3"/>
  <c r="C587" i="3"/>
  <c r="B587" i="3"/>
  <c r="Q586" i="3"/>
  <c r="P586" i="3"/>
  <c r="O586" i="3"/>
  <c r="N586" i="3"/>
  <c r="M586" i="3"/>
  <c r="L586" i="3"/>
  <c r="K586" i="3"/>
  <c r="J586" i="3"/>
  <c r="I586" i="3"/>
  <c r="H586" i="3"/>
  <c r="G586" i="3"/>
  <c r="E586" i="3"/>
  <c r="C586" i="3"/>
  <c r="B586" i="3"/>
  <c r="Q585" i="3"/>
  <c r="P585" i="3"/>
  <c r="O585" i="3"/>
  <c r="N585" i="3"/>
  <c r="M585" i="3"/>
  <c r="L585" i="3"/>
  <c r="K585" i="3"/>
  <c r="J585" i="3"/>
  <c r="I585" i="3"/>
  <c r="H585" i="3"/>
  <c r="G585" i="3"/>
  <c r="E585" i="3"/>
  <c r="C585" i="3"/>
  <c r="B585" i="3"/>
  <c r="Q584" i="3"/>
  <c r="P584" i="3"/>
  <c r="O584" i="3"/>
  <c r="N584" i="3"/>
  <c r="M584" i="3"/>
  <c r="L584" i="3"/>
  <c r="K584" i="3"/>
  <c r="J584" i="3"/>
  <c r="I584" i="3"/>
  <c r="H584" i="3"/>
  <c r="G584" i="3"/>
  <c r="E584" i="3"/>
  <c r="C584" i="3"/>
  <c r="B584" i="3"/>
  <c r="Q583" i="3"/>
  <c r="P583" i="3"/>
  <c r="O583" i="3"/>
  <c r="N583" i="3"/>
  <c r="M583" i="3"/>
  <c r="L583" i="3"/>
  <c r="K583" i="3"/>
  <c r="J583" i="3"/>
  <c r="I583" i="3"/>
  <c r="H583" i="3"/>
  <c r="G583" i="3"/>
  <c r="E583" i="3"/>
  <c r="C583" i="3"/>
  <c r="B583" i="3"/>
  <c r="Q582" i="3"/>
  <c r="P582" i="3"/>
  <c r="O582" i="3"/>
  <c r="N582" i="3"/>
  <c r="M582" i="3"/>
  <c r="L582" i="3"/>
  <c r="K582" i="3"/>
  <c r="J582" i="3"/>
  <c r="I582" i="3"/>
  <c r="H582" i="3"/>
  <c r="G582" i="3"/>
  <c r="E582" i="3"/>
  <c r="C582" i="3"/>
  <c r="B582" i="3"/>
  <c r="Q581" i="3"/>
  <c r="P581" i="3"/>
  <c r="O581" i="3"/>
  <c r="N581" i="3"/>
  <c r="M581" i="3"/>
  <c r="L581" i="3"/>
  <c r="K581" i="3"/>
  <c r="J581" i="3"/>
  <c r="I581" i="3"/>
  <c r="H581" i="3"/>
  <c r="G581" i="3"/>
  <c r="E581" i="3"/>
  <c r="C581" i="3"/>
  <c r="B581" i="3"/>
  <c r="Q580" i="3"/>
  <c r="P580" i="3"/>
  <c r="O580" i="3"/>
  <c r="N580" i="3"/>
  <c r="M580" i="3"/>
  <c r="L580" i="3"/>
  <c r="K580" i="3"/>
  <c r="J580" i="3"/>
  <c r="I580" i="3"/>
  <c r="H580" i="3"/>
  <c r="G580" i="3"/>
  <c r="E580" i="3"/>
  <c r="C580" i="3"/>
  <c r="B580" i="3"/>
  <c r="Q579" i="3"/>
  <c r="P579" i="3"/>
  <c r="O579" i="3"/>
  <c r="N579" i="3"/>
  <c r="M579" i="3"/>
  <c r="L579" i="3"/>
  <c r="K579" i="3"/>
  <c r="J579" i="3"/>
  <c r="I579" i="3"/>
  <c r="H579" i="3"/>
  <c r="G579" i="3"/>
  <c r="E579" i="3"/>
  <c r="C579" i="3"/>
  <c r="B579" i="3"/>
  <c r="Q578" i="3"/>
  <c r="P578" i="3"/>
  <c r="O578" i="3"/>
  <c r="N578" i="3"/>
  <c r="M578" i="3"/>
  <c r="L578" i="3"/>
  <c r="K578" i="3"/>
  <c r="J578" i="3"/>
  <c r="I578" i="3"/>
  <c r="H578" i="3"/>
  <c r="G578" i="3"/>
  <c r="E578" i="3"/>
  <c r="C578" i="3"/>
  <c r="B578" i="3"/>
  <c r="Q577" i="3"/>
  <c r="P577" i="3"/>
  <c r="O577" i="3"/>
  <c r="N577" i="3"/>
  <c r="M577" i="3"/>
  <c r="L577" i="3"/>
  <c r="K577" i="3"/>
  <c r="J577" i="3"/>
  <c r="I577" i="3"/>
  <c r="H577" i="3"/>
  <c r="G577" i="3"/>
  <c r="E577" i="3"/>
  <c r="C577" i="3"/>
  <c r="B577" i="3"/>
  <c r="Q576" i="3"/>
  <c r="P576" i="3"/>
  <c r="O576" i="3"/>
  <c r="N576" i="3"/>
  <c r="M576" i="3"/>
  <c r="L576" i="3"/>
  <c r="K576" i="3"/>
  <c r="J576" i="3"/>
  <c r="I576" i="3"/>
  <c r="H576" i="3"/>
  <c r="G576" i="3"/>
  <c r="E576" i="3"/>
  <c r="C576" i="3"/>
  <c r="B576" i="3"/>
  <c r="Q575" i="3"/>
  <c r="P575" i="3"/>
  <c r="O575" i="3"/>
  <c r="N575" i="3"/>
  <c r="M575" i="3"/>
  <c r="L575" i="3"/>
  <c r="K575" i="3"/>
  <c r="J575" i="3"/>
  <c r="I575" i="3"/>
  <c r="H575" i="3"/>
  <c r="G575" i="3"/>
  <c r="E575" i="3"/>
  <c r="C575" i="3"/>
  <c r="B575" i="3"/>
  <c r="Q574" i="3"/>
  <c r="P574" i="3"/>
  <c r="O574" i="3"/>
  <c r="N574" i="3"/>
  <c r="M574" i="3"/>
  <c r="L574" i="3"/>
  <c r="K574" i="3"/>
  <c r="J574" i="3"/>
  <c r="I574" i="3"/>
  <c r="H574" i="3"/>
  <c r="G574" i="3"/>
  <c r="E574" i="3"/>
  <c r="C574" i="3"/>
  <c r="B574" i="3"/>
  <c r="Q573" i="3"/>
  <c r="P573" i="3"/>
  <c r="O573" i="3"/>
  <c r="N573" i="3"/>
  <c r="M573" i="3"/>
  <c r="L573" i="3"/>
  <c r="K573" i="3"/>
  <c r="J573" i="3"/>
  <c r="I573" i="3"/>
  <c r="H573" i="3"/>
  <c r="G573" i="3"/>
  <c r="E573" i="3"/>
  <c r="C573" i="3"/>
  <c r="B573" i="3"/>
  <c r="Q572" i="3"/>
  <c r="P572" i="3"/>
  <c r="O572" i="3"/>
  <c r="N572" i="3"/>
  <c r="M572" i="3"/>
  <c r="L572" i="3"/>
  <c r="K572" i="3"/>
  <c r="J572" i="3"/>
  <c r="I572" i="3"/>
  <c r="H572" i="3"/>
  <c r="G572" i="3"/>
  <c r="E572" i="3"/>
  <c r="C572" i="3"/>
  <c r="B572" i="3"/>
  <c r="Q571" i="3"/>
  <c r="P571" i="3"/>
  <c r="O571" i="3"/>
  <c r="N571" i="3"/>
  <c r="M571" i="3"/>
  <c r="L571" i="3"/>
  <c r="K571" i="3"/>
  <c r="J571" i="3"/>
  <c r="I571" i="3"/>
  <c r="H571" i="3"/>
  <c r="G571" i="3"/>
  <c r="E571" i="3"/>
  <c r="C571" i="3"/>
  <c r="B571" i="3"/>
  <c r="Q570" i="3"/>
  <c r="P570" i="3"/>
  <c r="O570" i="3"/>
  <c r="N570" i="3"/>
  <c r="M570" i="3"/>
  <c r="L570" i="3"/>
  <c r="K570" i="3"/>
  <c r="J570" i="3"/>
  <c r="I570" i="3"/>
  <c r="H570" i="3"/>
  <c r="G570" i="3"/>
  <c r="E570" i="3"/>
  <c r="C570" i="3"/>
  <c r="B570" i="3"/>
  <c r="Q569" i="3"/>
  <c r="P569" i="3"/>
  <c r="O569" i="3"/>
  <c r="N569" i="3"/>
  <c r="M569" i="3"/>
  <c r="L569" i="3"/>
  <c r="K569" i="3"/>
  <c r="J569" i="3"/>
  <c r="I569" i="3"/>
  <c r="H569" i="3"/>
  <c r="G569" i="3"/>
  <c r="E569" i="3"/>
  <c r="C569" i="3"/>
  <c r="B569" i="3"/>
  <c r="Q568" i="3"/>
  <c r="P568" i="3"/>
  <c r="O568" i="3"/>
  <c r="N568" i="3"/>
  <c r="M568" i="3"/>
  <c r="L568" i="3"/>
  <c r="K568" i="3"/>
  <c r="J568" i="3"/>
  <c r="I568" i="3"/>
  <c r="H568" i="3"/>
  <c r="G568" i="3"/>
  <c r="E568" i="3"/>
  <c r="C568" i="3"/>
  <c r="B568" i="3"/>
  <c r="Q567" i="3"/>
  <c r="P567" i="3"/>
  <c r="O567" i="3"/>
  <c r="N567" i="3"/>
  <c r="M567" i="3"/>
  <c r="L567" i="3"/>
  <c r="K567" i="3"/>
  <c r="J567" i="3"/>
  <c r="I567" i="3"/>
  <c r="H567" i="3"/>
  <c r="G567" i="3"/>
  <c r="E567" i="3"/>
  <c r="C567" i="3"/>
  <c r="B567" i="3"/>
  <c r="Q566" i="3"/>
  <c r="P566" i="3"/>
  <c r="O566" i="3"/>
  <c r="N566" i="3"/>
  <c r="M566" i="3"/>
  <c r="L566" i="3"/>
  <c r="K566" i="3"/>
  <c r="J566" i="3"/>
  <c r="I566" i="3"/>
  <c r="H566" i="3"/>
  <c r="G566" i="3"/>
  <c r="E566" i="3"/>
  <c r="C566" i="3"/>
  <c r="B566" i="3"/>
  <c r="Q565" i="3"/>
  <c r="P565" i="3"/>
  <c r="O565" i="3"/>
  <c r="N565" i="3"/>
  <c r="M565" i="3"/>
  <c r="L565" i="3"/>
  <c r="K565" i="3"/>
  <c r="J565" i="3"/>
  <c r="I565" i="3"/>
  <c r="H565" i="3"/>
  <c r="G565" i="3"/>
  <c r="E565" i="3"/>
  <c r="C565" i="3"/>
  <c r="B565" i="3"/>
  <c r="Q564" i="3"/>
  <c r="P564" i="3"/>
  <c r="O564" i="3"/>
  <c r="N564" i="3"/>
  <c r="M564" i="3"/>
  <c r="L564" i="3"/>
  <c r="K564" i="3"/>
  <c r="J564" i="3"/>
  <c r="I564" i="3"/>
  <c r="H564" i="3"/>
  <c r="G564" i="3"/>
  <c r="E564" i="3"/>
  <c r="C564" i="3"/>
  <c r="B564" i="3"/>
  <c r="Q563" i="3"/>
  <c r="P563" i="3"/>
  <c r="O563" i="3"/>
  <c r="N563" i="3"/>
  <c r="M563" i="3"/>
  <c r="L563" i="3"/>
  <c r="K563" i="3"/>
  <c r="J563" i="3"/>
  <c r="I563" i="3"/>
  <c r="H563" i="3"/>
  <c r="G563" i="3"/>
  <c r="E563" i="3"/>
  <c r="C563" i="3"/>
  <c r="B563" i="3"/>
  <c r="Q562" i="3"/>
  <c r="P562" i="3"/>
  <c r="O562" i="3"/>
  <c r="N562" i="3"/>
  <c r="M562" i="3"/>
  <c r="L562" i="3"/>
  <c r="K562" i="3"/>
  <c r="J562" i="3"/>
  <c r="I562" i="3"/>
  <c r="H562" i="3"/>
  <c r="G562" i="3"/>
  <c r="E562" i="3"/>
  <c r="C562" i="3"/>
  <c r="B562" i="3"/>
  <c r="Q561" i="3"/>
  <c r="P561" i="3"/>
  <c r="O561" i="3"/>
  <c r="N561" i="3"/>
  <c r="M561" i="3"/>
  <c r="L561" i="3"/>
  <c r="K561" i="3"/>
  <c r="J561" i="3"/>
  <c r="I561" i="3"/>
  <c r="H561" i="3"/>
  <c r="G561" i="3"/>
  <c r="E561" i="3"/>
  <c r="C561" i="3"/>
  <c r="B561" i="3"/>
  <c r="Q560" i="3"/>
  <c r="P560" i="3"/>
  <c r="O560" i="3"/>
  <c r="N560" i="3"/>
  <c r="M560" i="3"/>
  <c r="L560" i="3"/>
  <c r="K560" i="3"/>
  <c r="J560" i="3"/>
  <c r="I560" i="3"/>
  <c r="H560" i="3"/>
  <c r="G560" i="3"/>
  <c r="E560" i="3"/>
  <c r="C560" i="3"/>
  <c r="B560" i="3"/>
  <c r="Q559" i="3"/>
  <c r="P559" i="3"/>
  <c r="O559" i="3"/>
  <c r="N559" i="3"/>
  <c r="M559" i="3"/>
  <c r="L559" i="3"/>
  <c r="K559" i="3"/>
  <c r="J559" i="3"/>
  <c r="I559" i="3"/>
  <c r="H559" i="3"/>
  <c r="G559" i="3"/>
  <c r="E559" i="3"/>
  <c r="C559" i="3"/>
  <c r="B559" i="3"/>
  <c r="Q558" i="3"/>
  <c r="P558" i="3"/>
  <c r="O558" i="3"/>
  <c r="N558" i="3"/>
  <c r="M558" i="3"/>
  <c r="L558" i="3"/>
  <c r="K558" i="3"/>
  <c r="J558" i="3"/>
  <c r="I558" i="3"/>
  <c r="H558" i="3"/>
  <c r="G558" i="3"/>
  <c r="E558" i="3"/>
  <c r="C558" i="3"/>
  <c r="B558" i="3"/>
  <c r="Q557" i="3"/>
  <c r="P557" i="3"/>
  <c r="O557" i="3"/>
  <c r="N557" i="3"/>
  <c r="M557" i="3"/>
  <c r="L557" i="3"/>
  <c r="K557" i="3"/>
  <c r="J557" i="3"/>
  <c r="I557" i="3"/>
  <c r="H557" i="3"/>
  <c r="G557" i="3"/>
  <c r="E557" i="3"/>
  <c r="C557" i="3"/>
  <c r="B557" i="3"/>
  <c r="Q556" i="3"/>
  <c r="P556" i="3"/>
  <c r="O556" i="3"/>
  <c r="N556" i="3"/>
  <c r="M556" i="3"/>
  <c r="L556" i="3"/>
  <c r="K556" i="3"/>
  <c r="J556" i="3"/>
  <c r="I556" i="3"/>
  <c r="H556" i="3"/>
  <c r="G556" i="3"/>
  <c r="E556" i="3"/>
  <c r="C556" i="3"/>
  <c r="B556" i="3"/>
  <c r="Q555" i="3"/>
  <c r="P555" i="3"/>
  <c r="O555" i="3"/>
  <c r="N555" i="3"/>
  <c r="M555" i="3"/>
  <c r="L555" i="3"/>
  <c r="K555" i="3"/>
  <c r="J555" i="3"/>
  <c r="I555" i="3"/>
  <c r="H555" i="3"/>
  <c r="G555" i="3"/>
  <c r="E555" i="3"/>
  <c r="C555" i="3"/>
  <c r="B555" i="3"/>
  <c r="Q554" i="3"/>
  <c r="P554" i="3"/>
  <c r="O554" i="3"/>
  <c r="N554" i="3"/>
  <c r="M554" i="3"/>
  <c r="L554" i="3"/>
  <c r="K554" i="3"/>
  <c r="J554" i="3"/>
  <c r="I554" i="3"/>
  <c r="H554" i="3"/>
  <c r="G554" i="3"/>
  <c r="E554" i="3"/>
  <c r="C554" i="3"/>
  <c r="B554" i="3"/>
  <c r="Q553" i="3"/>
  <c r="P553" i="3"/>
  <c r="O553" i="3"/>
  <c r="N553" i="3"/>
  <c r="M553" i="3"/>
  <c r="L553" i="3"/>
  <c r="K553" i="3"/>
  <c r="J553" i="3"/>
  <c r="I553" i="3"/>
  <c r="H553" i="3"/>
  <c r="G553" i="3"/>
  <c r="E553" i="3"/>
  <c r="C553" i="3"/>
  <c r="B553" i="3"/>
  <c r="Q552" i="3"/>
  <c r="P552" i="3"/>
  <c r="O552" i="3"/>
  <c r="N552" i="3"/>
  <c r="M552" i="3"/>
  <c r="L552" i="3"/>
  <c r="K552" i="3"/>
  <c r="J552" i="3"/>
  <c r="I552" i="3"/>
  <c r="H552" i="3"/>
  <c r="G552" i="3"/>
  <c r="E552" i="3"/>
  <c r="C552" i="3"/>
  <c r="B552" i="3"/>
  <c r="Q551" i="3"/>
  <c r="P551" i="3"/>
  <c r="O551" i="3"/>
  <c r="N551" i="3"/>
  <c r="M551" i="3"/>
  <c r="L551" i="3"/>
  <c r="K551" i="3"/>
  <c r="J551" i="3"/>
  <c r="I551" i="3"/>
  <c r="H551" i="3"/>
  <c r="G551" i="3"/>
  <c r="E551" i="3"/>
  <c r="C551" i="3"/>
  <c r="B551" i="3"/>
  <c r="Q550" i="3"/>
  <c r="P550" i="3"/>
  <c r="O550" i="3"/>
  <c r="N550" i="3"/>
  <c r="M550" i="3"/>
  <c r="L550" i="3"/>
  <c r="K550" i="3"/>
  <c r="J550" i="3"/>
  <c r="I550" i="3"/>
  <c r="H550" i="3"/>
  <c r="G550" i="3"/>
  <c r="E550" i="3"/>
  <c r="C550" i="3"/>
  <c r="B550" i="3"/>
  <c r="Q549" i="3"/>
  <c r="P549" i="3"/>
  <c r="O549" i="3"/>
  <c r="N549" i="3"/>
  <c r="M549" i="3"/>
  <c r="L549" i="3"/>
  <c r="K549" i="3"/>
  <c r="J549" i="3"/>
  <c r="I549" i="3"/>
  <c r="H549" i="3"/>
  <c r="G549" i="3"/>
  <c r="E549" i="3"/>
  <c r="C549" i="3"/>
  <c r="B549" i="3"/>
  <c r="Q548" i="3"/>
  <c r="P548" i="3"/>
  <c r="O548" i="3"/>
  <c r="N548" i="3"/>
  <c r="M548" i="3"/>
  <c r="L548" i="3"/>
  <c r="K548" i="3"/>
  <c r="J548" i="3"/>
  <c r="I548" i="3"/>
  <c r="H548" i="3"/>
  <c r="G548" i="3"/>
  <c r="E548" i="3"/>
  <c r="C548" i="3"/>
  <c r="B548" i="3"/>
  <c r="Q547" i="3"/>
  <c r="P547" i="3"/>
  <c r="O547" i="3"/>
  <c r="N547" i="3"/>
  <c r="M547" i="3"/>
  <c r="L547" i="3"/>
  <c r="K547" i="3"/>
  <c r="J547" i="3"/>
  <c r="I547" i="3"/>
  <c r="H547" i="3"/>
  <c r="G547" i="3"/>
  <c r="E547" i="3"/>
  <c r="C547" i="3"/>
  <c r="B547" i="3"/>
  <c r="Q546" i="3"/>
  <c r="P546" i="3"/>
  <c r="O546" i="3"/>
  <c r="N546" i="3"/>
  <c r="M546" i="3"/>
  <c r="L546" i="3"/>
  <c r="K546" i="3"/>
  <c r="J546" i="3"/>
  <c r="I546" i="3"/>
  <c r="H546" i="3"/>
  <c r="G546" i="3"/>
  <c r="E546" i="3"/>
  <c r="C546" i="3"/>
  <c r="B546" i="3"/>
  <c r="Q545" i="3"/>
  <c r="P545" i="3"/>
  <c r="O545" i="3"/>
  <c r="N545" i="3"/>
  <c r="M545" i="3"/>
  <c r="L545" i="3"/>
  <c r="K545" i="3"/>
  <c r="J545" i="3"/>
  <c r="I545" i="3"/>
  <c r="H545" i="3"/>
  <c r="G545" i="3"/>
  <c r="E545" i="3"/>
  <c r="C545" i="3"/>
  <c r="B545" i="3"/>
  <c r="Q544" i="3"/>
  <c r="P544" i="3"/>
  <c r="O544" i="3"/>
  <c r="N544" i="3"/>
  <c r="M544" i="3"/>
  <c r="L544" i="3"/>
  <c r="K544" i="3"/>
  <c r="J544" i="3"/>
  <c r="I544" i="3"/>
  <c r="H544" i="3"/>
  <c r="G544" i="3"/>
  <c r="E544" i="3"/>
  <c r="C544" i="3"/>
  <c r="B544" i="3"/>
  <c r="Q543" i="3"/>
  <c r="P543" i="3"/>
  <c r="O543" i="3"/>
  <c r="N543" i="3"/>
  <c r="M543" i="3"/>
  <c r="L543" i="3"/>
  <c r="K543" i="3"/>
  <c r="J543" i="3"/>
  <c r="I543" i="3"/>
  <c r="H543" i="3"/>
  <c r="G543" i="3"/>
  <c r="E543" i="3"/>
  <c r="C543" i="3"/>
  <c r="B543" i="3"/>
  <c r="Q542" i="3"/>
  <c r="P542" i="3"/>
  <c r="O542" i="3"/>
  <c r="N542" i="3"/>
  <c r="M542" i="3"/>
  <c r="L542" i="3"/>
  <c r="K542" i="3"/>
  <c r="J542" i="3"/>
  <c r="I542" i="3"/>
  <c r="H542" i="3"/>
  <c r="G542" i="3"/>
  <c r="E542" i="3"/>
  <c r="C542" i="3"/>
  <c r="B542" i="3"/>
  <c r="Q541" i="3"/>
  <c r="P541" i="3"/>
  <c r="O541" i="3"/>
  <c r="N541" i="3"/>
  <c r="M541" i="3"/>
  <c r="L541" i="3"/>
  <c r="K541" i="3"/>
  <c r="J541" i="3"/>
  <c r="I541" i="3"/>
  <c r="H541" i="3"/>
  <c r="G541" i="3"/>
  <c r="E541" i="3"/>
  <c r="C541" i="3"/>
  <c r="B541" i="3"/>
  <c r="Q540" i="3"/>
  <c r="P540" i="3"/>
  <c r="O540" i="3"/>
  <c r="N540" i="3"/>
  <c r="M540" i="3"/>
  <c r="L540" i="3"/>
  <c r="K540" i="3"/>
  <c r="J540" i="3"/>
  <c r="I540" i="3"/>
  <c r="H540" i="3"/>
  <c r="G540" i="3"/>
  <c r="E540" i="3"/>
  <c r="C540" i="3"/>
  <c r="B540" i="3"/>
  <c r="Q539" i="3"/>
  <c r="P539" i="3"/>
  <c r="O539" i="3"/>
  <c r="N539" i="3"/>
  <c r="M539" i="3"/>
  <c r="L539" i="3"/>
  <c r="K539" i="3"/>
  <c r="J539" i="3"/>
  <c r="I539" i="3"/>
  <c r="H539" i="3"/>
  <c r="G539" i="3"/>
  <c r="E539" i="3"/>
  <c r="C539" i="3"/>
  <c r="B539" i="3"/>
  <c r="Q538" i="3"/>
  <c r="P538" i="3"/>
  <c r="O538" i="3"/>
  <c r="N538" i="3"/>
  <c r="M538" i="3"/>
  <c r="L538" i="3"/>
  <c r="K538" i="3"/>
  <c r="J538" i="3"/>
  <c r="I538" i="3"/>
  <c r="H538" i="3"/>
  <c r="G538" i="3"/>
  <c r="E538" i="3"/>
  <c r="C538" i="3"/>
  <c r="B538" i="3"/>
  <c r="Q537" i="3"/>
  <c r="P537" i="3"/>
  <c r="O537" i="3"/>
  <c r="N537" i="3"/>
  <c r="M537" i="3"/>
  <c r="L537" i="3"/>
  <c r="K537" i="3"/>
  <c r="J537" i="3"/>
  <c r="I537" i="3"/>
  <c r="H537" i="3"/>
  <c r="G537" i="3"/>
  <c r="E537" i="3"/>
  <c r="C537" i="3"/>
  <c r="B537" i="3"/>
  <c r="Q536" i="3"/>
  <c r="P536" i="3"/>
  <c r="O536" i="3"/>
  <c r="N536" i="3"/>
  <c r="M536" i="3"/>
  <c r="L536" i="3"/>
  <c r="K536" i="3"/>
  <c r="J536" i="3"/>
  <c r="I536" i="3"/>
  <c r="H536" i="3"/>
  <c r="G536" i="3"/>
  <c r="E536" i="3"/>
  <c r="C536" i="3"/>
  <c r="B536" i="3"/>
  <c r="Q535" i="3"/>
  <c r="P535" i="3"/>
  <c r="O535" i="3"/>
  <c r="N535" i="3"/>
  <c r="M535" i="3"/>
  <c r="L535" i="3"/>
  <c r="K535" i="3"/>
  <c r="J535" i="3"/>
  <c r="I535" i="3"/>
  <c r="H535" i="3"/>
  <c r="G535" i="3"/>
  <c r="E535" i="3"/>
  <c r="C535" i="3"/>
  <c r="B535" i="3"/>
  <c r="Q534" i="3"/>
  <c r="P534" i="3"/>
  <c r="O534" i="3"/>
  <c r="N534" i="3"/>
  <c r="M534" i="3"/>
  <c r="L534" i="3"/>
  <c r="K534" i="3"/>
  <c r="J534" i="3"/>
  <c r="I534" i="3"/>
  <c r="H534" i="3"/>
  <c r="G534" i="3"/>
  <c r="E534" i="3"/>
  <c r="C534" i="3"/>
  <c r="B534" i="3"/>
  <c r="Q533" i="3"/>
  <c r="P533" i="3"/>
  <c r="O533" i="3"/>
  <c r="N533" i="3"/>
  <c r="M533" i="3"/>
  <c r="L533" i="3"/>
  <c r="K533" i="3"/>
  <c r="J533" i="3"/>
  <c r="I533" i="3"/>
  <c r="H533" i="3"/>
  <c r="G533" i="3"/>
  <c r="E533" i="3"/>
  <c r="C533" i="3"/>
  <c r="B533" i="3"/>
  <c r="Q532" i="3"/>
  <c r="P532" i="3"/>
  <c r="O532" i="3"/>
  <c r="N532" i="3"/>
  <c r="M532" i="3"/>
  <c r="L532" i="3"/>
  <c r="K532" i="3"/>
  <c r="J532" i="3"/>
  <c r="I532" i="3"/>
  <c r="H532" i="3"/>
  <c r="G532" i="3"/>
  <c r="E532" i="3"/>
  <c r="C532" i="3"/>
  <c r="B532" i="3"/>
  <c r="Q531" i="3"/>
  <c r="P531" i="3"/>
  <c r="O531" i="3"/>
  <c r="N531" i="3"/>
  <c r="M531" i="3"/>
  <c r="L531" i="3"/>
  <c r="K531" i="3"/>
  <c r="J531" i="3"/>
  <c r="I531" i="3"/>
  <c r="H531" i="3"/>
  <c r="G531" i="3"/>
  <c r="E531" i="3"/>
  <c r="C531" i="3"/>
  <c r="B531" i="3"/>
  <c r="Q530" i="3"/>
  <c r="P530" i="3"/>
  <c r="O530" i="3"/>
  <c r="N530" i="3"/>
  <c r="M530" i="3"/>
  <c r="L530" i="3"/>
  <c r="K530" i="3"/>
  <c r="J530" i="3"/>
  <c r="I530" i="3"/>
  <c r="H530" i="3"/>
  <c r="G530" i="3"/>
  <c r="E530" i="3"/>
  <c r="C530" i="3"/>
  <c r="B530" i="3"/>
  <c r="Q529" i="3"/>
  <c r="P529" i="3"/>
  <c r="O529" i="3"/>
  <c r="N529" i="3"/>
  <c r="M529" i="3"/>
  <c r="L529" i="3"/>
  <c r="K529" i="3"/>
  <c r="J529" i="3"/>
  <c r="I529" i="3"/>
  <c r="H529" i="3"/>
  <c r="G529" i="3"/>
  <c r="E529" i="3"/>
  <c r="C529" i="3"/>
  <c r="B529" i="3"/>
  <c r="Q528" i="3"/>
  <c r="P528" i="3"/>
  <c r="O528" i="3"/>
  <c r="N528" i="3"/>
  <c r="M528" i="3"/>
  <c r="L528" i="3"/>
  <c r="K528" i="3"/>
  <c r="J528" i="3"/>
  <c r="I528" i="3"/>
  <c r="H528" i="3"/>
  <c r="G528" i="3"/>
  <c r="E528" i="3"/>
  <c r="C528" i="3"/>
  <c r="B528" i="3"/>
  <c r="Q527" i="3"/>
  <c r="P527" i="3"/>
  <c r="O527" i="3"/>
  <c r="N527" i="3"/>
  <c r="M527" i="3"/>
  <c r="L527" i="3"/>
  <c r="K527" i="3"/>
  <c r="J527" i="3"/>
  <c r="I527" i="3"/>
  <c r="H527" i="3"/>
  <c r="G527" i="3"/>
  <c r="E527" i="3"/>
  <c r="C527" i="3"/>
  <c r="B527" i="3"/>
  <c r="Q526" i="3"/>
  <c r="P526" i="3"/>
  <c r="O526" i="3"/>
  <c r="N526" i="3"/>
  <c r="M526" i="3"/>
  <c r="L526" i="3"/>
  <c r="K526" i="3"/>
  <c r="J526" i="3"/>
  <c r="I526" i="3"/>
  <c r="H526" i="3"/>
  <c r="G526" i="3"/>
  <c r="E526" i="3"/>
  <c r="C526" i="3"/>
  <c r="B526" i="3"/>
  <c r="Q525" i="3"/>
  <c r="P525" i="3"/>
  <c r="O525" i="3"/>
  <c r="N525" i="3"/>
  <c r="M525" i="3"/>
  <c r="L525" i="3"/>
  <c r="K525" i="3"/>
  <c r="J525" i="3"/>
  <c r="I525" i="3"/>
  <c r="H525" i="3"/>
  <c r="G525" i="3"/>
  <c r="E525" i="3"/>
  <c r="C525" i="3"/>
  <c r="B525" i="3"/>
  <c r="Q524" i="3"/>
  <c r="P524" i="3"/>
  <c r="O524" i="3"/>
  <c r="N524" i="3"/>
  <c r="M524" i="3"/>
  <c r="L524" i="3"/>
  <c r="K524" i="3"/>
  <c r="J524" i="3"/>
  <c r="I524" i="3"/>
  <c r="H524" i="3"/>
  <c r="G524" i="3"/>
  <c r="E524" i="3"/>
  <c r="C524" i="3"/>
  <c r="B524" i="3"/>
  <c r="Q523" i="3"/>
  <c r="P523" i="3"/>
  <c r="O523" i="3"/>
  <c r="N523" i="3"/>
  <c r="M523" i="3"/>
  <c r="L523" i="3"/>
  <c r="K523" i="3"/>
  <c r="J523" i="3"/>
  <c r="I523" i="3"/>
  <c r="H523" i="3"/>
  <c r="G523" i="3"/>
  <c r="E523" i="3"/>
  <c r="C523" i="3"/>
  <c r="B523" i="3"/>
  <c r="Q522" i="3"/>
  <c r="P522" i="3"/>
  <c r="O522" i="3"/>
  <c r="N522" i="3"/>
  <c r="M522" i="3"/>
  <c r="L522" i="3"/>
  <c r="K522" i="3"/>
  <c r="J522" i="3"/>
  <c r="I522" i="3"/>
  <c r="H522" i="3"/>
  <c r="G522" i="3"/>
  <c r="E522" i="3"/>
  <c r="C522" i="3"/>
  <c r="B522" i="3"/>
  <c r="Q521" i="3"/>
  <c r="P521" i="3"/>
  <c r="O521" i="3"/>
  <c r="N521" i="3"/>
  <c r="M521" i="3"/>
  <c r="L521" i="3"/>
  <c r="K521" i="3"/>
  <c r="J521" i="3"/>
  <c r="I521" i="3"/>
  <c r="H521" i="3"/>
  <c r="G521" i="3"/>
  <c r="E521" i="3"/>
  <c r="C521" i="3"/>
  <c r="B521" i="3"/>
  <c r="Q520" i="3"/>
  <c r="P520" i="3"/>
  <c r="O520" i="3"/>
  <c r="N520" i="3"/>
  <c r="M520" i="3"/>
  <c r="L520" i="3"/>
  <c r="K520" i="3"/>
  <c r="J520" i="3"/>
  <c r="I520" i="3"/>
  <c r="H520" i="3"/>
  <c r="G520" i="3"/>
  <c r="E520" i="3"/>
  <c r="C520" i="3"/>
  <c r="B520" i="3"/>
  <c r="Q519" i="3"/>
  <c r="P519" i="3"/>
  <c r="O519" i="3"/>
  <c r="N519" i="3"/>
  <c r="M519" i="3"/>
  <c r="L519" i="3"/>
  <c r="K519" i="3"/>
  <c r="J519" i="3"/>
  <c r="I519" i="3"/>
  <c r="H519" i="3"/>
  <c r="G519" i="3"/>
  <c r="E519" i="3"/>
  <c r="C519" i="3"/>
  <c r="B519" i="3"/>
  <c r="Q518" i="3"/>
  <c r="P518" i="3"/>
  <c r="O518" i="3"/>
  <c r="N518" i="3"/>
  <c r="M518" i="3"/>
  <c r="L518" i="3"/>
  <c r="K518" i="3"/>
  <c r="J518" i="3"/>
  <c r="I518" i="3"/>
  <c r="H518" i="3"/>
  <c r="G518" i="3"/>
  <c r="E518" i="3"/>
  <c r="C518" i="3"/>
  <c r="B518" i="3"/>
  <c r="Q517" i="3"/>
  <c r="P517" i="3"/>
  <c r="O517" i="3"/>
  <c r="N517" i="3"/>
  <c r="M517" i="3"/>
  <c r="L517" i="3"/>
  <c r="K517" i="3"/>
  <c r="J517" i="3"/>
  <c r="I517" i="3"/>
  <c r="H517" i="3"/>
  <c r="G517" i="3"/>
  <c r="E517" i="3"/>
  <c r="C517" i="3"/>
  <c r="B517" i="3"/>
  <c r="Q516" i="3"/>
  <c r="P516" i="3"/>
  <c r="O516" i="3"/>
  <c r="N516" i="3"/>
  <c r="M516" i="3"/>
  <c r="L516" i="3"/>
  <c r="K516" i="3"/>
  <c r="J516" i="3"/>
  <c r="I516" i="3"/>
  <c r="H516" i="3"/>
  <c r="G516" i="3"/>
  <c r="E516" i="3"/>
  <c r="C516" i="3"/>
  <c r="B516" i="3"/>
  <c r="Q515" i="3"/>
  <c r="P515" i="3"/>
  <c r="O515" i="3"/>
  <c r="N515" i="3"/>
  <c r="M515" i="3"/>
  <c r="L515" i="3"/>
  <c r="K515" i="3"/>
  <c r="J515" i="3"/>
  <c r="I515" i="3"/>
  <c r="H515" i="3"/>
  <c r="G515" i="3"/>
  <c r="E515" i="3"/>
  <c r="C515" i="3"/>
  <c r="B515" i="3"/>
  <c r="Q514" i="3"/>
  <c r="P514" i="3"/>
  <c r="O514" i="3"/>
  <c r="N514" i="3"/>
  <c r="M514" i="3"/>
  <c r="L514" i="3"/>
  <c r="K514" i="3"/>
  <c r="J514" i="3"/>
  <c r="I514" i="3"/>
  <c r="H514" i="3"/>
  <c r="G514" i="3"/>
  <c r="E514" i="3"/>
  <c r="C514" i="3"/>
  <c r="B514" i="3"/>
  <c r="Q513" i="3"/>
  <c r="P513" i="3"/>
  <c r="O513" i="3"/>
  <c r="N513" i="3"/>
  <c r="M513" i="3"/>
  <c r="L513" i="3"/>
  <c r="K513" i="3"/>
  <c r="J513" i="3"/>
  <c r="I513" i="3"/>
  <c r="H513" i="3"/>
  <c r="G513" i="3"/>
  <c r="E513" i="3"/>
  <c r="C513" i="3"/>
  <c r="B513" i="3"/>
  <c r="Q512" i="3"/>
  <c r="P512" i="3"/>
  <c r="O512" i="3"/>
  <c r="N512" i="3"/>
  <c r="M512" i="3"/>
  <c r="L512" i="3"/>
  <c r="K512" i="3"/>
  <c r="J512" i="3"/>
  <c r="I512" i="3"/>
  <c r="H512" i="3"/>
  <c r="G512" i="3"/>
  <c r="E512" i="3"/>
  <c r="C512" i="3"/>
  <c r="B512" i="3"/>
  <c r="Q511" i="3"/>
  <c r="P511" i="3"/>
  <c r="O511" i="3"/>
  <c r="N511" i="3"/>
  <c r="M511" i="3"/>
  <c r="L511" i="3"/>
  <c r="K511" i="3"/>
  <c r="J511" i="3"/>
  <c r="I511" i="3"/>
  <c r="H511" i="3"/>
  <c r="G511" i="3"/>
  <c r="E511" i="3"/>
  <c r="C511" i="3"/>
  <c r="B511" i="3"/>
  <c r="Q510" i="3"/>
  <c r="P510" i="3"/>
  <c r="O510" i="3"/>
  <c r="N510" i="3"/>
  <c r="M510" i="3"/>
  <c r="L510" i="3"/>
  <c r="K510" i="3"/>
  <c r="J510" i="3"/>
  <c r="I510" i="3"/>
  <c r="H510" i="3"/>
  <c r="G510" i="3"/>
  <c r="E510" i="3"/>
  <c r="C510" i="3"/>
  <c r="B510" i="3"/>
  <c r="Q509" i="3"/>
  <c r="P509" i="3"/>
  <c r="O509" i="3"/>
  <c r="N509" i="3"/>
  <c r="M509" i="3"/>
  <c r="L509" i="3"/>
  <c r="K509" i="3"/>
  <c r="J509" i="3"/>
  <c r="I509" i="3"/>
  <c r="H509" i="3"/>
  <c r="G509" i="3"/>
  <c r="E509" i="3"/>
  <c r="C509" i="3"/>
  <c r="B509" i="3"/>
  <c r="Q508" i="3"/>
  <c r="P508" i="3"/>
  <c r="O508" i="3"/>
  <c r="N508" i="3"/>
  <c r="M508" i="3"/>
  <c r="L508" i="3"/>
  <c r="K508" i="3"/>
  <c r="J508" i="3"/>
  <c r="I508" i="3"/>
  <c r="H508" i="3"/>
  <c r="G508" i="3"/>
  <c r="E508" i="3"/>
  <c r="C508" i="3"/>
  <c r="B508" i="3"/>
  <c r="Q507" i="3"/>
  <c r="P507" i="3"/>
  <c r="O507" i="3"/>
  <c r="N507" i="3"/>
  <c r="M507" i="3"/>
  <c r="L507" i="3"/>
  <c r="K507" i="3"/>
  <c r="J507" i="3"/>
  <c r="I507" i="3"/>
  <c r="H507" i="3"/>
  <c r="G507" i="3"/>
  <c r="E507" i="3"/>
  <c r="C507" i="3"/>
  <c r="B507" i="3"/>
  <c r="Q506" i="3"/>
  <c r="P506" i="3"/>
  <c r="O506" i="3"/>
  <c r="N506" i="3"/>
  <c r="M506" i="3"/>
  <c r="L506" i="3"/>
  <c r="K506" i="3"/>
  <c r="J506" i="3"/>
  <c r="I506" i="3"/>
  <c r="H506" i="3"/>
  <c r="G506" i="3"/>
  <c r="E506" i="3"/>
  <c r="C506" i="3"/>
  <c r="B506" i="3"/>
  <c r="Q505" i="3"/>
  <c r="P505" i="3"/>
  <c r="O505" i="3"/>
  <c r="N505" i="3"/>
  <c r="M505" i="3"/>
  <c r="L505" i="3"/>
  <c r="K505" i="3"/>
  <c r="J505" i="3"/>
  <c r="I505" i="3"/>
  <c r="H505" i="3"/>
  <c r="G505" i="3"/>
  <c r="E505" i="3"/>
  <c r="C505" i="3"/>
  <c r="B505" i="3"/>
  <c r="Q504" i="3"/>
  <c r="P504" i="3"/>
  <c r="O504" i="3"/>
  <c r="N504" i="3"/>
  <c r="M504" i="3"/>
  <c r="L504" i="3"/>
  <c r="K504" i="3"/>
  <c r="J504" i="3"/>
  <c r="I504" i="3"/>
  <c r="H504" i="3"/>
  <c r="G504" i="3"/>
  <c r="E504" i="3"/>
  <c r="C504" i="3"/>
  <c r="B504" i="3"/>
  <c r="Q503" i="3"/>
  <c r="P503" i="3"/>
  <c r="O503" i="3"/>
  <c r="N503" i="3"/>
  <c r="M503" i="3"/>
  <c r="L503" i="3"/>
  <c r="K503" i="3"/>
  <c r="J503" i="3"/>
  <c r="I503" i="3"/>
  <c r="H503" i="3"/>
  <c r="G503" i="3"/>
  <c r="E503" i="3"/>
  <c r="C503" i="3"/>
  <c r="B503" i="3"/>
  <c r="Q502" i="3"/>
  <c r="P502" i="3"/>
  <c r="O502" i="3"/>
  <c r="N502" i="3"/>
  <c r="M502" i="3"/>
  <c r="L502" i="3"/>
  <c r="K502" i="3"/>
  <c r="J502" i="3"/>
  <c r="I502" i="3"/>
  <c r="H502" i="3"/>
  <c r="G502" i="3"/>
  <c r="E502" i="3"/>
  <c r="C502" i="3"/>
  <c r="B502" i="3"/>
  <c r="Q501" i="3"/>
  <c r="P501" i="3"/>
  <c r="O501" i="3"/>
  <c r="N501" i="3"/>
  <c r="M501" i="3"/>
  <c r="L501" i="3"/>
  <c r="K501" i="3"/>
  <c r="J501" i="3"/>
  <c r="I501" i="3"/>
  <c r="H501" i="3"/>
  <c r="G501" i="3"/>
  <c r="E501" i="3"/>
  <c r="C501" i="3"/>
  <c r="B501" i="3"/>
  <c r="Q500" i="3"/>
  <c r="P500" i="3"/>
  <c r="O500" i="3"/>
  <c r="N500" i="3"/>
  <c r="M500" i="3"/>
  <c r="L500" i="3"/>
  <c r="K500" i="3"/>
  <c r="J500" i="3"/>
  <c r="I500" i="3"/>
  <c r="H500" i="3"/>
  <c r="G500" i="3"/>
  <c r="E500" i="3"/>
  <c r="C500" i="3"/>
  <c r="B500" i="3"/>
  <c r="Q499" i="3"/>
  <c r="P499" i="3"/>
  <c r="O499" i="3"/>
  <c r="N499" i="3"/>
  <c r="M499" i="3"/>
  <c r="L499" i="3"/>
  <c r="K499" i="3"/>
  <c r="J499" i="3"/>
  <c r="I499" i="3"/>
  <c r="H499" i="3"/>
  <c r="G499" i="3"/>
  <c r="E499" i="3"/>
  <c r="C499" i="3"/>
  <c r="B499" i="3"/>
  <c r="Q498" i="3"/>
  <c r="P498" i="3"/>
  <c r="O498" i="3"/>
  <c r="N498" i="3"/>
  <c r="M498" i="3"/>
  <c r="L498" i="3"/>
  <c r="K498" i="3"/>
  <c r="J498" i="3"/>
  <c r="I498" i="3"/>
  <c r="H498" i="3"/>
  <c r="G498" i="3"/>
  <c r="E498" i="3"/>
  <c r="C498" i="3"/>
  <c r="B498" i="3"/>
  <c r="Q497" i="3"/>
  <c r="P497" i="3"/>
  <c r="O497" i="3"/>
  <c r="N497" i="3"/>
  <c r="M497" i="3"/>
  <c r="L497" i="3"/>
  <c r="K497" i="3"/>
  <c r="J497" i="3"/>
  <c r="I497" i="3"/>
  <c r="H497" i="3"/>
  <c r="G497" i="3"/>
  <c r="E497" i="3"/>
  <c r="C497" i="3"/>
  <c r="B497" i="3"/>
  <c r="Q496" i="3"/>
  <c r="P496" i="3"/>
  <c r="O496" i="3"/>
  <c r="N496" i="3"/>
  <c r="M496" i="3"/>
  <c r="L496" i="3"/>
  <c r="K496" i="3"/>
  <c r="J496" i="3"/>
  <c r="I496" i="3"/>
  <c r="H496" i="3"/>
  <c r="G496" i="3"/>
  <c r="E496" i="3"/>
  <c r="C496" i="3"/>
  <c r="B496" i="3"/>
  <c r="Q495" i="3"/>
  <c r="P495" i="3"/>
  <c r="O495" i="3"/>
  <c r="N495" i="3"/>
  <c r="M495" i="3"/>
  <c r="L495" i="3"/>
  <c r="K495" i="3"/>
  <c r="J495" i="3"/>
  <c r="I495" i="3"/>
  <c r="H495" i="3"/>
  <c r="G495" i="3"/>
  <c r="E495" i="3"/>
  <c r="C495" i="3"/>
  <c r="B495" i="3"/>
  <c r="Q494" i="3"/>
  <c r="P494" i="3"/>
  <c r="O494" i="3"/>
  <c r="N494" i="3"/>
  <c r="M494" i="3"/>
  <c r="L494" i="3"/>
  <c r="K494" i="3"/>
  <c r="J494" i="3"/>
  <c r="I494" i="3"/>
  <c r="H494" i="3"/>
  <c r="G494" i="3"/>
  <c r="E494" i="3"/>
  <c r="C494" i="3"/>
  <c r="B494" i="3"/>
  <c r="Q493" i="3"/>
  <c r="P493" i="3"/>
  <c r="O493" i="3"/>
  <c r="N493" i="3"/>
  <c r="M493" i="3"/>
  <c r="L493" i="3"/>
  <c r="K493" i="3"/>
  <c r="J493" i="3"/>
  <c r="I493" i="3"/>
  <c r="H493" i="3"/>
  <c r="G493" i="3"/>
  <c r="E493" i="3"/>
  <c r="C493" i="3"/>
  <c r="B493" i="3"/>
  <c r="Q492" i="3"/>
  <c r="P492" i="3"/>
  <c r="O492" i="3"/>
  <c r="N492" i="3"/>
  <c r="M492" i="3"/>
  <c r="L492" i="3"/>
  <c r="K492" i="3"/>
  <c r="J492" i="3"/>
  <c r="I492" i="3"/>
  <c r="H492" i="3"/>
  <c r="G492" i="3"/>
  <c r="E492" i="3"/>
  <c r="C492" i="3"/>
  <c r="B492" i="3"/>
  <c r="Q491" i="3"/>
  <c r="P491" i="3"/>
  <c r="O491" i="3"/>
  <c r="N491" i="3"/>
  <c r="M491" i="3"/>
  <c r="L491" i="3"/>
  <c r="K491" i="3"/>
  <c r="J491" i="3"/>
  <c r="I491" i="3"/>
  <c r="H491" i="3"/>
  <c r="G491" i="3"/>
  <c r="E491" i="3"/>
  <c r="C491" i="3"/>
  <c r="B491" i="3"/>
  <c r="Q490" i="3"/>
  <c r="P490" i="3"/>
  <c r="O490" i="3"/>
  <c r="N490" i="3"/>
  <c r="M490" i="3"/>
  <c r="L490" i="3"/>
  <c r="K490" i="3"/>
  <c r="J490" i="3"/>
  <c r="I490" i="3"/>
  <c r="H490" i="3"/>
  <c r="G490" i="3"/>
  <c r="E490" i="3"/>
  <c r="C490" i="3"/>
  <c r="B490" i="3"/>
  <c r="Q489" i="3"/>
  <c r="P489" i="3"/>
  <c r="O489" i="3"/>
  <c r="N489" i="3"/>
  <c r="M489" i="3"/>
  <c r="L489" i="3"/>
  <c r="K489" i="3"/>
  <c r="J489" i="3"/>
  <c r="I489" i="3"/>
  <c r="H489" i="3"/>
  <c r="G489" i="3"/>
  <c r="E489" i="3"/>
  <c r="C489" i="3"/>
  <c r="B489" i="3"/>
  <c r="Q488" i="3"/>
  <c r="P488" i="3"/>
  <c r="O488" i="3"/>
  <c r="N488" i="3"/>
  <c r="M488" i="3"/>
  <c r="L488" i="3"/>
  <c r="K488" i="3"/>
  <c r="J488" i="3"/>
  <c r="I488" i="3"/>
  <c r="H488" i="3"/>
  <c r="G488" i="3"/>
  <c r="E488" i="3"/>
  <c r="C488" i="3"/>
  <c r="B488" i="3"/>
  <c r="Q487" i="3"/>
  <c r="P487" i="3"/>
  <c r="O487" i="3"/>
  <c r="N487" i="3"/>
  <c r="M487" i="3"/>
  <c r="L487" i="3"/>
  <c r="K487" i="3"/>
  <c r="J487" i="3"/>
  <c r="I487" i="3"/>
  <c r="H487" i="3"/>
  <c r="G487" i="3"/>
  <c r="E487" i="3"/>
  <c r="C487" i="3"/>
  <c r="B487" i="3"/>
  <c r="Q486" i="3"/>
  <c r="P486" i="3"/>
  <c r="O486" i="3"/>
  <c r="N486" i="3"/>
  <c r="M486" i="3"/>
  <c r="L486" i="3"/>
  <c r="K486" i="3"/>
  <c r="J486" i="3"/>
  <c r="I486" i="3"/>
  <c r="H486" i="3"/>
  <c r="G486" i="3"/>
  <c r="E486" i="3"/>
  <c r="C486" i="3"/>
  <c r="B486" i="3"/>
  <c r="Q485" i="3"/>
  <c r="P485" i="3"/>
  <c r="O485" i="3"/>
  <c r="N485" i="3"/>
  <c r="M485" i="3"/>
  <c r="L485" i="3"/>
  <c r="K485" i="3"/>
  <c r="J485" i="3"/>
  <c r="I485" i="3"/>
  <c r="H485" i="3"/>
  <c r="G485" i="3"/>
  <c r="E485" i="3"/>
  <c r="C485" i="3"/>
  <c r="B485" i="3"/>
  <c r="Q484" i="3"/>
  <c r="P484" i="3"/>
  <c r="O484" i="3"/>
  <c r="N484" i="3"/>
  <c r="M484" i="3"/>
  <c r="L484" i="3"/>
  <c r="K484" i="3"/>
  <c r="J484" i="3"/>
  <c r="I484" i="3"/>
  <c r="H484" i="3"/>
  <c r="G484" i="3"/>
  <c r="E484" i="3"/>
  <c r="C484" i="3"/>
  <c r="B484" i="3"/>
  <c r="Q483" i="3"/>
  <c r="P483" i="3"/>
  <c r="O483" i="3"/>
  <c r="N483" i="3"/>
  <c r="M483" i="3"/>
  <c r="L483" i="3"/>
  <c r="K483" i="3"/>
  <c r="J483" i="3"/>
  <c r="I483" i="3"/>
  <c r="H483" i="3"/>
  <c r="G483" i="3"/>
  <c r="E483" i="3"/>
  <c r="C483" i="3"/>
  <c r="B483" i="3"/>
  <c r="Q482" i="3"/>
  <c r="P482" i="3"/>
  <c r="O482" i="3"/>
  <c r="N482" i="3"/>
  <c r="M482" i="3"/>
  <c r="L482" i="3"/>
  <c r="K482" i="3"/>
  <c r="J482" i="3"/>
  <c r="I482" i="3"/>
  <c r="H482" i="3"/>
  <c r="G482" i="3"/>
  <c r="E482" i="3"/>
  <c r="C482" i="3"/>
  <c r="B482" i="3"/>
  <c r="Q481" i="3"/>
  <c r="P481" i="3"/>
  <c r="O481" i="3"/>
  <c r="N481" i="3"/>
  <c r="M481" i="3"/>
  <c r="L481" i="3"/>
  <c r="K481" i="3"/>
  <c r="J481" i="3"/>
  <c r="I481" i="3"/>
  <c r="H481" i="3"/>
  <c r="G481" i="3"/>
  <c r="E481" i="3"/>
  <c r="C481" i="3"/>
  <c r="B481" i="3"/>
  <c r="Q480" i="3"/>
  <c r="P480" i="3"/>
  <c r="O480" i="3"/>
  <c r="N480" i="3"/>
  <c r="M480" i="3"/>
  <c r="L480" i="3"/>
  <c r="K480" i="3"/>
  <c r="J480" i="3"/>
  <c r="I480" i="3"/>
  <c r="H480" i="3"/>
  <c r="G480" i="3"/>
  <c r="E480" i="3"/>
  <c r="C480" i="3"/>
  <c r="B480" i="3"/>
  <c r="Q479" i="3"/>
  <c r="P479" i="3"/>
  <c r="O479" i="3"/>
  <c r="N479" i="3"/>
  <c r="M479" i="3"/>
  <c r="L479" i="3"/>
  <c r="K479" i="3"/>
  <c r="J479" i="3"/>
  <c r="I479" i="3"/>
  <c r="H479" i="3"/>
  <c r="G479" i="3"/>
  <c r="E479" i="3"/>
  <c r="C479" i="3"/>
  <c r="B479" i="3"/>
  <c r="Q478" i="3"/>
  <c r="P478" i="3"/>
  <c r="O478" i="3"/>
  <c r="N478" i="3"/>
  <c r="M478" i="3"/>
  <c r="L478" i="3"/>
  <c r="K478" i="3"/>
  <c r="J478" i="3"/>
  <c r="I478" i="3"/>
  <c r="H478" i="3"/>
  <c r="G478" i="3"/>
  <c r="E478" i="3"/>
  <c r="C478" i="3"/>
  <c r="B478" i="3"/>
  <c r="Q477" i="3"/>
  <c r="P477" i="3"/>
  <c r="O477" i="3"/>
  <c r="N477" i="3"/>
  <c r="M477" i="3"/>
  <c r="L477" i="3"/>
  <c r="K477" i="3"/>
  <c r="J477" i="3"/>
  <c r="I477" i="3"/>
  <c r="H477" i="3"/>
  <c r="G477" i="3"/>
  <c r="E477" i="3"/>
  <c r="C477" i="3"/>
  <c r="B477" i="3"/>
  <c r="Q476" i="3"/>
  <c r="P476" i="3"/>
  <c r="O476" i="3"/>
  <c r="N476" i="3"/>
  <c r="M476" i="3"/>
  <c r="L476" i="3"/>
  <c r="K476" i="3"/>
  <c r="J476" i="3"/>
  <c r="I476" i="3"/>
  <c r="H476" i="3"/>
  <c r="G476" i="3"/>
  <c r="E476" i="3"/>
  <c r="C476" i="3"/>
  <c r="B476" i="3"/>
  <c r="Q475" i="3"/>
  <c r="P475" i="3"/>
  <c r="O475" i="3"/>
  <c r="N475" i="3"/>
  <c r="M475" i="3"/>
  <c r="L475" i="3"/>
  <c r="K475" i="3"/>
  <c r="J475" i="3"/>
  <c r="I475" i="3"/>
  <c r="H475" i="3"/>
  <c r="G475" i="3"/>
  <c r="E475" i="3"/>
  <c r="C475" i="3"/>
  <c r="B475" i="3"/>
  <c r="Q474" i="3"/>
  <c r="P474" i="3"/>
  <c r="O474" i="3"/>
  <c r="N474" i="3"/>
  <c r="M474" i="3"/>
  <c r="L474" i="3"/>
  <c r="K474" i="3"/>
  <c r="J474" i="3"/>
  <c r="I474" i="3"/>
  <c r="H474" i="3"/>
  <c r="G474" i="3"/>
  <c r="E474" i="3"/>
  <c r="C474" i="3"/>
  <c r="B474" i="3"/>
  <c r="Q473" i="3"/>
  <c r="P473" i="3"/>
  <c r="O473" i="3"/>
  <c r="N473" i="3"/>
  <c r="M473" i="3"/>
  <c r="L473" i="3"/>
  <c r="K473" i="3"/>
  <c r="J473" i="3"/>
  <c r="I473" i="3"/>
  <c r="H473" i="3"/>
  <c r="G473" i="3"/>
  <c r="E473" i="3"/>
  <c r="C473" i="3"/>
  <c r="B473" i="3"/>
  <c r="Q472" i="3"/>
  <c r="P472" i="3"/>
  <c r="O472" i="3"/>
  <c r="N472" i="3"/>
  <c r="M472" i="3"/>
  <c r="L472" i="3"/>
  <c r="K472" i="3"/>
  <c r="J472" i="3"/>
  <c r="I472" i="3"/>
  <c r="H472" i="3"/>
  <c r="G472" i="3"/>
  <c r="E472" i="3"/>
  <c r="C472" i="3"/>
  <c r="B472" i="3"/>
  <c r="Q471" i="3"/>
  <c r="P471" i="3"/>
  <c r="O471" i="3"/>
  <c r="N471" i="3"/>
  <c r="M471" i="3"/>
  <c r="L471" i="3"/>
  <c r="K471" i="3"/>
  <c r="J471" i="3"/>
  <c r="I471" i="3"/>
  <c r="H471" i="3"/>
  <c r="G471" i="3"/>
  <c r="E471" i="3"/>
  <c r="C471" i="3"/>
  <c r="B471" i="3"/>
  <c r="Q470" i="3"/>
  <c r="P470" i="3"/>
  <c r="O470" i="3"/>
  <c r="N470" i="3"/>
  <c r="M470" i="3"/>
  <c r="L470" i="3"/>
  <c r="K470" i="3"/>
  <c r="J470" i="3"/>
  <c r="I470" i="3"/>
  <c r="H470" i="3"/>
  <c r="G470" i="3"/>
  <c r="E470" i="3"/>
  <c r="C470" i="3"/>
  <c r="B470" i="3"/>
  <c r="Q469" i="3"/>
  <c r="P469" i="3"/>
  <c r="O469" i="3"/>
  <c r="N469" i="3"/>
  <c r="M469" i="3"/>
  <c r="L469" i="3"/>
  <c r="K469" i="3"/>
  <c r="J469" i="3"/>
  <c r="I469" i="3"/>
  <c r="H469" i="3"/>
  <c r="G469" i="3"/>
  <c r="E469" i="3"/>
  <c r="C469" i="3"/>
  <c r="B469" i="3"/>
  <c r="Q468" i="3"/>
  <c r="P468" i="3"/>
  <c r="O468" i="3"/>
  <c r="N468" i="3"/>
  <c r="M468" i="3"/>
  <c r="L468" i="3"/>
  <c r="K468" i="3"/>
  <c r="J468" i="3"/>
  <c r="I468" i="3"/>
  <c r="H468" i="3"/>
  <c r="G468" i="3"/>
  <c r="E468" i="3"/>
  <c r="C468" i="3"/>
  <c r="B468" i="3"/>
  <c r="Q467" i="3"/>
  <c r="P467" i="3"/>
  <c r="O467" i="3"/>
  <c r="N467" i="3"/>
  <c r="M467" i="3"/>
  <c r="L467" i="3"/>
  <c r="K467" i="3"/>
  <c r="J467" i="3"/>
  <c r="I467" i="3"/>
  <c r="H467" i="3"/>
  <c r="G467" i="3"/>
  <c r="E467" i="3"/>
  <c r="C467" i="3"/>
  <c r="B467" i="3"/>
  <c r="Q466" i="3"/>
  <c r="P466" i="3"/>
  <c r="O466" i="3"/>
  <c r="N466" i="3"/>
  <c r="M466" i="3"/>
  <c r="L466" i="3"/>
  <c r="K466" i="3"/>
  <c r="J466" i="3"/>
  <c r="I466" i="3"/>
  <c r="H466" i="3"/>
  <c r="G466" i="3"/>
  <c r="E466" i="3"/>
  <c r="C466" i="3"/>
  <c r="B466" i="3"/>
  <c r="Q465" i="3"/>
  <c r="P465" i="3"/>
  <c r="O465" i="3"/>
  <c r="N465" i="3"/>
  <c r="M465" i="3"/>
  <c r="L465" i="3"/>
  <c r="K465" i="3"/>
  <c r="J465" i="3"/>
  <c r="I465" i="3"/>
  <c r="H465" i="3"/>
  <c r="G465" i="3"/>
  <c r="E465" i="3"/>
  <c r="C465" i="3"/>
  <c r="B465" i="3"/>
  <c r="Q464" i="3"/>
  <c r="P464" i="3"/>
  <c r="O464" i="3"/>
  <c r="N464" i="3"/>
  <c r="M464" i="3"/>
  <c r="L464" i="3"/>
  <c r="K464" i="3"/>
  <c r="J464" i="3"/>
  <c r="I464" i="3"/>
  <c r="H464" i="3"/>
  <c r="G464" i="3"/>
  <c r="E464" i="3"/>
  <c r="C464" i="3"/>
  <c r="B464" i="3"/>
  <c r="Q463" i="3"/>
  <c r="P463" i="3"/>
  <c r="O463" i="3"/>
  <c r="N463" i="3"/>
  <c r="M463" i="3"/>
  <c r="L463" i="3"/>
  <c r="K463" i="3"/>
  <c r="J463" i="3"/>
  <c r="I463" i="3"/>
  <c r="H463" i="3"/>
  <c r="G463" i="3"/>
  <c r="E463" i="3"/>
  <c r="C463" i="3"/>
  <c r="B463" i="3"/>
  <c r="Q462" i="3"/>
  <c r="P462" i="3"/>
  <c r="O462" i="3"/>
  <c r="N462" i="3"/>
  <c r="M462" i="3"/>
  <c r="L462" i="3"/>
  <c r="K462" i="3"/>
  <c r="J462" i="3"/>
  <c r="I462" i="3"/>
  <c r="H462" i="3"/>
  <c r="G462" i="3"/>
  <c r="E462" i="3"/>
  <c r="C462" i="3"/>
  <c r="B462" i="3"/>
  <c r="Q461" i="3"/>
  <c r="P461" i="3"/>
  <c r="O461" i="3"/>
  <c r="N461" i="3"/>
  <c r="M461" i="3"/>
  <c r="L461" i="3"/>
  <c r="K461" i="3"/>
  <c r="J461" i="3"/>
  <c r="I461" i="3"/>
  <c r="H461" i="3"/>
  <c r="G461" i="3"/>
  <c r="E461" i="3"/>
  <c r="C461" i="3"/>
  <c r="B461" i="3"/>
  <c r="Q460" i="3"/>
  <c r="P460" i="3"/>
  <c r="O460" i="3"/>
  <c r="N460" i="3"/>
  <c r="M460" i="3"/>
  <c r="L460" i="3"/>
  <c r="K460" i="3"/>
  <c r="J460" i="3"/>
  <c r="I460" i="3"/>
  <c r="H460" i="3"/>
  <c r="G460" i="3"/>
  <c r="E460" i="3"/>
  <c r="C460" i="3"/>
  <c r="B460" i="3"/>
  <c r="Q459" i="3"/>
  <c r="P459" i="3"/>
  <c r="O459" i="3"/>
  <c r="N459" i="3"/>
  <c r="M459" i="3"/>
  <c r="L459" i="3"/>
  <c r="K459" i="3"/>
  <c r="J459" i="3"/>
  <c r="I459" i="3"/>
  <c r="H459" i="3"/>
  <c r="G459" i="3"/>
  <c r="E459" i="3"/>
  <c r="C459" i="3"/>
  <c r="B459" i="3"/>
  <c r="Q458" i="3"/>
  <c r="P458" i="3"/>
  <c r="O458" i="3"/>
  <c r="N458" i="3"/>
  <c r="M458" i="3"/>
  <c r="L458" i="3"/>
  <c r="K458" i="3"/>
  <c r="J458" i="3"/>
  <c r="I458" i="3"/>
  <c r="H458" i="3"/>
  <c r="G458" i="3"/>
  <c r="E458" i="3"/>
  <c r="C458" i="3"/>
  <c r="B458" i="3"/>
  <c r="Q457" i="3"/>
  <c r="P457" i="3"/>
  <c r="O457" i="3"/>
  <c r="N457" i="3"/>
  <c r="M457" i="3"/>
  <c r="L457" i="3"/>
  <c r="K457" i="3"/>
  <c r="J457" i="3"/>
  <c r="I457" i="3"/>
  <c r="H457" i="3"/>
  <c r="G457" i="3"/>
  <c r="E457" i="3"/>
  <c r="C457" i="3"/>
  <c r="B457" i="3"/>
  <c r="Q456" i="3"/>
  <c r="P456" i="3"/>
  <c r="O456" i="3"/>
  <c r="N456" i="3"/>
  <c r="M456" i="3"/>
  <c r="L456" i="3"/>
  <c r="K456" i="3"/>
  <c r="J456" i="3"/>
  <c r="I456" i="3"/>
  <c r="H456" i="3"/>
  <c r="G456" i="3"/>
  <c r="E456" i="3"/>
  <c r="C456" i="3"/>
  <c r="B456" i="3"/>
  <c r="Q455" i="3"/>
  <c r="P455" i="3"/>
  <c r="O455" i="3"/>
  <c r="N455" i="3"/>
  <c r="M455" i="3"/>
  <c r="L455" i="3"/>
  <c r="K455" i="3"/>
  <c r="J455" i="3"/>
  <c r="I455" i="3"/>
  <c r="H455" i="3"/>
  <c r="G455" i="3"/>
  <c r="E455" i="3"/>
  <c r="C455" i="3"/>
  <c r="B455" i="3"/>
  <c r="Q454" i="3"/>
  <c r="P454" i="3"/>
  <c r="O454" i="3"/>
  <c r="N454" i="3"/>
  <c r="M454" i="3"/>
  <c r="L454" i="3"/>
  <c r="K454" i="3"/>
  <c r="J454" i="3"/>
  <c r="I454" i="3"/>
  <c r="H454" i="3"/>
  <c r="G454" i="3"/>
  <c r="E454" i="3"/>
  <c r="C454" i="3"/>
  <c r="B454" i="3"/>
  <c r="Q453" i="3"/>
  <c r="P453" i="3"/>
  <c r="O453" i="3"/>
  <c r="N453" i="3"/>
  <c r="M453" i="3"/>
  <c r="L453" i="3"/>
  <c r="K453" i="3"/>
  <c r="J453" i="3"/>
  <c r="I453" i="3"/>
  <c r="H453" i="3"/>
  <c r="G453" i="3"/>
  <c r="E453" i="3"/>
  <c r="C453" i="3"/>
  <c r="B453" i="3"/>
  <c r="Q452" i="3"/>
  <c r="P452" i="3"/>
  <c r="O452" i="3"/>
  <c r="N452" i="3"/>
  <c r="M452" i="3"/>
  <c r="L452" i="3"/>
  <c r="K452" i="3"/>
  <c r="J452" i="3"/>
  <c r="I452" i="3"/>
  <c r="H452" i="3"/>
  <c r="G452" i="3"/>
  <c r="E452" i="3"/>
  <c r="C452" i="3"/>
  <c r="B452" i="3"/>
  <c r="Q451" i="3"/>
  <c r="P451" i="3"/>
  <c r="O451" i="3"/>
  <c r="N451" i="3"/>
  <c r="M451" i="3"/>
  <c r="L451" i="3"/>
  <c r="K451" i="3"/>
  <c r="J451" i="3"/>
  <c r="I451" i="3"/>
  <c r="H451" i="3"/>
  <c r="G451" i="3"/>
  <c r="E451" i="3"/>
  <c r="C451" i="3"/>
  <c r="B451" i="3"/>
  <c r="Q450" i="3"/>
  <c r="P450" i="3"/>
  <c r="O450" i="3"/>
  <c r="N450" i="3"/>
  <c r="M450" i="3"/>
  <c r="L450" i="3"/>
  <c r="K450" i="3"/>
  <c r="J450" i="3"/>
  <c r="I450" i="3"/>
  <c r="H450" i="3"/>
  <c r="G450" i="3"/>
  <c r="E450" i="3"/>
  <c r="C450" i="3"/>
  <c r="B450" i="3"/>
  <c r="Q449" i="3"/>
  <c r="P449" i="3"/>
  <c r="O449" i="3"/>
  <c r="N449" i="3"/>
  <c r="M449" i="3"/>
  <c r="L449" i="3"/>
  <c r="K449" i="3"/>
  <c r="J449" i="3"/>
  <c r="I449" i="3"/>
  <c r="H449" i="3"/>
  <c r="G449" i="3"/>
  <c r="E449" i="3"/>
  <c r="C449" i="3"/>
  <c r="B449" i="3"/>
  <c r="Q448" i="3"/>
  <c r="P448" i="3"/>
  <c r="O448" i="3"/>
  <c r="N448" i="3"/>
  <c r="M448" i="3"/>
  <c r="L448" i="3"/>
  <c r="K448" i="3"/>
  <c r="J448" i="3"/>
  <c r="I448" i="3"/>
  <c r="H448" i="3"/>
  <c r="G448" i="3"/>
  <c r="E448" i="3"/>
  <c r="C448" i="3"/>
  <c r="B448" i="3"/>
  <c r="Q447" i="3"/>
  <c r="P447" i="3"/>
  <c r="O447" i="3"/>
  <c r="N447" i="3"/>
  <c r="M447" i="3"/>
  <c r="L447" i="3"/>
  <c r="K447" i="3"/>
  <c r="J447" i="3"/>
  <c r="I447" i="3"/>
  <c r="H447" i="3"/>
  <c r="G447" i="3"/>
  <c r="E447" i="3"/>
  <c r="C447" i="3"/>
  <c r="B447" i="3"/>
  <c r="Q446" i="3"/>
  <c r="P446" i="3"/>
  <c r="O446" i="3"/>
  <c r="N446" i="3"/>
  <c r="M446" i="3"/>
  <c r="L446" i="3"/>
  <c r="K446" i="3"/>
  <c r="J446" i="3"/>
  <c r="I446" i="3"/>
  <c r="H446" i="3"/>
  <c r="G446" i="3"/>
  <c r="E446" i="3"/>
  <c r="C446" i="3"/>
  <c r="B446" i="3"/>
  <c r="Q445" i="3"/>
  <c r="P445" i="3"/>
  <c r="O445" i="3"/>
  <c r="N445" i="3"/>
  <c r="M445" i="3"/>
  <c r="L445" i="3"/>
  <c r="K445" i="3"/>
  <c r="J445" i="3"/>
  <c r="I445" i="3"/>
  <c r="H445" i="3"/>
  <c r="G445" i="3"/>
  <c r="E445" i="3"/>
  <c r="C445" i="3"/>
  <c r="B445" i="3"/>
  <c r="Q444" i="3"/>
  <c r="P444" i="3"/>
  <c r="O444" i="3"/>
  <c r="N444" i="3"/>
  <c r="M444" i="3"/>
  <c r="L444" i="3"/>
  <c r="K444" i="3"/>
  <c r="J444" i="3"/>
  <c r="I444" i="3"/>
  <c r="H444" i="3"/>
  <c r="G444" i="3"/>
  <c r="E444" i="3"/>
  <c r="C444" i="3"/>
  <c r="B444" i="3"/>
  <c r="Q443" i="3"/>
  <c r="P443" i="3"/>
  <c r="O443" i="3"/>
  <c r="N443" i="3"/>
  <c r="M443" i="3"/>
  <c r="L443" i="3"/>
  <c r="K443" i="3"/>
  <c r="J443" i="3"/>
  <c r="I443" i="3"/>
  <c r="H443" i="3"/>
  <c r="G443" i="3"/>
  <c r="E443" i="3"/>
  <c r="C443" i="3"/>
  <c r="B443" i="3"/>
  <c r="Q442" i="3"/>
  <c r="P442" i="3"/>
  <c r="O442" i="3"/>
  <c r="N442" i="3"/>
  <c r="M442" i="3"/>
  <c r="L442" i="3"/>
  <c r="K442" i="3"/>
  <c r="J442" i="3"/>
  <c r="I442" i="3"/>
  <c r="H442" i="3"/>
  <c r="G442" i="3"/>
  <c r="E442" i="3"/>
  <c r="C442" i="3"/>
  <c r="B442" i="3"/>
  <c r="Q441" i="3"/>
  <c r="P441" i="3"/>
  <c r="O441" i="3"/>
  <c r="N441" i="3"/>
  <c r="M441" i="3"/>
  <c r="L441" i="3"/>
  <c r="K441" i="3"/>
  <c r="J441" i="3"/>
  <c r="I441" i="3"/>
  <c r="H441" i="3"/>
  <c r="G441" i="3"/>
  <c r="E441" i="3"/>
  <c r="C441" i="3"/>
  <c r="B441" i="3"/>
  <c r="Q440" i="3"/>
  <c r="P440" i="3"/>
  <c r="O440" i="3"/>
  <c r="N440" i="3"/>
  <c r="M440" i="3"/>
  <c r="L440" i="3"/>
  <c r="K440" i="3"/>
  <c r="J440" i="3"/>
  <c r="I440" i="3"/>
  <c r="H440" i="3"/>
  <c r="G440" i="3"/>
  <c r="E440" i="3"/>
  <c r="C440" i="3"/>
  <c r="B440" i="3"/>
  <c r="Q439" i="3"/>
  <c r="P439" i="3"/>
  <c r="O439" i="3"/>
  <c r="N439" i="3"/>
  <c r="M439" i="3"/>
  <c r="L439" i="3"/>
  <c r="K439" i="3"/>
  <c r="J439" i="3"/>
  <c r="I439" i="3"/>
  <c r="H439" i="3"/>
  <c r="G439" i="3"/>
  <c r="E439" i="3"/>
  <c r="C439" i="3"/>
  <c r="B439" i="3"/>
  <c r="Q438" i="3"/>
  <c r="P438" i="3"/>
  <c r="O438" i="3"/>
  <c r="N438" i="3"/>
  <c r="M438" i="3"/>
  <c r="L438" i="3"/>
  <c r="K438" i="3"/>
  <c r="J438" i="3"/>
  <c r="I438" i="3"/>
  <c r="H438" i="3"/>
  <c r="G438" i="3"/>
  <c r="E438" i="3"/>
  <c r="C438" i="3"/>
  <c r="B438" i="3"/>
  <c r="Q437" i="3"/>
  <c r="P437" i="3"/>
  <c r="O437" i="3"/>
  <c r="N437" i="3"/>
  <c r="M437" i="3"/>
  <c r="L437" i="3"/>
  <c r="K437" i="3"/>
  <c r="J437" i="3"/>
  <c r="I437" i="3"/>
  <c r="H437" i="3"/>
  <c r="G437" i="3"/>
  <c r="E437" i="3"/>
  <c r="C437" i="3"/>
  <c r="B437" i="3"/>
  <c r="Q436" i="3"/>
  <c r="P436" i="3"/>
  <c r="O436" i="3"/>
  <c r="N436" i="3"/>
  <c r="M436" i="3"/>
  <c r="L436" i="3"/>
  <c r="K436" i="3"/>
  <c r="J436" i="3"/>
  <c r="I436" i="3"/>
  <c r="H436" i="3"/>
  <c r="G436" i="3"/>
  <c r="E436" i="3"/>
  <c r="C436" i="3"/>
  <c r="B436" i="3"/>
  <c r="Q435" i="3"/>
  <c r="P435" i="3"/>
  <c r="O435" i="3"/>
  <c r="N435" i="3"/>
  <c r="M435" i="3"/>
  <c r="L435" i="3"/>
  <c r="K435" i="3"/>
  <c r="J435" i="3"/>
  <c r="I435" i="3"/>
  <c r="H435" i="3"/>
  <c r="G435" i="3"/>
  <c r="E435" i="3"/>
  <c r="C435" i="3"/>
  <c r="B435" i="3"/>
  <c r="Q434" i="3"/>
  <c r="P434" i="3"/>
  <c r="O434" i="3"/>
  <c r="N434" i="3"/>
  <c r="M434" i="3"/>
  <c r="L434" i="3"/>
  <c r="K434" i="3"/>
  <c r="J434" i="3"/>
  <c r="I434" i="3"/>
  <c r="H434" i="3"/>
  <c r="G434" i="3"/>
  <c r="E434" i="3"/>
  <c r="C434" i="3"/>
  <c r="B434" i="3"/>
  <c r="Q433" i="3"/>
  <c r="P433" i="3"/>
  <c r="O433" i="3"/>
  <c r="N433" i="3"/>
  <c r="M433" i="3"/>
  <c r="L433" i="3"/>
  <c r="K433" i="3"/>
  <c r="J433" i="3"/>
  <c r="I433" i="3"/>
  <c r="H433" i="3"/>
  <c r="G433" i="3"/>
  <c r="E433" i="3"/>
  <c r="C433" i="3"/>
  <c r="B433" i="3"/>
  <c r="Q432" i="3"/>
  <c r="P432" i="3"/>
  <c r="O432" i="3"/>
  <c r="N432" i="3"/>
  <c r="M432" i="3"/>
  <c r="L432" i="3"/>
  <c r="K432" i="3"/>
  <c r="J432" i="3"/>
  <c r="I432" i="3"/>
  <c r="H432" i="3"/>
  <c r="G432" i="3"/>
  <c r="E432" i="3"/>
  <c r="C432" i="3"/>
  <c r="B432" i="3"/>
  <c r="Q431" i="3"/>
  <c r="P431" i="3"/>
  <c r="O431" i="3"/>
  <c r="N431" i="3"/>
  <c r="M431" i="3"/>
  <c r="L431" i="3"/>
  <c r="K431" i="3"/>
  <c r="J431" i="3"/>
  <c r="I431" i="3"/>
  <c r="H431" i="3"/>
  <c r="G431" i="3"/>
  <c r="E431" i="3"/>
  <c r="C431" i="3"/>
  <c r="B431" i="3"/>
  <c r="Q430" i="3"/>
  <c r="P430" i="3"/>
  <c r="O430" i="3"/>
  <c r="N430" i="3"/>
  <c r="M430" i="3"/>
  <c r="L430" i="3"/>
  <c r="K430" i="3"/>
  <c r="J430" i="3"/>
  <c r="I430" i="3"/>
  <c r="H430" i="3"/>
  <c r="G430" i="3"/>
  <c r="E430" i="3"/>
  <c r="C430" i="3"/>
  <c r="B430" i="3"/>
  <c r="Q429" i="3"/>
  <c r="P429" i="3"/>
  <c r="O429" i="3"/>
  <c r="N429" i="3"/>
  <c r="M429" i="3"/>
  <c r="L429" i="3"/>
  <c r="K429" i="3"/>
  <c r="J429" i="3"/>
  <c r="I429" i="3"/>
  <c r="H429" i="3"/>
  <c r="G429" i="3"/>
  <c r="E429" i="3"/>
  <c r="C429" i="3"/>
  <c r="B429" i="3"/>
  <c r="Q428" i="3"/>
  <c r="P428" i="3"/>
  <c r="O428" i="3"/>
  <c r="N428" i="3"/>
  <c r="M428" i="3"/>
  <c r="L428" i="3"/>
  <c r="K428" i="3"/>
  <c r="J428" i="3"/>
  <c r="I428" i="3"/>
  <c r="H428" i="3"/>
  <c r="G428" i="3"/>
  <c r="E428" i="3"/>
  <c r="C428" i="3"/>
  <c r="B428" i="3"/>
  <c r="Q427" i="3"/>
  <c r="P427" i="3"/>
  <c r="O427" i="3"/>
  <c r="N427" i="3"/>
  <c r="M427" i="3"/>
  <c r="L427" i="3"/>
  <c r="K427" i="3"/>
  <c r="J427" i="3"/>
  <c r="I427" i="3"/>
  <c r="H427" i="3"/>
  <c r="G427" i="3"/>
  <c r="E427" i="3"/>
  <c r="C427" i="3"/>
  <c r="B427" i="3"/>
  <c r="Q426" i="3"/>
  <c r="P426" i="3"/>
  <c r="O426" i="3"/>
  <c r="N426" i="3"/>
  <c r="M426" i="3"/>
  <c r="L426" i="3"/>
  <c r="K426" i="3"/>
  <c r="J426" i="3"/>
  <c r="I426" i="3"/>
  <c r="H426" i="3"/>
  <c r="G426" i="3"/>
  <c r="E426" i="3"/>
  <c r="C426" i="3"/>
  <c r="B426" i="3"/>
  <c r="Q425" i="3"/>
  <c r="P425" i="3"/>
  <c r="O425" i="3"/>
  <c r="N425" i="3"/>
  <c r="M425" i="3"/>
  <c r="L425" i="3"/>
  <c r="K425" i="3"/>
  <c r="J425" i="3"/>
  <c r="I425" i="3"/>
  <c r="H425" i="3"/>
  <c r="G425" i="3"/>
  <c r="E425" i="3"/>
  <c r="C425" i="3"/>
  <c r="B425" i="3"/>
  <c r="Q424" i="3"/>
  <c r="P424" i="3"/>
  <c r="O424" i="3"/>
  <c r="N424" i="3"/>
  <c r="M424" i="3"/>
  <c r="L424" i="3"/>
  <c r="K424" i="3"/>
  <c r="J424" i="3"/>
  <c r="I424" i="3"/>
  <c r="H424" i="3"/>
  <c r="G424" i="3"/>
  <c r="E424" i="3"/>
  <c r="C424" i="3"/>
  <c r="B424" i="3"/>
  <c r="Q423" i="3"/>
  <c r="P423" i="3"/>
  <c r="O423" i="3"/>
  <c r="N423" i="3"/>
  <c r="M423" i="3"/>
  <c r="L423" i="3"/>
  <c r="K423" i="3"/>
  <c r="J423" i="3"/>
  <c r="I423" i="3"/>
  <c r="H423" i="3"/>
  <c r="G423" i="3"/>
  <c r="E423" i="3"/>
  <c r="C423" i="3"/>
  <c r="B423" i="3"/>
  <c r="Q422" i="3"/>
  <c r="P422" i="3"/>
  <c r="O422" i="3"/>
  <c r="N422" i="3"/>
  <c r="M422" i="3"/>
  <c r="L422" i="3"/>
  <c r="K422" i="3"/>
  <c r="J422" i="3"/>
  <c r="I422" i="3"/>
  <c r="H422" i="3"/>
  <c r="G422" i="3"/>
  <c r="E422" i="3"/>
  <c r="C422" i="3"/>
  <c r="B422" i="3"/>
  <c r="Q421" i="3"/>
  <c r="P421" i="3"/>
  <c r="O421" i="3"/>
  <c r="N421" i="3"/>
  <c r="M421" i="3"/>
  <c r="L421" i="3"/>
  <c r="K421" i="3"/>
  <c r="J421" i="3"/>
  <c r="I421" i="3"/>
  <c r="H421" i="3"/>
  <c r="G421" i="3"/>
  <c r="E421" i="3"/>
  <c r="C421" i="3"/>
  <c r="B421" i="3"/>
  <c r="Q420" i="3"/>
  <c r="P420" i="3"/>
  <c r="O420" i="3"/>
  <c r="N420" i="3"/>
  <c r="M420" i="3"/>
  <c r="L420" i="3"/>
  <c r="K420" i="3"/>
  <c r="J420" i="3"/>
  <c r="I420" i="3"/>
  <c r="H420" i="3"/>
  <c r="G420" i="3"/>
  <c r="E420" i="3"/>
  <c r="C420" i="3"/>
  <c r="B420" i="3"/>
  <c r="Q419" i="3"/>
  <c r="P419" i="3"/>
  <c r="O419" i="3"/>
  <c r="N419" i="3"/>
  <c r="M419" i="3"/>
  <c r="L419" i="3"/>
  <c r="K419" i="3"/>
  <c r="J419" i="3"/>
  <c r="I419" i="3"/>
  <c r="H419" i="3"/>
  <c r="G419" i="3"/>
  <c r="E419" i="3"/>
  <c r="C419" i="3"/>
  <c r="B419" i="3"/>
  <c r="Q418" i="3"/>
  <c r="P418" i="3"/>
  <c r="O418" i="3"/>
  <c r="N418" i="3"/>
  <c r="M418" i="3"/>
  <c r="L418" i="3"/>
  <c r="K418" i="3"/>
  <c r="J418" i="3"/>
  <c r="I418" i="3"/>
  <c r="H418" i="3"/>
  <c r="G418" i="3"/>
  <c r="E418" i="3"/>
  <c r="C418" i="3"/>
  <c r="B418" i="3"/>
  <c r="Q417" i="3"/>
  <c r="P417" i="3"/>
  <c r="O417" i="3"/>
  <c r="N417" i="3"/>
  <c r="M417" i="3"/>
  <c r="L417" i="3"/>
  <c r="K417" i="3"/>
  <c r="J417" i="3"/>
  <c r="I417" i="3"/>
  <c r="H417" i="3"/>
  <c r="G417" i="3"/>
  <c r="E417" i="3"/>
  <c r="C417" i="3"/>
  <c r="B417" i="3"/>
  <c r="Q416" i="3"/>
  <c r="P416" i="3"/>
  <c r="O416" i="3"/>
  <c r="N416" i="3"/>
  <c r="M416" i="3"/>
  <c r="L416" i="3"/>
  <c r="K416" i="3"/>
  <c r="J416" i="3"/>
  <c r="I416" i="3"/>
  <c r="H416" i="3"/>
  <c r="G416" i="3"/>
  <c r="E416" i="3"/>
  <c r="C416" i="3"/>
  <c r="B416" i="3"/>
  <c r="Q415" i="3"/>
  <c r="P415" i="3"/>
  <c r="O415" i="3"/>
  <c r="N415" i="3"/>
  <c r="M415" i="3"/>
  <c r="L415" i="3"/>
  <c r="K415" i="3"/>
  <c r="J415" i="3"/>
  <c r="I415" i="3"/>
  <c r="H415" i="3"/>
  <c r="G415" i="3"/>
  <c r="E415" i="3"/>
  <c r="C415" i="3"/>
  <c r="B415" i="3"/>
  <c r="Q414" i="3"/>
  <c r="P414" i="3"/>
  <c r="O414" i="3"/>
  <c r="N414" i="3"/>
  <c r="M414" i="3"/>
  <c r="L414" i="3"/>
  <c r="K414" i="3"/>
  <c r="J414" i="3"/>
  <c r="I414" i="3"/>
  <c r="H414" i="3"/>
  <c r="G414" i="3"/>
  <c r="E414" i="3"/>
  <c r="C414" i="3"/>
  <c r="B414" i="3"/>
  <c r="Q413" i="3"/>
  <c r="P413" i="3"/>
  <c r="O413" i="3"/>
  <c r="N413" i="3"/>
  <c r="M413" i="3"/>
  <c r="L413" i="3"/>
  <c r="K413" i="3"/>
  <c r="J413" i="3"/>
  <c r="I413" i="3"/>
  <c r="H413" i="3"/>
  <c r="G413" i="3"/>
  <c r="E413" i="3"/>
  <c r="C413" i="3"/>
  <c r="B413" i="3"/>
  <c r="Q412" i="3"/>
  <c r="P412" i="3"/>
  <c r="O412" i="3"/>
  <c r="N412" i="3"/>
  <c r="M412" i="3"/>
  <c r="L412" i="3"/>
  <c r="K412" i="3"/>
  <c r="J412" i="3"/>
  <c r="I412" i="3"/>
  <c r="H412" i="3"/>
  <c r="G412" i="3"/>
  <c r="E412" i="3"/>
  <c r="C412" i="3"/>
  <c r="B412" i="3"/>
  <c r="Q411" i="3"/>
  <c r="P411" i="3"/>
  <c r="O411" i="3"/>
  <c r="N411" i="3"/>
  <c r="M411" i="3"/>
  <c r="L411" i="3"/>
  <c r="K411" i="3"/>
  <c r="J411" i="3"/>
  <c r="I411" i="3"/>
  <c r="H411" i="3"/>
  <c r="G411" i="3"/>
  <c r="E411" i="3"/>
  <c r="C411" i="3"/>
  <c r="B411" i="3"/>
  <c r="Q410" i="3"/>
  <c r="P410" i="3"/>
  <c r="O410" i="3"/>
  <c r="N410" i="3"/>
  <c r="M410" i="3"/>
  <c r="L410" i="3"/>
  <c r="K410" i="3"/>
  <c r="J410" i="3"/>
  <c r="I410" i="3"/>
  <c r="H410" i="3"/>
  <c r="G410" i="3"/>
  <c r="E410" i="3"/>
  <c r="C410" i="3"/>
  <c r="B410" i="3"/>
  <c r="Q409" i="3"/>
  <c r="P409" i="3"/>
  <c r="O409" i="3"/>
  <c r="N409" i="3"/>
  <c r="M409" i="3"/>
  <c r="L409" i="3"/>
  <c r="K409" i="3"/>
  <c r="J409" i="3"/>
  <c r="I409" i="3"/>
  <c r="H409" i="3"/>
  <c r="G409" i="3"/>
  <c r="E409" i="3"/>
  <c r="C409" i="3"/>
  <c r="B409" i="3"/>
  <c r="Q408" i="3"/>
  <c r="P408" i="3"/>
  <c r="O408" i="3"/>
  <c r="N408" i="3"/>
  <c r="M408" i="3"/>
  <c r="L408" i="3"/>
  <c r="K408" i="3"/>
  <c r="J408" i="3"/>
  <c r="I408" i="3"/>
  <c r="H408" i="3"/>
  <c r="G408" i="3"/>
  <c r="E408" i="3"/>
  <c r="C408" i="3"/>
  <c r="B408" i="3"/>
  <c r="Q407" i="3"/>
  <c r="P407" i="3"/>
  <c r="O407" i="3"/>
  <c r="N407" i="3"/>
  <c r="M407" i="3"/>
  <c r="L407" i="3"/>
  <c r="K407" i="3"/>
  <c r="J407" i="3"/>
  <c r="I407" i="3"/>
  <c r="H407" i="3"/>
  <c r="G407" i="3"/>
  <c r="E407" i="3"/>
  <c r="C407" i="3"/>
  <c r="B407" i="3"/>
  <c r="Q406" i="3"/>
  <c r="P406" i="3"/>
  <c r="O406" i="3"/>
  <c r="N406" i="3"/>
  <c r="M406" i="3"/>
  <c r="L406" i="3"/>
  <c r="K406" i="3"/>
  <c r="J406" i="3"/>
  <c r="I406" i="3"/>
  <c r="H406" i="3"/>
  <c r="G406" i="3"/>
  <c r="E406" i="3"/>
  <c r="C406" i="3"/>
  <c r="B406" i="3"/>
  <c r="Q405" i="3"/>
  <c r="P405" i="3"/>
  <c r="O405" i="3"/>
  <c r="N405" i="3"/>
  <c r="M405" i="3"/>
  <c r="L405" i="3"/>
  <c r="K405" i="3"/>
  <c r="J405" i="3"/>
  <c r="I405" i="3"/>
  <c r="H405" i="3"/>
  <c r="G405" i="3"/>
  <c r="E405" i="3"/>
  <c r="C405" i="3"/>
  <c r="B405" i="3"/>
  <c r="Q404" i="3"/>
  <c r="P404" i="3"/>
  <c r="O404" i="3"/>
  <c r="N404" i="3"/>
  <c r="M404" i="3"/>
  <c r="L404" i="3"/>
  <c r="K404" i="3"/>
  <c r="J404" i="3"/>
  <c r="I404" i="3"/>
  <c r="H404" i="3"/>
  <c r="G404" i="3"/>
  <c r="E404" i="3"/>
  <c r="C404" i="3"/>
  <c r="B404" i="3"/>
  <c r="Q403" i="3"/>
  <c r="P403" i="3"/>
  <c r="O403" i="3"/>
  <c r="N403" i="3"/>
  <c r="M403" i="3"/>
  <c r="L403" i="3"/>
  <c r="K403" i="3"/>
  <c r="J403" i="3"/>
  <c r="I403" i="3"/>
  <c r="H403" i="3"/>
  <c r="G403" i="3"/>
  <c r="E403" i="3"/>
  <c r="C403" i="3"/>
  <c r="B403" i="3"/>
  <c r="Q402" i="3"/>
  <c r="P402" i="3"/>
  <c r="O402" i="3"/>
  <c r="N402" i="3"/>
  <c r="M402" i="3"/>
  <c r="L402" i="3"/>
  <c r="K402" i="3"/>
  <c r="J402" i="3"/>
  <c r="I402" i="3"/>
  <c r="H402" i="3"/>
  <c r="G402" i="3"/>
  <c r="E402" i="3"/>
  <c r="C402" i="3"/>
  <c r="B402" i="3"/>
  <c r="Q401" i="3"/>
  <c r="P401" i="3"/>
  <c r="O401" i="3"/>
  <c r="N401" i="3"/>
  <c r="M401" i="3"/>
  <c r="L401" i="3"/>
  <c r="K401" i="3"/>
  <c r="J401" i="3"/>
  <c r="I401" i="3"/>
  <c r="H401" i="3"/>
  <c r="G401" i="3"/>
  <c r="E401" i="3"/>
  <c r="C401" i="3"/>
  <c r="B401" i="3"/>
  <c r="Q400" i="3"/>
  <c r="P400" i="3"/>
  <c r="O400" i="3"/>
  <c r="N400" i="3"/>
  <c r="M400" i="3"/>
  <c r="L400" i="3"/>
  <c r="K400" i="3"/>
  <c r="J400" i="3"/>
  <c r="I400" i="3"/>
  <c r="H400" i="3"/>
  <c r="G400" i="3"/>
  <c r="E400" i="3"/>
  <c r="C400" i="3"/>
  <c r="B400" i="3"/>
  <c r="Q399" i="3"/>
  <c r="P399" i="3"/>
  <c r="O399" i="3"/>
  <c r="N399" i="3"/>
  <c r="M399" i="3"/>
  <c r="L399" i="3"/>
  <c r="K399" i="3"/>
  <c r="J399" i="3"/>
  <c r="I399" i="3"/>
  <c r="H399" i="3"/>
  <c r="G399" i="3"/>
  <c r="E399" i="3"/>
  <c r="C399" i="3"/>
  <c r="B399" i="3"/>
  <c r="Q398" i="3"/>
  <c r="P398" i="3"/>
  <c r="O398" i="3"/>
  <c r="N398" i="3"/>
  <c r="M398" i="3"/>
  <c r="L398" i="3"/>
  <c r="K398" i="3"/>
  <c r="J398" i="3"/>
  <c r="I398" i="3"/>
  <c r="H398" i="3"/>
  <c r="G398" i="3"/>
  <c r="E398" i="3"/>
  <c r="C398" i="3"/>
  <c r="B398" i="3"/>
  <c r="Q397" i="3"/>
  <c r="P397" i="3"/>
  <c r="O397" i="3"/>
  <c r="N397" i="3"/>
  <c r="M397" i="3"/>
  <c r="L397" i="3"/>
  <c r="K397" i="3"/>
  <c r="J397" i="3"/>
  <c r="I397" i="3"/>
  <c r="H397" i="3"/>
  <c r="G397" i="3"/>
  <c r="E397" i="3"/>
  <c r="C397" i="3"/>
  <c r="B397" i="3"/>
  <c r="Q396" i="3"/>
  <c r="P396" i="3"/>
  <c r="O396" i="3"/>
  <c r="N396" i="3"/>
  <c r="M396" i="3"/>
  <c r="L396" i="3"/>
  <c r="K396" i="3"/>
  <c r="J396" i="3"/>
  <c r="I396" i="3"/>
  <c r="H396" i="3"/>
  <c r="G396" i="3"/>
  <c r="E396" i="3"/>
  <c r="C396" i="3"/>
  <c r="B396" i="3"/>
  <c r="Q395" i="3"/>
  <c r="P395" i="3"/>
  <c r="O395" i="3"/>
  <c r="N395" i="3"/>
  <c r="M395" i="3"/>
  <c r="L395" i="3"/>
  <c r="K395" i="3"/>
  <c r="J395" i="3"/>
  <c r="I395" i="3"/>
  <c r="H395" i="3"/>
  <c r="G395" i="3"/>
  <c r="E395" i="3"/>
  <c r="C395" i="3"/>
  <c r="B395" i="3"/>
  <c r="Q394" i="3"/>
  <c r="P394" i="3"/>
  <c r="O394" i="3"/>
  <c r="N394" i="3"/>
  <c r="M394" i="3"/>
  <c r="L394" i="3"/>
  <c r="K394" i="3"/>
  <c r="J394" i="3"/>
  <c r="I394" i="3"/>
  <c r="H394" i="3"/>
  <c r="G394" i="3"/>
  <c r="E394" i="3"/>
  <c r="C394" i="3"/>
  <c r="B394" i="3"/>
  <c r="Q393" i="3"/>
  <c r="P393" i="3"/>
  <c r="O393" i="3"/>
  <c r="N393" i="3"/>
  <c r="M393" i="3"/>
  <c r="L393" i="3"/>
  <c r="K393" i="3"/>
  <c r="J393" i="3"/>
  <c r="I393" i="3"/>
  <c r="H393" i="3"/>
  <c r="G393" i="3"/>
  <c r="E393" i="3"/>
  <c r="C393" i="3"/>
  <c r="B393" i="3"/>
  <c r="Q392" i="3"/>
  <c r="P392" i="3"/>
  <c r="O392" i="3"/>
  <c r="N392" i="3"/>
  <c r="M392" i="3"/>
  <c r="L392" i="3"/>
  <c r="K392" i="3"/>
  <c r="J392" i="3"/>
  <c r="I392" i="3"/>
  <c r="H392" i="3"/>
  <c r="G392" i="3"/>
  <c r="E392" i="3"/>
  <c r="C392" i="3"/>
  <c r="B392" i="3"/>
  <c r="Q391" i="3"/>
  <c r="P391" i="3"/>
  <c r="O391" i="3"/>
  <c r="N391" i="3"/>
  <c r="M391" i="3"/>
  <c r="L391" i="3"/>
  <c r="K391" i="3"/>
  <c r="J391" i="3"/>
  <c r="I391" i="3"/>
  <c r="H391" i="3"/>
  <c r="G391" i="3"/>
  <c r="E391" i="3"/>
  <c r="C391" i="3"/>
  <c r="B391" i="3"/>
  <c r="Q390" i="3"/>
  <c r="P390" i="3"/>
  <c r="O390" i="3"/>
  <c r="N390" i="3"/>
  <c r="M390" i="3"/>
  <c r="L390" i="3"/>
  <c r="K390" i="3"/>
  <c r="J390" i="3"/>
  <c r="I390" i="3"/>
  <c r="H390" i="3"/>
  <c r="G390" i="3"/>
  <c r="E390" i="3"/>
  <c r="C390" i="3"/>
  <c r="B390" i="3"/>
  <c r="Q389" i="3"/>
  <c r="P389" i="3"/>
  <c r="O389" i="3"/>
  <c r="N389" i="3"/>
  <c r="M389" i="3"/>
  <c r="L389" i="3"/>
  <c r="K389" i="3"/>
  <c r="J389" i="3"/>
  <c r="I389" i="3"/>
  <c r="H389" i="3"/>
  <c r="G389" i="3"/>
  <c r="E389" i="3"/>
  <c r="C389" i="3"/>
  <c r="B389" i="3"/>
  <c r="Q388" i="3"/>
  <c r="P388" i="3"/>
  <c r="O388" i="3"/>
  <c r="N388" i="3"/>
  <c r="M388" i="3"/>
  <c r="L388" i="3"/>
  <c r="K388" i="3"/>
  <c r="J388" i="3"/>
  <c r="I388" i="3"/>
  <c r="H388" i="3"/>
  <c r="G388" i="3"/>
  <c r="E388" i="3"/>
  <c r="C388" i="3"/>
  <c r="B388" i="3"/>
  <c r="Q387" i="3"/>
  <c r="P387" i="3"/>
  <c r="O387" i="3"/>
  <c r="N387" i="3"/>
  <c r="M387" i="3"/>
  <c r="L387" i="3"/>
  <c r="K387" i="3"/>
  <c r="J387" i="3"/>
  <c r="I387" i="3"/>
  <c r="H387" i="3"/>
  <c r="G387" i="3"/>
  <c r="E387" i="3"/>
  <c r="C387" i="3"/>
  <c r="B387" i="3"/>
  <c r="Q386" i="3"/>
  <c r="P386" i="3"/>
  <c r="O386" i="3"/>
  <c r="N386" i="3"/>
  <c r="M386" i="3"/>
  <c r="L386" i="3"/>
  <c r="K386" i="3"/>
  <c r="J386" i="3"/>
  <c r="I386" i="3"/>
  <c r="H386" i="3"/>
  <c r="G386" i="3"/>
  <c r="E386" i="3"/>
  <c r="C386" i="3"/>
  <c r="B386" i="3"/>
  <c r="Q385" i="3"/>
  <c r="P385" i="3"/>
  <c r="O385" i="3"/>
  <c r="N385" i="3"/>
  <c r="M385" i="3"/>
  <c r="L385" i="3"/>
  <c r="K385" i="3"/>
  <c r="J385" i="3"/>
  <c r="I385" i="3"/>
  <c r="H385" i="3"/>
  <c r="G385" i="3"/>
  <c r="E385" i="3"/>
  <c r="C385" i="3"/>
  <c r="B385" i="3"/>
  <c r="Q384" i="3"/>
  <c r="P384" i="3"/>
  <c r="O384" i="3"/>
  <c r="N384" i="3"/>
  <c r="M384" i="3"/>
  <c r="L384" i="3"/>
  <c r="K384" i="3"/>
  <c r="J384" i="3"/>
  <c r="I384" i="3"/>
  <c r="H384" i="3"/>
  <c r="G384" i="3"/>
  <c r="E384" i="3"/>
  <c r="C384" i="3"/>
  <c r="B384" i="3"/>
  <c r="Q383" i="3"/>
  <c r="P383" i="3"/>
  <c r="O383" i="3"/>
  <c r="N383" i="3"/>
  <c r="M383" i="3"/>
  <c r="L383" i="3"/>
  <c r="K383" i="3"/>
  <c r="J383" i="3"/>
  <c r="I383" i="3"/>
  <c r="H383" i="3"/>
  <c r="G383" i="3"/>
  <c r="E383" i="3"/>
  <c r="C383" i="3"/>
  <c r="B383" i="3"/>
  <c r="Q382" i="3"/>
  <c r="P382" i="3"/>
  <c r="O382" i="3"/>
  <c r="N382" i="3"/>
  <c r="M382" i="3"/>
  <c r="L382" i="3"/>
  <c r="K382" i="3"/>
  <c r="J382" i="3"/>
  <c r="I382" i="3"/>
  <c r="H382" i="3"/>
  <c r="G382" i="3"/>
  <c r="E382" i="3"/>
  <c r="C382" i="3"/>
  <c r="B382" i="3"/>
  <c r="Q381" i="3"/>
  <c r="P381" i="3"/>
  <c r="O381" i="3"/>
  <c r="N381" i="3"/>
  <c r="M381" i="3"/>
  <c r="L381" i="3"/>
  <c r="K381" i="3"/>
  <c r="J381" i="3"/>
  <c r="I381" i="3"/>
  <c r="H381" i="3"/>
  <c r="G381" i="3"/>
  <c r="E381" i="3"/>
  <c r="C381" i="3"/>
  <c r="B381" i="3"/>
  <c r="Q380" i="3"/>
  <c r="P380" i="3"/>
  <c r="O380" i="3"/>
  <c r="N380" i="3"/>
  <c r="M380" i="3"/>
  <c r="L380" i="3"/>
  <c r="K380" i="3"/>
  <c r="J380" i="3"/>
  <c r="I380" i="3"/>
  <c r="H380" i="3"/>
  <c r="G380" i="3"/>
  <c r="E380" i="3"/>
  <c r="C380" i="3"/>
  <c r="B380" i="3"/>
  <c r="Q379" i="3"/>
  <c r="P379" i="3"/>
  <c r="O379" i="3"/>
  <c r="N379" i="3"/>
  <c r="M379" i="3"/>
  <c r="L379" i="3"/>
  <c r="K379" i="3"/>
  <c r="J379" i="3"/>
  <c r="I379" i="3"/>
  <c r="H379" i="3"/>
  <c r="G379" i="3"/>
  <c r="E379" i="3"/>
  <c r="C379" i="3"/>
  <c r="B379" i="3"/>
  <c r="Q378" i="3"/>
  <c r="P378" i="3"/>
  <c r="O378" i="3"/>
  <c r="N378" i="3"/>
  <c r="M378" i="3"/>
  <c r="L378" i="3"/>
  <c r="K378" i="3"/>
  <c r="J378" i="3"/>
  <c r="I378" i="3"/>
  <c r="H378" i="3"/>
  <c r="G378" i="3"/>
  <c r="E378" i="3"/>
  <c r="C378" i="3"/>
  <c r="B378" i="3"/>
  <c r="Q377" i="3"/>
  <c r="P377" i="3"/>
  <c r="O377" i="3"/>
  <c r="N377" i="3"/>
  <c r="M377" i="3"/>
  <c r="L377" i="3"/>
  <c r="K377" i="3"/>
  <c r="J377" i="3"/>
  <c r="I377" i="3"/>
  <c r="H377" i="3"/>
  <c r="G377" i="3"/>
  <c r="E377" i="3"/>
  <c r="C377" i="3"/>
  <c r="B377" i="3"/>
  <c r="Q376" i="3"/>
  <c r="P376" i="3"/>
  <c r="O376" i="3"/>
  <c r="N376" i="3"/>
  <c r="M376" i="3"/>
  <c r="L376" i="3"/>
  <c r="K376" i="3"/>
  <c r="J376" i="3"/>
  <c r="I376" i="3"/>
  <c r="H376" i="3"/>
  <c r="G376" i="3"/>
  <c r="E376" i="3"/>
  <c r="C376" i="3"/>
  <c r="B376" i="3"/>
  <c r="Q375" i="3"/>
  <c r="P375" i="3"/>
  <c r="O375" i="3"/>
  <c r="N375" i="3"/>
  <c r="M375" i="3"/>
  <c r="L375" i="3"/>
  <c r="K375" i="3"/>
  <c r="J375" i="3"/>
  <c r="I375" i="3"/>
  <c r="H375" i="3"/>
  <c r="G375" i="3"/>
  <c r="E375" i="3"/>
  <c r="C375" i="3"/>
  <c r="B375" i="3"/>
  <c r="Q374" i="3"/>
  <c r="P374" i="3"/>
  <c r="O374" i="3"/>
  <c r="N374" i="3"/>
  <c r="M374" i="3"/>
  <c r="L374" i="3"/>
  <c r="K374" i="3"/>
  <c r="J374" i="3"/>
  <c r="I374" i="3"/>
  <c r="H374" i="3"/>
  <c r="G374" i="3"/>
  <c r="E374" i="3"/>
  <c r="C374" i="3"/>
  <c r="B374" i="3"/>
  <c r="Q373" i="3"/>
  <c r="P373" i="3"/>
  <c r="O373" i="3"/>
  <c r="N373" i="3"/>
  <c r="M373" i="3"/>
  <c r="L373" i="3"/>
  <c r="K373" i="3"/>
  <c r="J373" i="3"/>
  <c r="I373" i="3"/>
  <c r="H373" i="3"/>
  <c r="G373" i="3"/>
  <c r="E373" i="3"/>
  <c r="C373" i="3"/>
  <c r="B373" i="3"/>
  <c r="Q372" i="3"/>
  <c r="P372" i="3"/>
  <c r="O372" i="3"/>
  <c r="N372" i="3"/>
  <c r="M372" i="3"/>
  <c r="L372" i="3"/>
  <c r="K372" i="3"/>
  <c r="J372" i="3"/>
  <c r="I372" i="3"/>
  <c r="H372" i="3"/>
  <c r="G372" i="3"/>
  <c r="E372" i="3"/>
  <c r="C372" i="3"/>
  <c r="B372" i="3"/>
  <c r="Q371" i="3"/>
  <c r="P371" i="3"/>
  <c r="O371" i="3"/>
  <c r="N371" i="3"/>
  <c r="M371" i="3"/>
  <c r="L371" i="3"/>
  <c r="K371" i="3"/>
  <c r="J371" i="3"/>
  <c r="I371" i="3"/>
  <c r="H371" i="3"/>
  <c r="G371" i="3"/>
  <c r="E371" i="3"/>
  <c r="C371" i="3"/>
  <c r="B371" i="3"/>
  <c r="Q370" i="3"/>
  <c r="P370" i="3"/>
  <c r="O370" i="3"/>
  <c r="N370" i="3"/>
  <c r="M370" i="3"/>
  <c r="L370" i="3"/>
  <c r="K370" i="3"/>
  <c r="J370" i="3"/>
  <c r="I370" i="3"/>
  <c r="H370" i="3"/>
  <c r="G370" i="3"/>
  <c r="E370" i="3"/>
  <c r="C370" i="3"/>
  <c r="B370" i="3"/>
  <c r="Q369" i="3"/>
  <c r="P369" i="3"/>
  <c r="O369" i="3"/>
  <c r="N369" i="3"/>
  <c r="M369" i="3"/>
  <c r="L369" i="3"/>
  <c r="K369" i="3"/>
  <c r="J369" i="3"/>
  <c r="I369" i="3"/>
  <c r="H369" i="3"/>
  <c r="G369" i="3"/>
  <c r="E369" i="3"/>
  <c r="C369" i="3"/>
  <c r="B369" i="3"/>
  <c r="Q368" i="3"/>
  <c r="P368" i="3"/>
  <c r="O368" i="3"/>
  <c r="N368" i="3"/>
  <c r="M368" i="3"/>
  <c r="L368" i="3"/>
  <c r="K368" i="3"/>
  <c r="J368" i="3"/>
  <c r="I368" i="3"/>
  <c r="H368" i="3"/>
  <c r="G368" i="3"/>
  <c r="E368" i="3"/>
  <c r="C368" i="3"/>
  <c r="B368" i="3"/>
  <c r="Q367" i="3"/>
  <c r="P367" i="3"/>
  <c r="O367" i="3"/>
  <c r="N367" i="3"/>
  <c r="M367" i="3"/>
  <c r="L367" i="3"/>
  <c r="K367" i="3"/>
  <c r="J367" i="3"/>
  <c r="I367" i="3"/>
  <c r="H367" i="3"/>
  <c r="G367" i="3"/>
  <c r="E367" i="3"/>
  <c r="C367" i="3"/>
  <c r="B367" i="3"/>
  <c r="Q366" i="3"/>
  <c r="P366" i="3"/>
  <c r="O366" i="3"/>
  <c r="N366" i="3"/>
  <c r="M366" i="3"/>
  <c r="L366" i="3"/>
  <c r="K366" i="3"/>
  <c r="J366" i="3"/>
  <c r="I366" i="3"/>
  <c r="H366" i="3"/>
  <c r="G366" i="3"/>
  <c r="E366" i="3"/>
  <c r="C366" i="3"/>
  <c r="B366" i="3"/>
  <c r="Q365" i="3"/>
  <c r="P365" i="3"/>
  <c r="O365" i="3"/>
  <c r="N365" i="3"/>
  <c r="M365" i="3"/>
  <c r="L365" i="3"/>
  <c r="K365" i="3"/>
  <c r="J365" i="3"/>
  <c r="I365" i="3"/>
  <c r="H365" i="3"/>
  <c r="G365" i="3"/>
  <c r="E365" i="3"/>
  <c r="C365" i="3"/>
  <c r="B365" i="3"/>
  <c r="Q364" i="3"/>
  <c r="P364" i="3"/>
  <c r="O364" i="3"/>
  <c r="N364" i="3"/>
  <c r="M364" i="3"/>
  <c r="L364" i="3"/>
  <c r="K364" i="3"/>
  <c r="J364" i="3"/>
  <c r="I364" i="3"/>
  <c r="H364" i="3"/>
  <c r="G364" i="3"/>
  <c r="E364" i="3"/>
  <c r="C364" i="3"/>
  <c r="B364" i="3"/>
  <c r="Q363" i="3"/>
  <c r="P363" i="3"/>
  <c r="O363" i="3"/>
  <c r="N363" i="3"/>
  <c r="M363" i="3"/>
  <c r="L363" i="3"/>
  <c r="K363" i="3"/>
  <c r="J363" i="3"/>
  <c r="I363" i="3"/>
  <c r="H363" i="3"/>
  <c r="G363" i="3"/>
  <c r="E363" i="3"/>
  <c r="C363" i="3"/>
  <c r="B363" i="3"/>
  <c r="Q362" i="3"/>
  <c r="P362" i="3"/>
  <c r="O362" i="3"/>
  <c r="N362" i="3"/>
  <c r="M362" i="3"/>
  <c r="L362" i="3"/>
  <c r="K362" i="3"/>
  <c r="J362" i="3"/>
  <c r="I362" i="3"/>
  <c r="H362" i="3"/>
  <c r="G362" i="3"/>
  <c r="E362" i="3"/>
  <c r="C362" i="3"/>
  <c r="B362" i="3"/>
  <c r="Q361" i="3"/>
  <c r="P361" i="3"/>
  <c r="O361" i="3"/>
  <c r="N361" i="3"/>
  <c r="M361" i="3"/>
  <c r="L361" i="3"/>
  <c r="K361" i="3"/>
  <c r="J361" i="3"/>
  <c r="I361" i="3"/>
  <c r="H361" i="3"/>
  <c r="G361" i="3"/>
  <c r="E361" i="3"/>
  <c r="C361" i="3"/>
  <c r="B361" i="3"/>
  <c r="Q360" i="3"/>
  <c r="P360" i="3"/>
  <c r="O360" i="3"/>
  <c r="N360" i="3"/>
  <c r="M360" i="3"/>
  <c r="L360" i="3"/>
  <c r="K360" i="3"/>
  <c r="J360" i="3"/>
  <c r="I360" i="3"/>
  <c r="H360" i="3"/>
  <c r="G360" i="3"/>
  <c r="E360" i="3"/>
  <c r="C360" i="3"/>
  <c r="B360" i="3"/>
  <c r="Q359" i="3"/>
  <c r="P359" i="3"/>
  <c r="O359" i="3"/>
  <c r="N359" i="3"/>
  <c r="M359" i="3"/>
  <c r="L359" i="3"/>
  <c r="K359" i="3"/>
  <c r="J359" i="3"/>
  <c r="I359" i="3"/>
  <c r="H359" i="3"/>
  <c r="G359" i="3"/>
  <c r="E359" i="3"/>
  <c r="C359" i="3"/>
  <c r="B359" i="3"/>
  <c r="Q358" i="3"/>
  <c r="P358" i="3"/>
  <c r="O358" i="3"/>
  <c r="N358" i="3"/>
  <c r="M358" i="3"/>
  <c r="L358" i="3"/>
  <c r="K358" i="3"/>
  <c r="J358" i="3"/>
  <c r="I358" i="3"/>
  <c r="H358" i="3"/>
  <c r="G358" i="3"/>
  <c r="E358" i="3"/>
  <c r="C358" i="3"/>
  <c r="B358" i="3"/>
  <c r="Q357" i="3"/>
  <c r="P357" i="3"/>
  <c r="O357" i="3"/>
  <c r="N357" i="3"/>
  <c r="M357" i="3"/>
  <c r="L357" i="3"/>
  <c r="K357" i="3"/>
  <c r="J357" i="3"/>
  <c r="I357" i="3"/>
  <c r="H357" i="3"/>
  <c r="G357" i="3"/>
  <c r="E357" i="3"/>
  <c r="C357" i="3"/>
  <c r="B357" i="3"/>
  <c r="Q356" i="3"/>
  <c r="P356" i="3"/>
  <c r="O356" i="3"/>
  <c r="N356" i="3"/>
  <c r="M356" i="3"/>
  <c r="L356" i="3"/>
  <c r="K356" i="3"/>
  <c r="J356" i="3"/>
  <c r="I356" i="3"/>
  <c r="H356" i="3"/>
  <c r="G356" i="3"/>
  <c r="E356" i="3"/>
  <c r="C356" i="3"/>
  <c r="B356" i="3"/>
  <c r="Q355" i="3"/>
  <c r="P355" i="3"/>
  <c r="O355" i="3"/>
  <c r="N355" i="3"/>
  <c r="M355" i="3"/>
  <c r="L355" i="3"/>
  <c r="K355" i="3"/>
  <c r="J355" i="3"/>
  <c r="I355" i="3"/>
  <c r="H355" i="3"/>
  <c r="G355" i="3"/>
  <c r="E355" i="3"/>
  <c r="C355" i="3"/>
  <c r="B355" i="3"/>
  <c r="Q354" i="3"/>
  <c r="P354" i="3"/>
  <c r="O354" i="3"/>
  <c r="N354" i="3"/>
  <c r="M354" i="3"/>
  <c r="L354" i="3"/>
  <c r="K354" i="3"/>
  <c r="J354" i="3"/>
  <c r="I354" i="3"/>
  <c r="H354" i="3"/>
  <c r="G354" i="3"/>
  <c r="E354" i="3"/>
  <c r="C354" i="3"/>
  <c r="B354" i="3"/>
  <c r="Q353" i="3"/>
  <c r="P353" i="3"/>
  <c r="O353" i="3"/>
  <c r="N353" i="3"/>
  <c r="M353" i="3"/>
  <c r="L353" i="3"/>
  <c r="K353" i="3"/>
  <c r="J353" i="3"/>
  <c r="I353" i="3"/>
  <c r="H353" i="3"/>
  <c r="G353" i="3"/>
  <c r="E353" i="3"/>
  <c r="C353" i="3"/>
  <c r="B353" i="3"/>
  <c r="Q352" i="3"/>
  <c r="P352" i="3"/>
  <c r="O352" i="3"/>
  <c r="N352" i="3"/>
  <c r="M352" i="3"/>
  <c r="L352" i="3"/>
  <c r="K352" i="3"/>
  <c r="J352" i="3"/>
  <c r="I352" i="3"/>
  <c r="H352" i="3"/>
  <c r="G352" i="3"/>
  <c r="E352" i="3"/>
  <c r="C352" i="3"/>
  <c r="B352" i="3"/>
  <c r="Q351" i="3"/>
  <c r="P351" i="3"/>
  <c r="O351" i="3"/>
  <c r="N351" i="3"/>
  <c r="M351" i="3"/>
  <c r="L351" i="3"/>
  <c r="K351" i="3"/>
  <c r="J351" i="3"/>
  <c r="I351" i="3"/>
  <c r="H351" i="3"/>
  <c r="G351" i="3"/>
  <c r="E351" i="3"/>
  <c r="C351" i="3"/>
  <c r="B351" i="3"/>
  <c r="Q350" i="3"/>
  <c r="P350" i="3"/>
  <c r="O350" i="3"/>
  <c r="N350" i="3"/>
  <c r="M350" i="3"/>
  <c r="L350" i="3"/>
  <c r="K350" i="3"/>
  <c r="J350" i="3"/>
  <c r="I350" i="3"/>
  <c r="H350" i="3"/>
  <c r="G350" i="3"/>
  <c r="E350" i="3"/>
  <c r="C350" i="3"/>
  <c r="B350" i="3"/>
  <c r="Q349" i="3"/>
  <c r="P349" i="3"/>
  <c r="O349" i="3"/>
  <c r="N349" i="3"/>
  <c r="M349" i="3"/>
  <c r="L349" i="3"/>
  <c r="K349" i="3"/>
  <c r="J349" i="3"/>
  <c r="I349" i="3"/>
  <c r="H349" i="3"/>
  <c r="G349" i="3"/>
  <c r="E349" i="3"/>
  <c r="C349" i="3"/>
  <c r="B349" i="3"/>
  <c r="Q348" i="3"/>
  <c r="P348" i="3"/>
  <c r="O348" i="3"/>
  <c r="N348" i="3"/>
  <c r="M348" i="3"/>
  <c r="L348" i="3"/>
  <c r="K348" i="3"/>
  <c r="J348" i="3"/>
  <c r="I348" i="3"/>
  <c r="H348" i="3"/>
  <c r="G348" i="3"/>
  <c r="E348" i="3"/>
  <c r="C348" i="3"/>
  <c r="B348" i="3"/>
  <c r="Q347" i="3"/>
  <c r="P347" i="3"/>
  <c r="O347" i="3"/>
  <c r="N347" i="3"/>
  <c r="M347" i="3"/>
  <c r="L347" i="3"/>
  <c r="K347" i="3"/>
  <c r="J347" i="3"/>
  <c r="I347" i="3"/>
  <c r="H347" i="3"/>
  <c r="G347" i="3"/>
  <c r="E347" i="3"/>
  <c r="C347" i="3"/>
  <c r="B347" i="3"/>
  <c r="Q346" i="3"/>
  <c r="P346" i="3"/>
  <c r="O346" i="3"/>
  <c r="N346" i="3"/>
  <c r="M346" i="3"/>
  <c r="L346" i="3"/>
  <c r="K346" i="3"/>
  <c r="J346" i="3"/>
  <c r="I346" i="3"/>
  <c r="H346" i="3"/>
  <c r="G346" i="3"/>
  <c r="E346" i="3"/>
  <c r="C346" i="3"/>
  <c r="B346" i="3"/>
  <c r="Q345" i="3"/>
  <c r="P345" i="3"/>
  <c r="O345" i="3"/>
  <c r="N345" i="3"/>
  <c r="M345" i="3"/>
  <c r="L345" i="3"/>
  <c r="K345" i="3"/>
  <c r="J345" i="3"/>
  <c r="I345" i="3"/>
  <c r="H345" i="3"/>
  <c r="G345" i="3"/>
  <c r="E345" i="3"/>
  <c r="C345" i="3"/>
  <c r="B345" i="3"/>
  <c r="Q344" i="3"/>
  <c r="P344" i="3"/>
  <c r="O344" i="3"/>
  <c r="N344" i="3"/>
  <c r="M344" i="3"/>
  <c r="L344" i="3"/>
  <c r="K344" i="3"/>
  <c r="J344" i="3"/>
  <c r="I344" i="3"/>
  <c r="H344" i="3"/>
  <c r="G344" i="3"/>
  <c r="E344" i="3"/>
  <c r="C344" i="3"/>
  <c r="B344" i="3"/>
  <c r="Q343" i="3"/>
  <c r="P343" i="3"/>
  <c r="O343" i="3"/>
  <c r="N343" i="3"/>
  <c r="M343" i="3"/>
  <c r="L343" i="3"/>
  <c r="K343" i="3"/>
  <c r="J343" i="3"/>
  <c r="I343" i="3"/>
  <c r="H343" i="3"/>
  <c r="G343" i="3"/>
  <c r="E343" i="3"/>
  <c r="C343" i="3"/>
  <c r="B343" i="3"/>
  <c r="Q342" i="3"/>
  <c r="P342" i="3"/>
  <c r="O342" i="3"/>
  <c r="N342" i="3"/>
  <c r="M342" i="3"/>
  <c r="L342" i="3"/>
  <c r="K342" i="3"/>
  <c r="J342" i="3"/>
  <c r="I342" i="3"/>
  <c r="H342" i="3"/>
  <c r="G342" i="3"/>
  <c r="E342" i="3"/>
  <c r="C342" i="3"/>
  <c r="B342" i="3"/>
  <c r="Q341" i="3"/>
  <c r="P341" i="3"/>
  <c r="O341" i="3"/>
  <c r="N341" i="3"/>
  <c r="M341" i="3"/>
  <c r="L341" i="3"/>
  <c r="K341" i="3"/>
  <c r="J341" i="3"/>
  <c r="I341" i="3"/>
  <c r="H341" i="3"/>
  <c r="G341" i="3"/>
  <c r="E341" i="3"/>
  <c r="C341" i="3"/>
  <c r="B341" i="3"/>
  <c r="Q340" i="3"/>
  <c r="P340" i="3"/>
  <c r="O340" i="3"/>
  <c r="N340" i="3"/>
  <c r="M340" i="3"/>
  <c r="L340" i="3"/>
  <c r="K340" i="3"/>
  <c r="J340" i="3"/>
  <c r="I340" i="3"/>
  <c r="H340" i="3"/>
  <c r="G340" i="3"/>
  <c r="E340" i="3"/>
  <c r="C340" i="3"/>
  <c r="B340" i="3"/>
  <c r="Q339" i="3"/>
  <c r="P339" i="3"/>
  <c r="O339" i="3"/>
  <c r="N339" i="3"/>
  <c r="M339" i="3"/>
  <c r="L339" i="3"/>
  <c r="K339" i="3"/>
  <c r="J339" i="3"/>
  <c r="I339" i="3"/>
  <c r="H339" i="3"/>
  <c r="G339" i="3"/>
  <c r="E339" i="3"/>
  <c r="C339" i="3"/>
  <c r="B339" i="3"/>
  <c r="Q338" i="3"/>
  <c r="P338" i="3"/>
  <c r="O338" i="3"/>
  <c r="N338" i="3"/>
  <c r="M338" i="3"/>
  <c r="L338" i="3"/>
  <c r="K338" i="3"/>
  <c r="J338" i="3"/>
  <c r="I338" i="3"/>
  <c r="H338" i="3"/>
  <c r="G338" i="3"/>
  <c r="E338" i="3"/>
  <c r="C338" i="3"/>
  <c r="B338" i="3"/>
  <c r="Q337" i="3"/>
  <c r="P337" i="3"/>
  <c r="O337" i="3"/>
  <c r="N337" i="3"/>
  <c r="M337" i="3"/>
  <c r="L337" i="3"/>
  <c r="K337" i="3"/>
  <c r="J337" i="3"/>
  <c r="I337" i="3"/>
  <c r="H337" i="3"/>
  <c r="G337" i="3"/>
  <c r="E337" i="3"/>
  <c r="C337" i="3"/>
  <c r="B337" i="3"/>
  <c r="Q336" i="3"/>
  <c r="P336" i="3"/>
  <c r="O336" i="3"/>
  <c r="N336" i="3"/>
  <c r="M336" i="3"/>
  <c r="L336" i="3"/>
  <c r="K336" i="3"/>
  <c r="J336" i="3"/>
  <c r="I336" i="3"/>
  <c r="H336" i="3"/>
  <c r="G336" i="3"/>
  <c r="E336" i="3"/>
  <c r="C336" i="3"/>
  <c r="B336" i="3"/>
  <c r="Q335" i="3"/>
  <c r="P335" i="3"/>
  <c r="O335" i="3"/>
  <c r="N335" i="3"/>
  <c r="M335" i="3"/>
  <c r="L335" i="3"/>
  <c r="K335" i="3"/>
  <c r="J335" i="3"/>
  <c r="I335" i="3"/>
  <c r="H335" i="3"/>
  <c r="G335" i="3"/>
  <c r="E335" i="3"/>
  <c r="C335" i="3"/>
  <c r="B335" i="3"/>
  <c r="Q334" i="3"/>
  <c r="P334" i="3"/>
  <c r="O334" i="3"/>
  <c r="N334" i="3"/>
  <c r="M334" i="3"/>
  <c r="L334" i="3"/>
  <c r="K334" i="3"/>
  <c r="J334" i="3"/>
  <c r="I334" i="3"/>
  <c r="H334" i="3"/>
  <c r="G334" i="3"/>
  <c r="E334" i="3"/>
  <c r="C334" i="3"/>
  <c r="B334" i="3"/>
  <c r="Q333" i="3"/>
  <c r="P333" i="3"/>
  <c r="O333" i="3"/>
  <c r="N333" i="3"/>
  <c r="M333" i="3"/>
  <c r="L333" i="3"/>
  <c r="K333" i="3"/>
  <c r="J333" i="3"/>
  <c r="I333" i="3"/>
  <c r="H333" i="3"/>
  <c r="G333" i="3"/>
  <c r="E333" i="3"/>
  <c r="C333" i="3"/>
  <c r="B333" i="3"/>
  <c r="Q332" i="3"/>
  <c r="P332" i="3"/>
  <c r="O332" i="3"/>
  <c r="N332" i="3"/>
  <c r="M332" i="3"/>
  <c r="L332" i="3"/>
  <c r="K332" i="3"/>
  <c r="J332" i="3"/>
  <c r="I332" i="3"/>
  <c r="H332" i="3"/>
  <c r="G332" i="3"/>
  <c r="E332" i="3"/>
  <c r="C332" i="3"/>
  <c r="B332" i="3"/>
  <c r="Q331" i="3"/>
  <c r="P331" i="3"/>
  <c r="O331" i="3"/>
  <c r="N331" i="3"/>
  <c r="M331" i="3"/>
  <c r="L331" i="3"/>
  <c r="K331" i="3"/>
  <c r="J331" i="3"/>
  <c r="I331" i="3"/>
  <c r="H331" i="3"/>
  <c r="G331" i="3"/>
  <c r="E331" i="3"/>
  <c r="C331" i="3"/>
  <c r="B331" i="3"/>
  <c r="Q330" i="3"/>
  <c r="P330" i="3"/>
  <c r="O330" i="3"/>
  <c r="N330" i="3"/>
  <c r="M330" i="3"/>
  <c r="L330" i="3"/>
  <c r="K330" i="3"/>
  <c r="J330" i="3"/>
  <c r="I330" i="3"/>
  <c r="H330" i="3"/>
  <c r="G330" i="3"/>
  <c r="E330" i="3"/>
  <c r="C330" i="3"/>
  <c r="B330" i="3"/>
  <c r="Q329" i="3"/>
  <c r="P329" i="3"/>
  <c r="O329" i="3"/>
  <c r="N329" i="3"/>
  <c r="M329" i="3"/>
  <c r="L329" i="3"/>
  <c r="K329" i="3"/>
  <c r="J329" i="3"/>
  <c r="I329" i="3"/>
  <c r="H329" i="3"/>
  <c r="G329" i="3"/>
  <c r="E329" i="3"/>
  <c r="C329" i="3"/>
  <c r="B329" i="3"/>
  <c r="Q328" i="3"/>
  <c r="P328" i="3"/>
  <c r="O328" i="3"/>
  <c r="N328" i="3"/>
  <c r="M328" i="3"/>
  <c r="L328" i="3"/>
  <c r="K328" i="3"/>
  <c r="J328" i="3"/>
  <c r="I328" i="3"/>
  <c r="H328" i="3"/>
  <c r="G328" i="3"/>
  <c r="E328" i="3"/>
  <c r="C328" i="3"/>
  <c r="B328" i="3"/>
  <c r="Q327" i="3"/>
  <c r="P327" i="3"/>
  <c r="O327" i="3"/>
  <c r="N327" i="3"/>
  <c r="M327" i="3"/>
  <c r="L327" i="3"/>
  <c r="K327" i="3"/>
  <c r="J327" i="3"/>
  <c r="I327" i="3"/>
  <c r="H327" i="3"/>
  <c r="G327" i="3"/>
  <c r="E327" i="3"/>
  <c r="C327" i="3"/>
  <c r="B327" i="3"/>
  <c r="Q326" i="3"/>
  <c r="P326" i="3"/>
  <c r="O326" i="3"/>
  <c r="N326" i="3"/>
  <c r="M326" i="3"/>
  <c r="L326" i="3"/>
  <c r="K326" i="3"/>
  <c r="J326" i="3"/>
  <c r="I326" i="3"/>
  <c r="H326" i="3"/>
  <c r="G326" i="3"/>
  <c r="E326" i="3"/>
  <c r="C326" i="3"/>
  <c r="B326" i="3"/>
  <c r="Q325" i="3"/>
  <c r="P325" i="3"/>
  <c r="O325" i="3"/>
  <c r="N325" i="3"/>
  <c r="M325" i="3"/>
  <c r="L325" i="3"/>
  <c r="K325" i="3"/>
  <c r="J325" i="3"/>
  <c r="I325" i="3"/>
  <c r="H325" i="3"/>
  <c r="G325" i="3"/>
  <c r="E325" i="3"/>
  <c r="C325" i="3"/>
  <c r="B325" i="3"/>
  <c r="Q324" i="3"/>
  <c r="P324" i="3"/>
  <c r="O324" i="3"/>
  <c r="N324" i="3"/>
  <c r="M324" i="3"/>
  <c r="L324" i="3"/>
  <c r="K324" i="3"/>
  <c r="J324" i="3"/>
  <c r="I324" i="3"/>
  <c r="H324" i="3"/>
  <c r="G324" i="3"/>
  <c r="E324" i="3"/>
  <c r="C324" i="3"/>
  <c r="B324" i="3"/>
  <c r="Q323" i="3"/>
  <c r="P323" i="3"/>
  <c r="O323" i="3"/>
  <c r="N323" i="3"/>
  <c r="M323" i="3"/>
  <c r="L323" i="3"/>
  <c r="K323" i="3"/>
  <c r="J323" i="3"/>
  <c r="I323" i="3"/>
  <c r="H323" i="3"/>
  <c r="G323" i="3"/>
  <c r="E323" i="3"/>
  <c r="C323" i="3"/>
  <c r="B323" i="3"/>
  <c r="Q322" i="3"/>
  <c r="P322" i="3"/>
  <c r="O322" i="3"/>
  <c r="N322" i="3"/>
  <c r="M322" i="3"/>
  <c r="L322" i="3"/>
  <c r="K322" i="3"/>
  <c r="J322" i="3"/>
  <c r="I322" i="3"/>
  <c r="H322" i="3"/>
  <c r="G322" i="3"/>
  <c r="E322" i="3"/>
  <c r="C322" i="3"/>
  <c r="B322" i="3"/>
  <c r="Q321" i="3"/>
  <c r="P321" i="3"/>
  <c r="O321" i="3"/>
  <c r="N321" i="3"/>
  <c r="M321" i="3"/>
  <c r="L321" i="3"/>
  <c r="K321" i="3"/>
  <c r="J321" i="3"/>
  <c r="I321" i="3"/>
  <c r="H321" i="3"/>
  <c r="G321" i="3"/>
  <c r="E321" i="3"/>
  <c r="C321" i="3"/>
  <c r="B321" i="3"/>
  <c r="Q320" i="3"/>
  <c r="P320" i="3"/>
  <c r="O320" i="3"/>
  <c r="N320" i="3"/>
  <c r="M320" i="3"/>
  <c r="L320" i="3"/>
  <c r="K320" i="3"/>
  <c r="J320" i="3"/>
  <c r="I320" i="3"/>
  <c r="H320" i="3"/>
  <c r="G320" i="3"/>
  <c r="E320" i="3"/>
  <c r="C320" i="3"/>
  <c r="B320" i="3"/>
  <c r="Q319" i="3"/>
  <c r="P319" i="3"/>
  <c r="O319" i="3"/>
  <c r="N319" i="3"/>
  <c r="M319" i="3"/>
  <c r="L319" i="3"/>
  <c r="K319" i="3"/>
  <c r="J319" i="3"/>
  <c r="I319" i="3"/>
  <c r="H319" i="3"/>
  <c r="G319" i="3"/>
  <c r="E319" i="3"/>
  <c r="C319" i="3"/>
  <c r="B319" i="3"/>
  <c r="Q318" i="3"/>
  <c r="P318" i="3"/>
  <c r="O318" i="3"/>
  <c r="N318" i="3"/>
  <c r="M318" i="3"/>
  <c r="L318" i="3"/>
  <c r="K318" i="3"/>
  <c r="J318" i="3"/>
  <c r="I318" i="3"/>
  <c r="H318" i="3"/>
  <c r="G318" i="3"/>
  <c r="E318" i="3"/>
  <c r="C318" i="3"/>
  <c r="B318" i="3"/>
  <c r="Q317" i="3"/>
  <c r="P317" i="3"/>
  <c r="O317" i="3"/>
  <c r="N317" i="3"/>
  <c r="M317" i="3"/>
  <c r="L317" i="3"/>
  <c r="K317" i="3"/>
  <c r="J317" i="3"/>
  <c r="I317" i="3"/>
  <c r="H317" i="3"/>
  <c r="G317" i="3"/>
  <c r="E317" i="3"/>
  <c r="C317" i="3"/>
  <c r="B317" i="3"/>
  <c r="Q316" i="3"/>
  <c r="P316" i="3"/>
  <c r="O316" i="3"/>
  <c r="N316" i="3"/>
  <c r="M316" i="3"/>
  <c r="L316" i="3"/>
  <c r="K316" i="3"/>
  <c r="J316" i="3"/>
  <c r="I316" i="3"/>
  <c r="H316" i="3"/>
  <c r="G316" i="3"/>
  <c r="E316" i="3"/>
  <c r="C316" i="3"/>
  <c r="B316" i="3"/>
  <c r="Q315" i="3"/>
  <c r="P315" i="3"/>
  <c r="O315" i="3"/>
  <c r="N315" i="3"/>
  <c r="M315" i="3"/>
  <c r="L315" i="3"/>
  <c r="K315" i="3"/>
  <c r="J315" i="3"/>
  <c r="I315" i="3"/>
  <c r="H315" i="3"/>
  <c r="G315" i="3"/>
  <c r="E315" i="3"/>
  <c r="C315" i="3"/>
  <c r="B315" i="3"/>
  <c r="Q314" i="3"/>
  <c r="P314" i="3"/>
  <c r="O314" i="3"/>
  <c r="N314" i="3"/>
  <c r="M314" i="3"/>
  <c r="L314" i="3"/>
  <c r="K314" i="3"/>
  <c r="J314" i="3"/>
  <c r="I314" i="3"/>
  <c r="H314" i="3"/>
  <c r="G314" i="3"/>
  <c r="E314" i="3"/>
  <c r="C314" i="3"/>
  <c r="B314" i="3"/>
  <c r="Q313" i="3"/>
  <c r="P313" i="3"/>
  <c r="O313" i="3"/>
  <c r="N313" i="3"/>
  <c r="M313" i="3"/>
  <c r="L313" i="3"/>
  <c r="K313" i="3"/>
  <c r="J313" i="3"/>
  <c r="I313" i="3"/>
  <c r="H313" i="3"/>
  <c r="G313" i="3"/>
  <c r="E313" i="3"/>
  <c r="C313" i="3"/>
  <c r="B313" i="3"/>
  <c r="Q312" i="3"/>
  <c r="P312" i="3"/>
  <c r="O312" i="3"/>
  <c r="N312" i="3"/>
  <c r="M312" i="3"/>
  <c r="L312" i="3"/>
  <c r="K312" i="3"/>
  <c r="J312" i="3"/>
  <c r="I312" i="3"/>
  <c r="H312" i="3"/>
  <c r="G312" i="3"/>
  <c r="E312" i="3"/>
  <c r="C312" i="3"/>
  <c r="B312" i="3"/>
  <c r="Q311" i="3"/>
  <c r="P311" i="3"/>
  <c r="O311" i="3"/>
  <c r="N311" i="3"/>
  <c r="M311" i="3"/>
  <c r="L311" i="3"/>
  <c r="K311" i="3"/>
  <c r="J311" i="3"/>
  <c r="I311" i="3"/>
  <c r="H311" i="3"/>
  <c r="G311" i="3"/>
  <c r="E311" i="3"/>
  <c r="C311" i="3"/>
  <c r="B311" i="3"/>
  <c r="Q310" i="3"/>
  <c r="P310" i="3"/>
  <c r="O310" i="3"/>
  <c r="N310" i="3"/>
  <c r="M310" i="3"/>
  <c r="L310" i="3"/>
  <c r="K310" i="3"/>
  <c r="J310" i="3"/>
  <c r="I310" i="3"/>
  <c r="H310" i="3"/>
  <c r="G310" i="3"/>
  <c r="E310" i="3"/>
  <c r="C310" i="3"/>
  <c r="B310" i="3"/>
  <c r="Q309" i="3"/>
  <c r="P309" i="3"/>
  <c r="O309" i="3"/>
  <c r="N309" i="3"/>
  <c r="M309" i="3"/>
  <c r="L309" i="3"/>
  <c r="K309" i="3"/>
  <c r="J309" i="3"/>
  <c r="I309" i="3"/>
  <c r="H309" i="3"/>
  <c r="G309" i="3"/>
  <c r="E309" i="3"/>
  <c r="C309" i="3"/>
  <c r="B309" i="3"/>
  <c r="Q308" i="3"/>
  <c r="P308" i="3"/>
  <c r="O308" i="3"/>
  <c r="N308" i="3"/>
  <c r="M308" i="3"/>
  <c r="L308" i="3"/>
  <c r="K308" i="3"/>
  <c r="J308" i="3"/>
  <c r="I308" i="3"/>
  <c r="H308" i="3"/>
  <c r="G308" i="3"/>
  <c r="E308" i="3"/>
  <c r="C308" i="3"/>
  <c r="B308" i="3"/>
  <c r="Q307" i="3"/>
  <c r="P307" i="3"/>
  <c r="O307" i="3"/>
  <c r="N307" i="3"/>
  <c r="M307" i="3"/>
  <c r="L307" i="3"/>
  <c r="K307" i="3"/>
  <c r="J307" i="3"/>
  <c r="I307" i="3"/>
  <c r="H307" i="3"/>
  <c r="G307" i="3"/>
  <c r="E307" i="3"/>
  <c r="C307" i="3"/>
  <c r="B307" i="3"/>
  <c r="Q306" i="3"/>
  <c r="P306" i="3"/>
  <c r="O306" i="3"/>
  <c r="N306" i="3"/>
  <c r="M306" i="3"/>
  <c r="L306" i="3"/>
  <c r="K306" i="3"/>
  <c r="J306" i="3"/>
  <c r="I306" i="3"/>
  <c r="H306" i="3"/>
  <c r="G306" i="3"/>
  <c r="E306" i="3"/>
  <c r="C306" i="3"/>
  <c r="B306" i="3"/>
  <c r="Q305" i="3"/>
  <c r="P305" i="3"/>
  <c r="O305" i="3"/>
  <c r="N305" i="3"/>
  <c r="M305" i="3"/>
  <c r="L305" i="3"/>
  <c r="K305" i="3"/>
  <c r="J305" i="3"/>
  <c r="I305" i="3"/>
  <c r="H305" i="3"/>
  <c r="G305" i="3"/>
  <c r="E305" i="3"/>
  <c r="C305" i="3"/>
  <c r="B305" i="3"/>
  <c r="Q304" i="3"/>
  <c r="P304" i="3"/>
  <c r="O304" i="3"/>
  <c r="N304" i="3"/>
  <c r="M304" i="3"/>
  <c r="L304" i="3"/>
  <c r="K304" i="3"/>
  <c r="J304" i="3"/>
  <c r="I304" i="3"/>
  <c r="H304" i="3"/>
  <c r="G304" i="3"/>
  <c r="E304" i="3"/>
  <c r="C304" i="3"/>
  <c r="B304" i="3"/>
  <c r="Q303" i="3"/>
  <c r="P303" i="3"/>
  <c r="O303" i="3"/>
  <c r="N303" i="3"/>
  <c r="M303" i="3"/>
  <c r="L303" i="3"/>
  <c r="K303" i="3"/>
  <c r="J303" i="3"/>
  <c r="I303" i="3"/>
  <c r="H303" i="3"/>
  <c r="G303" i="3"/>
  <c r="E303" i="3"/>
  <c r="C303" i="3"/>
  <c r="B303" i="3"/>
  <c r="Q302" i="3"/>
  <c r="P302" i="3"/>
  <c r="O302" i="3"/>
  <c r="N302" i="3"/>
  <c r="M302" i="3"/>
  <c r="L302" i="3"/>
  <c r="K302" i="3"/>
  <c r="J302" i="3"/>
  <c r="I302" i="3"/>
  <c r="H302" i="3"/>
  <c r="G302" i="3"/>
  <c r="E302" i="3"/>
  <c r="C302" i="3"/>
  <c r="B302" i="3"/>
  <c r="Q301" i="3"/>
  <c r="P301" i="3"/>
  <c r="O301" i="3"/>
  <c r="N301" i="3"/>
  <c r="M301" i="3"/>
  <c r="L301" i="3"/>
  <c r="K301" i="3"/>
  <c r="J301" i="3"/>
  <c r="I301" i="3"/>
  <c r="H301" i="3"/>
  <c r="G301" i="3"/>
  <c r="E301" i="3"/>
  <c r="C301" i="3"/>
  <c r="B301" i="3"/>
  <c r="Q300" i="3"/>
  <c r="P300" i="3"/>
  <c r="O300" i="3"/>
  <c r="N300" i="3"/>
  <c r="M300" i="3"/>
  <c r="L300" i="3"/>
  <c r="K300" i="3"/>
  <c r="J300" i="3"/>
  <c r="I300" i="3"/>
  <c r="H300" i="3"/>
  <c r="G300" i="3"/>
  <c r="E300" i="3"/>
  <c r="C300" i="3"/>
  <c r="B300" i="3"/>
  <c r="Q299" i="3"/>
  <c r="P299" i="3"/>
  <c r="O299" i="3"/>
  <c r="N299" i="3"/>
  <c r="M299" i="3"/>
  <c r="L299" i="3"/>
  <c r="K299" i="3"/>
  <c r="J299" i="3"/>
  <c r="I299" i="3"/>
  <c r="H299" i="3"/>
  <c r="G299" i="3"/>
  <c r="E299" i="3"/>
  <c r="C299" i="3"/>
  <c r="B299" i="3"/>
  <c r="Q298" i="3"/>
  <c r="P298" i="3"/>
  <c r="O298" i="3"/>
  <c r="N298" i="3"/>
  <c r="M298" i="3"/>
  <c r="L298" i="3"/>
  <c r="K298" i="3"/>
  <c r="J298" i="3"/>
  <c r="I298" i="3"/>
  <c r="H298" i="3"/>
  <c r="G298" i="3"/>
  <c r="E298" i="3"/>
  <c r="C298" i="3"/>
  <c r="B298" i="3"/>
  <c r="Q297" i="3"/>
  <c r="P297" i="3"/>
  <c r="O297" i="3"/>
  <c r="N297" i="3"/>
  <c r="M297" i="3"/>
  <c r="L297" i="3"/>
  <c r="K297" i="3"/>
  <c r="J297" i="3"/>
  <c r="I297" i="3"/>
  <c r="H297" i="3"/>
  <c r="G297" i="3"/>
  <c r="E297" i="3"/>
  <c r="C297" i="3"/>
  <c r="B297" i="3"/>
  <c r="Q296" i="3"/>
  <c r="P296" i="3"/>
  <c r="O296" i="3"/>
  <c r="N296" i="3"/>
  <c r="M296" i="3"/>
  <c r="L296" i="3"/>
  <c r="K296" i="3"/>
  <c r="J296" i="3"/>
  <c r="I296" i="3"/>
  <c r="H296" i="3"/>
  <c r="G296" i="3"/>
  <c r="E296" i="3"/>
  <c r="C296" i="3"/>
  <c r="B296" i="3"/>
  <c r="Q295" i="3"/>
  <c r="P295" i="3"/>
  <c r="O295" i="3"/>
  <c r="N295" i="3"/>
  <c r="M295" i="3"/>
  <c r="L295" i="3"/>
  <c r="K295" i="3"/>
  <c r="J295" i="3"/>
  <c r="I295" i="3"/>
  <c r="H295" i="3"/>
  <c r="G295" i="3"/>
  <c r="E295" i="3"/>
  <c r="C295" i="3"/>
  <c r="B295" i="3"/>
  <c r="Q294" i="3"/>
  <c r="P294" i="3"/>
  <c r="O294" i="3"/>
  <c r="N294" i="3"/>
  <c r="M294" i="3"/>
  <c r="L294" i="3"/>
  <c r="K294" i="3"/>
  <c r="J294" i="3"/>
  <c r="I294" i="3"/>
  <c r="H294" i="3"/>
  <c r="G294" i="3"/>
  <c r="E294" i="3"/>
  <c r="C294" i="3"/>
  <c r="B294" i="3"/>
  <c r="Q293" i="3"/>
  <c r="P293" i="3"/>
  <c r="O293" i="3"/>
  <c r="N293" i="3"/>
  <c r="M293" i="3"/>
  <c r="L293" i="3"/>
  <c r="K293" i="3"/>
  <c r="J293" i="3"/>
  <c r="I293" i="3"/>
  <c r="H293" i="3"/>
  <c r="G293" i="3"/>
  <c r="E293" i="3"/>
  <c r="C293" i="3"/>
  <c r="B293" i="3"/>
  <c r="Q292" i="3"/>
  <c r="P292" i="3"/>
  <c r="O292" i="3"/>
  <c r="N292" i="3"/>
  <c r="M292" i="3"/>
  <c r="L292" i="3"/>
  <c r="K292" i="3"/>
  <c r="J292" i="3"/>
  <c r="I292" i="3"/>
  <c r="H292" i="3"/>
  <c r="G292" i="3"/>
  <c r="E292" i="3"/>
  <c r="C292" i="3"/>
  <c r="B292" i="3"/>
  <c r="Q291" i="3"/>
  <c r="P291" i="3"/>
  <c r="O291" i="3"/>
  <c r="N291" i="3"/>
  <c r="M291" i="3"/>
  <c r="L291" i="3"/>
  <c r="K291" i="3"/>
  <c r="J291" i="3"/>
  <c r="I291" i="3"/>
  <c r="H291" i="3"/>
  <c r="G291" i="3"/>
  <c r="E291" i="3"/>
  <c r="C291" i="3"/>
  <c r="B291" i="3"/>
  <c r="Q290" i="3"/>
  <c r="P290" i="3"/>
  <c r="O290" i="3"/>
  <c r="N290" i="3"/>
  <c r="M290" i="3"/>
  <c r="L290" i="3"/>
  <c r="K290" i="3"/>
  <c r="J290" i="3"/>
  <c r="I290" i="3"/>
  <c r="H290" i="3"/>
  <c r="G290" i="3"/>
  <c r="E290" i="3"/>
  <c r="C290" i="3"/>
  <c r="B290" i="3"/>
  <c r="Q289" i="3"/>
  <c r="P289" i="3"/>
  <c r="O289" i="3"/>
  <c r="N289" i="3"/>
  <c r="M289" i="3"/>
  <c r="L289" i="3"/>
  <c r="K289" i="3"/>
  <c r="J289" i="3"/>
  <c r="I289" i="3"/>
  <c r="H289" i="3"/>
  <c r="G289" i="3"/>
  <c r="E289" i="3"/>
  <c r="C289" i="3"/>
  <c r="B289" i="3"/>
  <c r="Q288" i="3"/>
  <c r="P288" i="3"/>
  <c r="O288" i="3"/>
  <c r="N288" i="3"/>
  <c r="M288" i="3"/>
  <c r="L288" i="3"/>
  <c r="K288" i="3"/>
  <c r="J288" i="3"/>
  <c r="I288" i="3"/>
  <c r="H288" i="3"/>
  <c r="G288" i="3"/>
  <c r="E288" i="3"/>
  <c r="C288" i="3"/>
  <c r="B288" i="3"/>
  <c r="Q287" i="3"/>
  <c r="P287" i="3"/>
  <c r="O287" i="3"/>
  <c r="N287" i="3"/>
  <c r="M287" i="3"/>
  <c r="L287" i="3"/>
  <c r="K287" i="3"/>
  <c r="J287" i="3"/>
  <c r="I287" i="3"/>
  <c r="H287" i="3"/>
  <c r="G287" i="3"/>
  <c r="E287" i="3"/>
  <c r="C287" i="3"/>
  <c r="B287" i="3"/>
  <c r="Q286" i="3"/>
  <c r="P286" i="3"/>
  <c r="O286" i="3"/>
  <c r="N286" i="3"/>
  <c r="M286" i="3"/>
  <c r="L286" i="3"/>
  <c r="K286" i="3"/>
  <c r="J286" i="3"/>
  <c r="I286" i="3"/>
  <c r="H286" i="3"/>
  <c r="G286" i="3"/>
  <c r="E286" i="3"/>
  <c r="C286" i="3"/>
  <c r="B286" i="3"/>
  <c r="Q285" i="3"/>
  <c r="P285" i="3"/>
  <c r="O285" i="3"/>
  <c r="N285" i="3"/>
  <c r="M285" i="3"/>
  <c r="L285" i="3"/>
  <c r="K285" i="3"/>
  <c r="J285" i="3"/>
  <c r="I285" i="3"/>
  <c r="H285" i="3"/>
  <c r="G285" i="3"/>
  <c r="E285" i="3"/>
  <c r="C285" i="3"/>
  <c r="B285" i="3"/>
  <c r="Q284" i="3"/>
  <c r="P284" i="3"/>
  <c r="O284" i="3"/>
  <c r="N284" i="3"/>
  <c r="M284" i="3"/>
  <c r="L284" i="3"/>
  <c r="K284" i="3"/>
  <c r="J284" i="3"/>
  <c r="I284" i="3"/>
  <c r="H284" i="3"/>
  <c r="G284" i="3"/>
  <c r="E284" i="3"/>
  <c r="C284" i="3"/>
  <c r="B284" i="3"/>
  <c r="Q283" i="3"/>
  <c r="P283" i="3"/>
  <c r="O283" i="3"/>
  <c r="N283" i="3"/>
  <c r="M283" i="3"/>
  <c r="L283" i="3"/>
  <c r="K283" i="3"/>
  <c r="J283" i="3"/>
  <c r="I283" i="3"/>
  <c r="H283" i="3"/>
  <c r="G283" i="3"/>
  <c r="E283" i="3"/>
  <c r="C283" i="3"/>
  <c r="B283" i="3"/>
  <c r="Q282" i="3"/>
  <c r="P282" i="3"/>
  <c r="O282" i="3"/>
  <c r="N282" i="3"/>
  <c r="M282" i="3"/>
  <c r="L282" i="3"/>
  <c r="K282" i="3"/>
  <c r="J282" i="3"/>
  <c r="I282" i="3"/>
  <c r="H282" i="3"/>
  <c r="G282" i="3"/>
  <c r="E282" i="3"/>
  <c r="C282" i="3"/>
  <c r="B282" i="3"/>
  <c r="Q281" i="3"/>
  <c r="P281" i="3"/>
  <c r="O281" i="3"/>
  <c r="N281" i="3"/>
  <c r="M281" i="3"/>
  <c r="L281" i="3"/>
  <c r="K281" i="3"/>
  <c r="J281" i="3"/>
  <c r="I281" i="3"/>
  <c r="H281" i="3"/>
  <c r="G281" i="3"/>
  <c r="E281" i="3"/>
  <c r="C281" i="3"/>
  <c r="B281" i="3"/>
  <c r="Q280" i="3"/>
  <c r="P280" i="3"/>
  <c r="O280" i="3"/>
  <c r="N280" i="3"/>
  <c r="M280" i="3"/>
  <c r="L280" i="3"/>
  <c r="K280" i="3"/>
  <c r="J280" i="3"/>
  <c r="I280" i="3"/>
  <c r="H280" i="3"/>
  <c r="G280" i="3"/>
  <c r="E280" i="3"/>
  <c r="C280" i="3"/>
  <c r="B280" i="3"/>
  <c r="Q279" i="3"/>
  <c r="P279" i="3"/>
  <c r="O279" i="3"/>
  <c r="N279" i="3"/>
  <c r="M279" i="3"/>
  <c r="L279" i="3"/>
  <c r="K279" i="3"/>
  <c r="J279" i="3"/>
  <c r="I279" i="3"/>
  <c r="H279" i="3"/>
  <c r="G279" i="3"/>
  <c r="E279" i="3"/>
  <c r="C279" i="3"/>
  <c r="B279" i="3"/>
  <c r="Q278" i="3"/>
  <c r="P278" i="3"/>
  <c r="O278" i="3"/>
  <c r="N278" i="3"/>
  <c r="M278" i="3"/>
  <c r="L278" i="3"/>
  <c r="K278" i="3"/>
  <c r="J278" i="3"/>
  <c r="I278" i="3"/>
  <c r="H278" i="3"/>
  <c r="G278" i="3"/>
  <c r="E278" i="3"/>
  <c r="C278" i="3"/>
  <c r="B278" i="3"/>
  <c r="Q277" i="3"/>
  <c r="P277" i="3"/>
  <c r="O277" i="3"/>
  <c r="N277" i="3"/>
  <c r="M277" i="3"/>
  <c r="L277" i="3"/>
  <c r="K277" i="3"/>
  <c r="J277" i="3"/>
  <c r="I277" i="3"/>
  <c r="H277" i="3"/>
  <c r="G277" i="3"/>
  <c r="E277" i="3"/>
  <c r="C277" i="3"/>
  <c r="B277" i="3"/>
  <c r="Q276" i="3"/>
  <c r="P276" i="3"/>
  <c r="O276" i="3"/>
  <c r="N276" i="3"/>
  <c r="M276" i="3"/>
  <c r="L276" i="3"/>
  <c r="K276" i="3"/>
  <c r="J276" i="3"/>
  <c r="I276" i="3"/>
  <c r="H276" i="3"/>
  <c r="G276" i="3"/>
  <c r="E276" i="3"/>
  <c r="C276" i="3"/>
  <c r="B276" i="3"/>
  <c r="Q275" i="3"/>
  <c r="P275" i="3"/>
  <c r="O275" i="3"/>
  <c r="N275" i="3"/>
  <c r="M275" i="3"/>
  <c r="L275" i="3"/>
  <c r="K275" i="3"/>
  <c r="J275" i="3"/>
  <c r="I275" i="3"/>
  <c r="H275" i="3"/>
  <c r="G275" i="3"/>
  <c r="E275" i="3"/>
  <c r="C275" i="3"/>
  <c r="B275" i="3"/>
  <c r="Q274" i="3"/>
  <c r="P274" i="3"/>
  <c r="O274" i="3"/>
  <c r="N274" i="3"/>
  <c r="M274" i="3"/>
  <c r="L274" i="3"/>
  <c r="K274" i="3"/>
  <c r="J274" i="3"/>
  <c r="I274" i="3"/>
  <c r="H274" i="3"/>
  <c r="G274" i="3"/>
  <c r="E274" i="3"/>
  <c r="C274" i="3"/>
  <c r="B274" i="3"/>
  <c r="Q273" i="3"/>
  <c r="P273" i="3"/>
  <c r="O273" i="3"/>
  <c r="N273" i="3"/>
  <c r="M273" i="3"/>
  <c r="L273" i="3"/>
  <c r="K273" i="3"/>
  <c r="J273" i="3"/>
  <c r="I273" i="3"/>
  <c r="H273" i="3"/>
  <c r="G273" i="3"/>
  <c r="E273" i="3"/>
  <c r="C273" i="3"/>
  <c r="B273" i="3"/>
  <c r="Q272" i="3"/>
  <c r="P272" i="3"/>
  <c r="O272" i="3"/>
  <c r="N272" i="3"/>
  <c r="M272" i="3"/>
  <c r="L272" i="3"/>
  <c r="K272" i="3"/>
  <c r="J272" i="3"/>
  <c r="I272" i="3"/>
  <c r="H272" i="3"/>
  <c r="G272" i="3"/>
  <c r="E272" i="3"/>
  <c r="C272" i="3"/>
  <c r="B272" i="3"/>
  <c r="Q271" i="3"/>
  <c r="P271" i="3"/>
  <c r="O271" i="3"/>
  <c r="N271" i="3"/>
  <c r="M271" i="3"/>
  <c r="L271" i="3"/>
  <c r="K271" i="3"/>
  <c r="J271" i="3"/>
  <c r="I271" i="3"/>
  <c r="H271" i="3"/>
  <c r="G271" i="3"/>
  <c r="E271" i="3"/>
  <c r="C271" i="3"/>
  <c r="B271" i="3"/>
  <c r="Q270" i="3"/>
  <c r="P270" i="3"/>
  <c r="O270" i="3"/>
  <c r="N270" i="3"/>
  <c r="M270" i="3"/>
  <c r="L270" i="3"/>
  <c r="K270" i="3"/>
  <c r="J270" i="3"/>
  <c r="I270" i="3"/>
  <c r="H270" i="3"/>
  <c r="G270" i="3"/>
  <c r="E270" i="3"/>
  <c r="C270" i="3"/>
  <c r="B270" i="3"/>
  <c r="Q269" i="3"/>
  <c r="P269" i="3"/>
  <c r="O269" i="3"/>
  <c r="N269" i="3"/>
  <c r="M269" i="3"/>
  <c r="L269" i="3"/>
  <c r="K269" i="3"/>
  <c r="J269" i="3"/>
  <c r="I269" i="3"/>
  <c r="H269" i="3"/>
  <c r="G269" i="3"/>
  <c r="E269" i="3"/>
  <c r="C269" i="3"/>
  <c r="B269" i="3"/>
  <c r="Q268" i="3"/>
  <c r="P268" i="3"/>
  <c r="O268" i="3"/>
  <c r="N268" i="3"/>
  <c r="M268" i="3"/>
  <c r="L268" i="3"/>
  <c r="K268" i="3"/>
  <c r="J268" i="3"/>
  <c r="I268" i="3"/>
  <c r="H268" i="3"/>
  <c r="G268" i="3"/>
  <c r="E268" i="3"/>
  <c r="C268" i="3"/>
  <c r="B268" i="3"/>
  <c r="Q267" i="3"/>
  <c r="P267" i="3"/>
  <c r="O267" i="3"/>
  <c r="N267" i="3"/>
  <c r="M267" i="3"/>
  <c r="L267" i="3"/>
  <c r="K267" i="3"/>
  <c r="J267" i="3"/>
  <c r="I267" i="3"/>
  <c r="H267" i="3"/>
  <c r="G267" i="3"/>
  <c r="E267" i="3"/>
  <c r="C267" i="3"/>
  <c r="B267" i="3"/>
  <c r="Q266" i="3"/>
  <c r="P266" i="3"/>
  <c r="O266" i="3"/>
  <c r="N266" i="3"/>
  <c r="M266" i="3"/>
  <c r="L266" i="3"/>
  <c r="K266" i="3"/>
  <c r="J266" i="3"/>
  <c r="I266" i="3"/>
  <c r="H266" i="3"/>
  <c r="G266" i="3"/>
  <c r="E266" i="3"/>
  <c r="C266" i="3"/>
  <c r="B266" i="3"/>
  <c r="Q265" i="3"/>
  <c r="P265" i="3"/>
  <c r="O265" i="3"/>
  <c r="N265" i="3"/>
  <c r="M265" i="3"/>
  <c r="L265" i="3"/>
  <c r="K265" i="3"/>
  <c r="J265" i="3"/>
  <c r="I265" i="3"/>
  <c r="H265" i="3"/>
  <c r="G265" i="3"/>
  <c r="E265" i="3"/>
  <c r="C265" i="3"/>
  <c r="B265" i="3"/>
  <c r="Q264" i="3"/>
  <c r="P264" i="3"/>
  <c r="O264" i="3"/>
  <c r="N264" i="3"/>
  <c r="M264" i="3"/>
  <c r="L264" i="3"/>
  <c r="K264" i="3"/>
  <c r="J264" i="3"/>
  <c r="I264" i="3"/>
  <c r="H264" i="3"/>
  <c r="G264" i="3"/>
  <c r="E264" i="3"/>
  <c r="C264" i="3"/>
  <c r="B264" i="3"/>
  <c r="Q263" i="3"/>
  <c r="P263" i="3"/>
  <c r="O263" i="3"/>
  <c r="N263" i="3"/>
  <c r="M263" i="3"/>
  <c r="L263" i="3"/>
  <c r="K263" i="3"/>
  <c r="J263" i="3"/>
  <c r="I263" i="3"/>
  <c r="H263" i="3"/>
  <c r="G263" i="3"/>
  <c r="E263" i="3"/>
  <c r="C263" i="3"/>
  <c r="B263" i="3"/>
  <c r="Q262" i="3"/>
  <c r="P262" i="3"/>
  <c r="O262" i="3"/>
  <c r="N262" i="3"/>
  <c r="M262" i="3"/>
  <c r="L262" i="3"/>
  <c r="K262" i="3"/>
  <c r="J262" i="3"/>
  <c r="I262" i="3"/>
  <c r="H262" i="3"/>
  <c r="G262" i="3"/>
  <c r="E262" i="3"/>
  <c r="C262" i="3"/>
  <c r="B262" i="3"/>
  <c r="Q261" i="3"/>
  <c r="P261" i="3"/>
  <c r="O261" i="3"/>
  <c r="N261" i="3"/>
  <c r="M261" i="3"/>
  <c r="L261" i="3"/>
  <c r="K261" i="3"/>
  <c r="J261" i="3"/>
  <c r="I261" i="3"/>
  <c r="H261" i="3"/>
  <c r="G261" i="3"/>
  <c r="E261" i="3"/>
  <c r="C261" i="3"/>
  <c r="B261" i="3"/>
  <c r="Q260" i="3"/>
  <c r="P260" i="3"/>
  <c r="O260" i="3"/>
  <c r="N260" i="3"/>
  <c r="M260" i="3"/>
  <c r="L260" i="3"/>
  <c r="K260" i="3"/>
  <c r="J260" i="3"/>
  <c r="I260" i="3"/>
  <c r="H260" i="3"/>
  <c r="G260" i="3"/>
  <c r="E260" i="3"/>
  <c r="C260" i="3"/>
  <c r="B260" i="3"/>
  <c r="Q259" i="3"/>
  <c r="P259" i="3"/>
  <c r="O259" i="3"/>
  <c r="N259" i="3"/>
  <c r="M259" i="3"/>
  <c r="L259" i="3"/>
  <c r="K259" i="3"/>
  <c r="J259" i="3"/>
  <c r="I259" i="3"/>
  <c r="H259" i="3"/>
  <c r="G259" i="3"/>
  <c r="E259" i="3"/>
  <c r="C259" i="3"/>
  <c r="B259" i="3"/>
  <c r="Q258" i="3"/>
  <c r="P258" i="3"/>
  <c r="O258" i="3"/>
  <c r="N258" i="3"/>
  <c r="M258" i="3"/>
  <c r="L258" i="3"/>
  <c r="K258" i="3"/>
  <c r="J258" i="3"/>
  <c r="I258" i="3"/>
  <c r="H258" i="3"/>
  <c r="G258" i="3"/>
  <c r="E258" i="3"/>
  <c r="C258" i="3"/>
  <c r="B258" i="3"/>
  <c r="Q257" i="3"/>
  <c r="P257" i="3"/>
  <c r="O257" i="3"/>
  <c r="N257" i="3"/>
  <c r="M257" i="3"/>
  <c r="L257" i="3"/>
  <c r="K257" i="3"/>
  <c r="J257" i="3"/>
  <c r="I257" i="3"/>
  <c r="H257" i="3"/>
  <c r="G257" i="3"/>
  <c r="E257" i="3"/>
  <c r="C257" i="3"/>
  <c r="B257" i="3"/>
  <c r="Q256" i="3"/>
  <c r="P256" i="3"/>
  <c r="O256" i="3"/>
  <c r="N256" i="3"/>
  <c r="M256" i="3"/>
  <c r="L256" i="3"/>
  <c r="K256" i="3"/>
  <c r="J256" i="3"/>
  <c r="I256" i="3"/>
  <c r="H256" i="3"/>
  <c r="G256" i="3"/>
  <c r="E256" i="3"/>
  <c r="C256" i="3"/>
  <c r="B256" i="3"/>
  <c r="Q255" i="3"/>
  <c r="P255" i="3"/>
  <c r="O255" i="3"/>
  <c r="N255" i="3"/>
  <c r="M255" i="3"/>
  <c r="L255" i="3"/>
  <c r="K255" i="3"/>
  <c r="J255" i="3"/>
  <c r="I255" i="3"/>
  <c r="H255" i="3"/>
  <c r="G255" i="3"/>
  <c r="E255" i="3"/>
  <c r="C255" i="3"/>
  <c r="B255" i="3"/>
  <c r="Q254" i="3"/>
  <c r="P254" i="3"/>
  <c r="O254" i="3"/>
  <c r="N254" i="3"/>
  <c r="M254" i="3"/>
  <c r="L254" i="3"/>
  <c r="K254" i="3"/>
  <c r="J254" i="3"/>
  <c r="I254" i="3"/>
  <c r="H254" i="3"/>
  <c r="G254" i="3"/>
  <c r="E254" i="3"/>
  <c r="C254" i="3"/>
  <c r="B254" i="3"/>
  <c r="Q253" i="3"/>
  <c r="P253" i="3"/>
  <c r="O253" i="3"/>
  <c r="N253" i="3"/>
  <c r="M253" i="3"/>
  <c r="L253" i="3"/>
  <c r="K253" i="3"/>
  <c r="J253" i="3"/>
  <c r="I253" i="3"/>
  <c r="H253" i="3"/>
  <c r="G253" i="3"/>
  <c r="E253" i="3"/>
  <c r="C253" i="3"/>
  <c r="B253" i="3"/>
  <c r="Q252" i="3"/>
  <c r="P252" i="3"/>
  <c r="O252" i="3"/>
  <c r="N252" i="3"/>
  <c r="M252" i="3"/>
  <c r="L252" i="3"/>
  <c r="K252" i="3"/>
  <c r="J252" i="3"/>
  <c r="I252" i="3"/>
  <c r="H252" i="3"/>
  <c r="G252" i="3"/>
  <c r="E252" i="3"/>
  <c r="C252" i="3"/>
  <c r="B252" i="3"/>
  <c r="Q251" i="3"/>
  <c r="P251" i="3"/>
  <c r="O251" i="3"/>
  <c r="N251" i="3"/>
  <c r="M251" i="3"/>
  <c r="L251" i="3"/>
  <c r="K251" i="3"/>
  <c r="J251" i="3"/>
  <c r="I251" i="3"/>
  <c r="H251" i="3"/>
  <c r="G251" i="3"/>
  <c r="E251" i="3"/>
  <c r="C251" i="3"/>
  <c r="B251" i="3"/>
  <c r="Q250" i="3"/>
  <c r="P250" i="3"/>
  <c r="O250" i="3"/>
  <c r="N250" i="3"/>
  <c r="M250" i="3"/>
  <c r="L250" i="3"/>
  <c r="K250" i="3"/>
  <c r="J250" i="3"/>
  <c r="I250" i="3"/>
  <c r="H250" i="3"/>
  <c r="G250" i="3"/>
  <c r="E250" i="3"/>
  <c r="C250" i="3"/>
  <c r="B250" i="3"/>
  <c r="Q249" i="3"/>
  <c r="P249" i="3"/>
  <c r="O249" i="3"/>
  <c r="N249" i="3"/>
  <c r="M249" i="3"/>
  <c r="L249" i="3"/>
  <c r="K249" i="3"/>
  <c r="J249" i="3"/>
  <c r="I249" i="3"/>
  <c r="H249" i="3"/>
  <c r="G249" i="3"/>
  <c r="E249" i="3"/>
  <c r="C249" i="3"/>
  <c r="B249" i="3"/>
  <c r="Q248" i="3"/>
  <c r="P248" i="3"/>
  <c r="O248" i="3"/>
  <c r="N248" i="3"/>
  <c r="M248" i="3"/>
  <c r="L248" i="3"/>
  <c r="K248" i="3"/>
  <c r="J248" i="3"/>
  <c r="I248" i="3"/>
  <c r="H248" i="3"/>
  <c r="G248" i="3"/>
  <c r="E248" i="3"/>
  <c r="C248" i="3"/>
  <c r="B248" i="3"/>
  <c r="Q247" i="3"/>
  <c r="P247" i="3"/>
  <c r="O247" i="3"/>
  <c r="N247" i="3"/>
  <c r="M247" i="3"/>
  <c r="L247" i="3"/>
  <c r="K247" i="3"/>
  <c r="J247" i="3"/>
  <c r="I247" i="3"/>
  <c r="H247" i="3"/>
  <c r="G247" i="3"/>
  <c r="E247" i="3"/>
  <c r="C247" i="3"/>
  <c r="B247" i="3"/>
  <c r="Q246" i="3"/>
  <c r="P246" i="3"/>
  <c r="O246" i="3"/>
  <c r="N246" i="3"/>
  <c r="M246" i="3"/>
  <c r="L246" i="3"/>
  <c r="K246" i="3"/>
  <c r="J246" i="3"/>
  <c r="I246" i="3"/>
  <c r="H246" i="3"/>
  <c r="G246" i="3"/>
  <c r="E246" i="3"/>
  <c r="C246" i="3"/>
  <c r="B246" i="3"/>
  <c r="Q245" i="3"/>
  <c r="P245" i="3"/>
  <c r="O245" i="3"/>
  <c r="N245" i="3"/>
  <c r="M245" i="3"/>
  <c r="L245" i="3"/>
  <c r="K245" i="3"/>
  <c r="J245" i="3"/>
  <c r="I245" i="3"/>
  <c r="H245" i="3"/>
  <c r="G245" i="3"/>
  <c r="E245" i="3"/>
  <c r="C245" i="3"/>
  <c r="B245" i="3"/>
  <c r="Q244" i="3"/>
  <c r="P244" i="3"/>
  <c r="O244" i="3"/>
  <c r="N244" i="3"/>
  <c r="M244" i="3"/>
  <c r="L244" i="3"/>
  <c r="K244" i="3"/>
  <c r="J244" i="3"/>
  <c r="I244" i="3"/>
  <c r="H244" i="3"/>
  <c r="G244" i="3"/>
  <c r="E244" i="3"/>
  <c r="C244" i="3"/>
  <c r="B244" i="3"/>
  <c r="Q243" i="3"/>
  <c r="P243" i="3"/>
  <c r="O243" i="3"/>
  <c r="N243" i="3"/>
  <c r="M243" i="3"/>
  <c r="L243" i="3"/>
  <c r="K243" i="3"/>
  <c r="J243" i="3"/>
  <c r="I243" i="3"/>
  <c r="H243" i="3"/>
  <c r="G243" i="3"/>
  <c r="E243" i="3"/>
  <c r="C243" i="3"/>
  <c r="B243" i="3"/>
  <c r="Q242" i="3"/>
  <c r="P242" i="3"/>
  <c r="O242" i="3"/>
  <c r="N242" i="3"/>
  <c r="M242" i="3"/>
  <c r="L242" i="3"/>
  <c r="K242" i="3"/>
  <c r="J242" i="3"/>
  <c r="I242" i="3"/>
  <c r="H242" i="3"/>
  <c r="G242" i="3"/>
  <c r="E242" i="3"/>
  <c r="C242" i="3"/>
  <c r="B242" i="3"/>
  <c r="Q241" i="3"/>
  <c r="P241" i="3"/>
  <c r="O241" i="3"/>
  <c r="N241" i="3"/>
  <c r="M241" i="3"/>
  <c r="L241" i="3"/>
  <c r="K241" i="3"/>
  <c r="J241" i="3"/>
  <c r="I241" i="3"/>
  <c r="H241" i="3"/>
  <c r="G241" i="3"/>
  <c r="E241" i="3"/>
  <c r="C241" i="3"/>
  <c r="B241" i="3"/>
  <c r="Q240" i="3"/>
  <c r="P240" i="3"/>
  <c r="O240" i="3"/>
  <c r="N240" i="3"/>
  <c r="M240" i="3"/>
  <c r="L240" i="3"/>
  <c r="K240" i="3"/>
  <c r="J240" i="3"/>
  <c r="I240" i="3"/>
  <c r="H240" i="3"/>
  <c r="G240" i="3"/>
  <c r="E240" i="3"/>
  <c r="C240" i="3"/>
  <c r="B240" i="3"/>
  <c r="Q239" i="3"/>
  <c r="P239" i="3"/>
  <c r="O239" i="3"/>
  <c r="N239" i="3"/>
  <c r="M239" i="3"/>
  <c r="L239" i="3"/>
  <c r="K239" i="3"/>
  <c r="J239" i="3"/>
  <c r="I239" i="3"/>
  <c r="H239" i="3"/>
  <c r="G239" i="3"/>
  <c r="E239" i="3"/>
  <c r="C239" i="3"/>
  <c r="B239" i="3"/>
  <c r="Q238" i="3"/>
  <c r="P238" i="3"/>
  <c r="O238" i="3"/>
  <c r="N238" i="3"/>
  <c r="M238" i="3"/>
  <c r="L238" i="3"/>
  <c r="K238" i="3"/>
  <c r="J238" i="3"/>
  <c r="I238" i="3"/>
  <c r="H238" i="3"/>
  <c r="G238" i="3"/>
  <c r="E238" i="3"/>
  <c r="C238" i="3"/>
  <c r="B238" i="3"/>
  <c r="Q237" i="3"/>
  <c r="P237" i="3"/>
  <c r="O237" i="3"/>
  <c r="N237" i="3"/>
  <c r="M237" i="3"/>
  <c r="L237" i="3"/>
  <c r="K237" i="3"/>
  <c r="J237" i="3"/>
  <c r="I237" i="3"/>
  <c r="H237" i="3"/>
  <c r="G237" i="3"/>
  <c r="E237" i="3"/>
  <c r="C237" i="3"/>
  <c r="B237" i="3"/>
  <c r="Q236" i="3"/>
  <c r="P236" i="3"/>
  <c r="O236" i="3"/>
  <c r="N236" i="3"/>
  <c r="M236" i="3"/>
  <c r="L236" i="3"/>
  <c r="K236" i="3"/>
  <c r="J236" i="3"/>
  <c r="I236" i="3"/>
  <c r="H236" i="3"/>
  <c r="G236" i="3"/>
  <c r="E236" i="3"/>
  <c r="C236" i="3"/>
  <c r="B236" i="3"/>
  <c r="Q235" i="3"/>
  <c r="P235" i="3"/>
  <c r="O235" i="3"/>
  <c r="N235" i="3"/>
  <c r="M235" i="3"/>
  <c r="L235" i="3"/>
  <c r="K235" i="3"/>
  <c r="J235" i="3"/>
  <c r="I235" i="3"/>
  <c r="H235" i="3"/>
  <c r="G235" i="3"/>
  <c r="E235" i="3"/>
  <c r="C235" i="3"/>
  <c r="B235" i="3"/>
  <c r="Q234" i="3"/>
  <c r="P234" i="3"/>
  <c r="O234" i="3"/>
  <c r="N234" i="3"/>
  <c r="M234" i="3"/>
  <c r="L234" i="3"/>
  <c r="K234" i="3"/>
  <c r="J234" i="3"/>
  <c r="I234" i="3"/>
  <c r="H234" i="3"/>
  <c r="G234" i="3"/>
  <c r="E234" i="3"/>
  <c r="C234" i="3"/>
  <c r="B234" i="3"/>
  <c r="Q233" i="3"/>
  <c r="P233" i="3"/>
  <c r="O233" i="3"/>
  <c r="N233" i="3"/>
  <c r="M233" i="3"/>
  <c r="L233" i="3"/>
  <c r="K233" i="3"/>
  <c r="J233" i="3"/>
  <c r="I233" i="3"/>
  <c r="H233" i="3"/>
  <c r="G233" i="3"/>
  <c r="E233" i="3"/>
  <c r="C233" i="3"/>
  <c r="B233" i="3"/>
  <c r="Q232" i="3"/>
  <c r="P232" i="3"/>
  <c r="O232" i="3"/>
  <c r="N232" i="3"/>
  <c r="M232" i="3"/>
  <c r="L232" i="3"/>
  <c r="K232" i="3"/>
  <c r="J232" i="3"/>
  <c r="I232" i="3"/>
  <c r="H232" i="3"/>
  <c r="G232" i="3"/>
  <c r="E232" i="3"/>
  <c r="C232" i="3"/>
  <c r="B232" i="3"/>
  <c r="Q231" i="3"/>
  <c r="P231" i="3"/>
  <c r="O231" i="3"/>
  <c r="N231" i="3"/>
  <c r="M231" i="3"/>
  <c r="L231" i="3"/>
  <c r="K231" i="3"/>
  <c r="J231" i="3"/>
  <c r="I231" i="3"/>
  <c r="H231" i="3"/>
  <c r="G231" i="3"/>
  <c r="E231" i="3"/>
  <c r="C231" i="3"/>
  <c r="B231" i="3"/>
  <c r="Q230" i="3"/>
  <c r="P230" i="3"/>
  <c r="O230" i="3"/>
  <c r="N230" i="3"/>
  <c r="M230" i="3"/>
  <c r="L230" i="3"/>
  <c r="K230" i="3"/>
  <c r="J230" i="3"/>
  <c r="I230" i="3"/>
  <c r="H230" i="3"/>
  <c r="G230" i="3"/>
  <c r="E230" i="3"/>
  <c r="C230" i="3"/>
  <c r="B230" i="3"/>
  <c r="Q229" i="3"/>
  <c r="P229" i="3"/>
  <c r="O229" i="3"/>
  <c r="N229" i="3"/>
  <c r="M229" i="3"/>
  <c r="L229" i="3"/>
  <c r="K229" i="3"/>
  <c r="J229" i="3"/>
  <c r="I229" i="3"/>
  <c r="H229" i="3"/>
  <c r="G229" i="3"/>
  <c r="E229" i="3"/>
  <c r="C229" i="3"/>
  <c r="B229" i="3"/>
  <c r="Q228" i="3"/>
  <c r="P228" i="3"/>
  <c r="O228" i="3"/>
  <c r="N228" i="3"/>
  <c r="M228" i="3"/>
  <c r="L228" i="3"/>
  <c r="K228" i="3"/>
  <c r="J228" i="3"/>
  <c r="I228" i="3"/>
  <c r="H228" i="3"/>
  <c r="G228" i="3"/>
  <c r="E228" i="3"/>
  <c r="C228" i="3"/>
  <c r="B228" i="3"/>
  <c r="Q227" i="3"/>
  <c r="P227" i="3"/>
  <c r="O227" i="3"/>
  <c r="N227" i="3"/>
  <c r="M227" i="3"/>
  <c r="L227" i="3"/>
  <c r="K227" i="3"/>
  <c r="J227" i="3"/>
  <c r="I227" i="3"/>
  <c r="H227" i="3"/>
  <c r="G227" i="3"/>
  <c r="E227" i="3"/>
  <c r="C227" i="3"/>
  <c r="B227" i="3"/>
  <c r="Q226" i="3"/>
  <c r="P226" i="3"/>
  <c r="O226" i="3"/>
  <c r="N226" i="3"/>
  <c r="M226" i="3"/>
  <c r="L226" i="3"/>
  <c r="K226" i="3"/>
  <c r="J226" i="3"/>
  <c r="I226" i="3"/>
  <c r="H226" i="3"/>
  <c r="G226" i="3"/>
  <c r="E226" i="3"/>
  <c r="C226" i="3"/>
  <c r="B226" i="3"/>
  <c r="Q225" i="3"/>
  <c r="P225" i="3"/>
  <c r="O225" i="3"/>
  <c r="N225" i="3"/>
  <c r="M225" i="3"/>
  <c r="L225" i="3"/>
  <c r="K225" i="3"/>
  <c r="J225" i="3"/>
  <c r="I225" i="3"/>
  <c r="H225" i="3"/>
  <c r="G225" i="3"/>
  <c r="E225" i="3"/>
  <c r="C225" i="3"/>
  <c r="B225" i="3"/>
  <c r="Q224" i="3"/>
  <c r="P224" i="3"/>
  <c r="O224" i="3"/>
  <c r="N224" i="3"/>
  <c r="M224" i="3"/>
  <c r="L224" i="3"/>
  <c r="K224" i="3"/>
  <c r="J224" i="3"/>
  <c r="I224" i="3"/>
  <c r="H224" i="3"/>
  <c r="G224" i="3"/>
  <c r="E224" i="3"/>
  <c r="C224" i="3"/>
  <c r="B224" i="3"/>
  <c r="Q223" i="3"/>
  <c r="P223" i="3"/>
  <c r="O223" i="3"/>
  <c r="N223" i="3"/>
  <c r="M223" i="3"/>
  <c r="L223" i="3"/>
  <c r="K223" i="3"/>
  <c r="J223" i="3"/>
  <c r="I223" i="3"/>
  <c r="H223" i="3"/>
  <c r="G223" i="3"/>
  <c r="E223" i="3"/>
  <c r="C223" i="3"/>
  <c r="B223" i="3"/>
  <c r="Q222" i="3"/>
  <c r="P222" i="3"/>
  <c r="O222" i="3"/>
  <c r="N222" i="3"/>
  <c r="M222" i="3"/>
  <c r="L222" i="3"/>
  <c r="K222" i="3"/>
  <c r="J222" i="3"/>
  <c r="I222" i="3"/>
  <c r="H222" i="3"/>
  <c r="G222" i="3"/>
  <c r="E222" i="3"/>
  <c r="C222" i="3"/>
  <c r="B222" i="3"/>
  <c r="Q221" i="3"/>
  <c r="P221" i="3"/>
  <c r="O221" i="3"/>
  <c r="N221" i="3"/>
  <c r="M221" i="3"/>
  <c r="L221" i="3"/>
  <c r="K221" i="3"/>
  <c r="J221" i="3"/>
  <c r="I221" i="3"/>
  <c r="H221" i="3"/>
  <c r="G221" i="3"/>
  <c r="E221" i="3"/>
  <c r="C221" i="3"/>
  <c r="B221" i="3"/>
  <c r="Q220" i="3"/>
  <c r="P220" i="3"/>
  <c r="O220" i="3"/>
  <c r="N220" i="3"/>
  <c r="M220" i="3"/>
  <c r="L220" i="3"/>
  <c r="K220" i="3"/>
  <c r="J220" i="3"/>
  <c r="I220" i="3"/>
  <c r="H220" i="3"/>
  <c r="G220" i="3"/>
  <c r="E220" i="3"/>
  <c r="C220" i="3"/>
  <c r="B220" i="3"/>
  <c r="Q219" i="3"/>
  <c r="P219" i="3"/>
  <c r="O219" i="3"/>
  <c r="N219" i="3"/>
  <c r="M219" i="3"/>
  <c r="L219" i="3"/>
  <c r="K219" i="3"/>
  <c r="J219" i="3"/>
  <c r="I219" i="3"/>
  <c r="H219" i="3"/>
  <c r="G219" i="3"/>
  <c r="E219" i="3"/>
  <c r="C219" i="3"/>
  <c r="B219" i="3"/>
  <c r="Q218" i="3"/>
  <c r="P218" i="3"/>
  <c r="O218" i="3"/>
  <c r="N218" i="3"/>
  <c r="M218" i="3"/>
  <c r="L218" i="3"/>
  <c r="K218" i="3"/>
  <c r="J218" i="3"/>
  <c r="I218" i="3"/>
  <c r="H218" i="3"/>
  <c r="G218" i="3"/>
  <c r="E218" i="3"/>
  <c r="C218" i="3"/>
  <c r="B218" i="3"/>
  <c r="Q217" i="3"/>
  <c r="P217" i="3"/>
  <c r="O217" i="3"/>
  <c r="N217" i="3"/>
  <c r="M217" i="3"/>
  <c r="L217" i="3"/>
  <c r="K217" i="3"/>
  <c r="J217" i="3"/>
  <c r="I217" i="3"/>
  <c r="H217" i="3"/>
  <c r="G217" i="3"/>
  <c r="E217" i="3"/>
  <c r="C217" i="3"/>
  <c r="B217" i="3"/>
  <c r="Q216" i="3"/>
  <c r="P216" i="3"/>
  <c r="O216" i="3"/>
  <c r="N216" i="3"/>
  <c r="M216" i="3"/>
  <c r="L216" i="3"/>
  <c r="K216" i="3"/>
  <c r="J216" i="3"/>
  <c r="I216" i="3"/>
  <c r="H216" i="3"/>
  <c r="G216" i="3"/>
  <c r="E216" i="3"/>
  <c r="C216" i="3"/>
  <c r="B216" i="3"/>
  <c r="Q215" i="3"/>
  <c r="P215" i="3"/>
  <c r="O215" i="3"/>
  <c r="N215" i="3"/>
  <c r="M215" i="3"/>
  <c r="L215" i="3"/>
  <c r="K215" i="3"/>
  <c r="J215" i="3"/>
  <c r="I215" i="3"/>
  <c r="H215" i="3"/>
  <c r="G215" i="3"/>
  <c r="E215" i="3"/>
  <c r="C215" i="3"/>
  <c r="B215" i="3"/>
  <c r="Q214" i="3"/>
  <c r="P214" i="3"/>
  <c r="O214" i="3"/>
  <c r="N214" i="3"/>
  <c r="M214" i="3"/>
  <c r="L214" i="3"/>
  <c r="K214" i="3"/>
  <c r="J214" i="3"/>
  <c r="I214" i="3"/>
  <c r="H214" i="3"/>
  <c r="G214" i="3"/>
  <c r="E214" i="3"/>
  <c r="C214" i="3"/>
  <c r="B214" i="3"/>
  <c r="Q213" i="3"/>
  <c r="P213" i="3"/>
  <c r="O213" i="3"/>
  <c r="N213" i="3"/>
  <c r="M213" i="3"/>
  <c r="L213" i="3"/>
  <c r="K213" i="3"/>
  <c r="J213" i="3"/>
  <c r="I213" i="3"/>
  <c r="H213" i="3"/>
  <c r="G213" i="3"/>
  <c r="E213" i="3"/>
  <c r="C213" i="3"/>
  <c r="B213" i="3"/>
  <c r="Q212" i="3"/>
  <c r="P212" i="3"/>
  <c r="O212" i="3"/>
  <c r="N212" i="3"/>
  <c r="M212" i="3"/>
  <c r="L212" i="3"/>
  <c r="K212" i="3"/>
  <c r="J212" i="3"/>
  <c r="I212" i="3"/>
  <c r="H212" i="3"/>
  <c r="G212" i="3"/>
  <c r="E212" i="3"/>
  <c r="C212" i="3"/>
  <c r="B212" i="3"/>
  <c r="Q211" i="3"/>
  <c r="P211" i="3"/>
  <c r="O211" i="3"/>
  <c r="N211" i="3"/>
  <c r="M211" i="3"/>
  <c r="L211" i="3"/>
  <c r="K211" i="3"/>
  <c r="J211" i="3"/>
  <c r="I211" i="3"/>
  <c r="H211" i="3"/>
  <c r="G211" i="3"/>
  <c r="E211" i="3"/>
  <c r="C211" i="3"/>
  <c r="B211" i="3"/>
  <c r="Q210" i="3"/>
  <c r="P210" i="3"/>
  <c r="O210" i="3"/>
  <c r="N210" i="3"/>
  <c r="M210" i="3"/>
  <c r="L210" i="3"/>
  <c r="K210" i="3"/>
  <c r="J210" i="3"/>
  <c r="I210" i="3"/>
  <c r="H210" i="3"/>
  <c r="G210" i="3"/>
  <c r="E210" i="3"/>
  <c r="C210" i="3"/>
  <c r="B210" i="3"/>
  <c r="Q209" i="3"/>
  <c r="P209" i="3"/>
  <c r="O209" i="3"/>
  <c r="N209" i="3"/>
  <c r="M209" i="3"/>
  <c r="L209" i="3"/>
  <c r="K209" i="3"/>
  <c r="J209" i="3"/>
  <c r="I209" i="3"/>
  <c r="H209" i="3"/>
  <c r="G209" i="3"/>
  <c r="E209" i="3"/>
  <c r="C209" i="3"/>
  <c r="B209" i="3"/>
  <c r="Q208" i="3"/>
  <c r="P208" i="3"/>
  <c r="O208" i="3"/>
  <c r="N208" i="3"/>
  <c r="M208" i="3"/>
  <c r="L208" i="3"/>
  <c r="K208" i="3"/>
  <c r="J208" i="3"/>
  <c r="I208" i="3"/>
  <c r="H208" i="3"/>
  <c r="G208" i="3"/>
  <c r="E208" i="3"/>
  <c r="C208" i="3"/>
  <c r="B208" i="3"/>
  <c r="Q207" i="3"/>
  <c r="P207" i="3"/>
  <c r="O207" i="3"/>
  <c r="N207" i="3"/>
  <c r="M207" i="3"/>
  <c r="L207" i="3"/>
  <c r="K207" i="3"/>
  <c r="J207" i="3"/>
  <c r="I207" i="3"/>
  <c r="H207" i="3"/>
  <c r="G207" i="3"/>
  <c r="E207" i="3"/>
  <c r="C207" i="3"/>
  <c r="B207" i="3"/>
  <c r="Q206" i="3"/>
  <c r="P206" i="3"/>
  <c r="O206" i="3"/>
  <c r="N206" i="3"/>
  <c r="M206" i="3"/>
  <c r="L206" i="3"/>
  <c r="K206" i="3"/>
  <c r="J206" i="3"/>
  <c r="I206" i="3"/>
  <c r="H206" i="3"/>
  <c r="G206" i="3"/>
  <c r="E206" i="3"/>
  <c r="C206" i="3"/>
  <c r="B206" i="3"/>
  <c r="Q205" i="3"/>
  <c r="P205" i="3"/>
  <c r="O205" i="3"/>
  <c r="N205" i="3"/>
  <c r="M205" i="3"/>
  <c r="L205" i="3"/>
  <c r="K205" i="3"/>
  <c r="J205" i="3"/>
  <c r="I205" i="3"/>
  <c r="H205" i="3"/>
  <c r="G205" i="3"/>
  <c r="E205" i="3"/>
  <c r="C205" i="3"/>
  <c r="B205" i="3"/>
  <c r="Q204" i="3"/>
  <c r="P204" i="3"/>
  <c r="O204" i="3"/>
  <c r="N204" i="3"/>
  <c r="M204" i="3"/>
  <c r="L204" i="3"/>
  <c r="K204" i="3"/>
  <c r="J204" i="3"/>
  <c r="I204" i="3"/>
  <c r="H204" i="3"/>
  <c r="G204" i="3"/>
  <c r="E204" i="3"/>
  <c r="C204" i="3"/>
  <c r="B204" i="3"/>
  <c r="Q203" i="3"/>
  <c r="P203" i="3"/>
  <c r="O203" i="3"/>
  <c r="N203" i="3"/>
  <c r="M203" i="3"/>
  <c r="L203" i="3"/>
  <c r="K203" i="3"/>
  <c r="J203" i="3"/>
  <c r="I203" i="3"/>
  <c r="H203" i="3"/>
  <c r="G203" i="3"/>
  <c r="E203" i="3"/>
  <c r="C203" i="3"/>
  <c r="B203" i="3"/>
  <c r="Q202" i="3"/>
  <c r="P202" i="3"/>
  <c r="O202" i="3"/>
  <c r="N202" i="3"/>
  <c r="M202" i="3"/>
  <c r="L202" i="3"/>
  <c r="K202" i="3"/>
  <c r="J202" i="3"/>
  <c r="I202" i="3"/>
  <c r="H202" i="3"/>
  <c r="G202" i="3"/>
  <c r="E202" i="3"/>
  <c r="C202" i="3"/>
  <c r="B202" i="3"/>
  <c r="Q201" i="3"/>
  <c r="P201" i="3"/>
  <c r="O201" i="3"/>
  <c r="N201" i="3"/>
  <c r="M201" i="3"/>
  <c r="L201" i="3"/>
  <c r="K201" i="3"/>
  <c r="J201" i="3"/>
  <c r="I201" i="3"/>
  <c r="H201" i="3"/>
  <c r="G201" i="3"/>
  <c r="E201" i="3"/>
  <c r="C201" i="3"/>
  <c r="B201" i="3"/>
  <c r="Q200" i="3"/>
  <c r="P200" i="3"/>
  <c r="O200" i="3"/>
  <c r="N200" i="3"/>
  <c r="M200" i="3"/>
  <c r="L200" i="3"/>
  <c r="K200" i="3"/>
  <c r="J200" i="3"/>
  <c r="I200" i="3"/>
  <c r="H200" i="3"/>
  <c r="G200" i="3"/>
  <c r="E200" i="3"/>
  <c r="C200" i="3"/>
  <c r="B200" i="3"/>
  <c r="Q199" i="3"/>
  <c r="P199" i="3"/>
  <c r="O199" i="3"/>
  <c r="N199" i="3"/>
  <c r="M199" i="3"/>
  <c r="L199" i="3"/>
  <c r="K199" i="3"/>
  <c r="J199" i="3"/>
  <c r="I199" i="3"/>
  <c r="H199" i="3"/>
  <c r="G199" i="3"/>
  <c r="E199" i="3"/>
  <c r="C199" i="3"/>
  <c r="B199" i="3"/>
  <c r="Q198" i="3"/>
  <c r="P198" i="3"/>
  <c r="O198" i="3"/>
  <c r="N198" i="3"/>
  <c r="M198" i="3"/>
  <c r="L198" i="3"/>
  <c r="K198" i="3"/>
  <c r="J198" i="3"/>
  <c r="I198" i="3"/>
  <c r="H198" i="3"/>
  <c r="G198" i="3"/>
  <c r="E198" i="3"/>
  <c r="C198" i="3"/>
  <c r="B198" i="3"/>
  <c r="Q197" i="3"/>
  <c r="P197" i="3"/>
  <c r="O197" i="3"/>
  <c r="N197" i="3"/>
  <c r="M197" i="3"/>
  <c r="L197" i="3"/>
  <c r="K197" i="3"/>
  <c r="J197" i="3"/>
  <c r="I197" i="3"/>
  <c r="H197" i="3"/>
  <c r="G197" i="3"/>
  <c r="E197" i="3"/>
  <c r="C197" i="3"/>
  <c r="B197" i="3"/>
  <c r="Q196" i="3"/>
  <c r="P196" i="3"/>
  <c r="O196" i="3"/>
  <c r="N196" i="3"/>
  <c r="M196" i="3"/>
  <c r="L196" i="3"/>
  <c r="K196" i="3"/>
  <c r="J196" i="3"/>
  <c r="I196" i="3"/>
  <c r="H196" i="3"/>
  <c r="G196" i="3"/>
  <c r="E196" i="3"/>
  <c r="C196" i="3"/>
  <c r="B196" i="3"/>
  <c r="Q195" i="3"/>
  <c r="P195" i="3"/>
  <c r="O195" i="3"/>
  <c r="N195" i="3"/>
  <c r="M195" i="3"/>
  <c r="L195" i="3"/>
  <c r="K195" i="3"/>
  <c r="J195" i="3"/>
  <c r="I195" i="3"/>
  <c r="H195" i="3"/>
  <c r="G195" i="3"/>
  <c r="E195" i="3"/>
  <c r="C195" i="3"/>
  <c r="B195" i="3"/>
  <c r="Q194" i="3"/>
  <c r="P194" i="3"/>
  <c r="O194" i="3"/>
  <c r="N194" i="3"/>
  <c r="M194" i="3"/>
  <c r="L194" i="3"/>
  <c r="K194" i="3"/>
  <c r="J194" i="3"/>
  <c r="I194" i="3"/>
  <c r="H194" i="3"/>
  <c r="G194" i="3"/>
  <c r="E194" i="3"/>
  <c r="C194" i="3"/>
  <c r="B194" i="3"/>
  <c r="Q193" i="3"/>
  <c r="P193" i="3"/>
  <c r="O193" i="3"/>
  <c r="N193" i="3"/>
  <c r="M193" i="3"/>
  <c r="L193" i="3"/>
  <c r="K193" i="3"/>
  <c r="J193" i="3"/>
  <c r="I193" i="3"/>
  <c r="H193" i="3"/>
  <c r="G193" i="3"/>
  <c r="E193" i="3"/>
  <c r="C193" i="3"/>
  <c r="B193" i="3"/>
  <c r="Q192" i="3"/>
  <c r="P192" i="3"/>
  <c r="O192" i="3"/>
  <c r="N192" i="3"/>
  <c r="M192" i="3"/>
  <c r="L192" i="3"/>
  <c r="K192" i="3"/>
  <c r="J192" i="3"/>
  <c r="I192" i="3"/>
  <c r="H192" i="3"/>
  <c r="G192" i="3"/>
  <c r="E192" i="3"/>
  <c r="C192" i="3"/>
  <c r="B192" i="3"/>
  <c r="Q191" i="3"/>
  <c r="P191" i="3"/>
  <c r="O191" i="3"/>
  <c r="N191" i="3"/>
  <c r="M191" i="3"/>
  <c r="L191" i="3"/>
  <c r="K191" i="3"/>
  <c r="J191" i="3"/>
  <c r="I191" i="3"/>
  <c r="H191" i="3"/>
  <c r="G191" i="3"/>
  <c r="E191" i="3"/>
  <c r="C191" i="3"/>
  <c r="B191" i="3"/>
  <c r="Q190" i="3"/>
  <c r="P190" i="3"/>
  <c r="O190" i="3"/>
  <c r="N190" i="3"/>
  <c r="M190" i="3"/>
  <c r="L190" i="3"/>
  <c r="K190" i="3"/>
  <c r="J190" i="3"/>
  <c r="I190" i="3"/>
  <c r="H190" i="3"/>
  <c r="G190" i="3"/>
  <c r="E190" i="3"/>
  <c r="C190" i="3"/>
  <c r="B190" i="3"/>
  <c r="Q189" i="3"/>
  <c r="P189" i="3"/>
  <c r="O189" i="3"/>
  <c r="N189" i="3"/>
  <c r="M189" i="3"/>
  <c r="L189" i="3"/>
  <c r="K189" i="3"/>
  <c r="J189" i="3"/>
  <c r="I189" i="3"/>
  <c r="H189" i="3"/>
  <c r="G189" i="3"/>
  <c r="E189" i="3"/>
  <c r="C189" i="3"/>
  <c r="B189" i="3"/>
  <c r="Q188" i="3"/>
  <c r="P188" i="3"/>
  <c r="O188" i="3"/>
  <c r="N188" i="3"/>
  <c r="M188" i="3"/>
  <c r="L188" i="3"/>
  <c r="K188" i="3"/>
  <c r="J188" i="3"/>
  <c r="I188" i="3"/>
  <c r="H188" i="3"/>
  <c r="G188" i="3"/>
  <c r="E188" i="3"/>
  <c r="C188" i="3"/>
  <c r="B188" i="3"/>
  <c r="Q187" i="3"/>
  <c r="P187" i="3"/>
  <c r="O187" i="3"/>
  <c r="N187" i="3"/>
  <c r="M187" i="3"/>
  <c r="L187" i="3"/>
  <c r="K187" i="3"/>
  <c r="J187" i="3"/>
  <c r="I187" i="3"/>
  <c r="H187" i="3"/>
  <c r="G187" i="3"/>
  <c r="E187" i="3"/>
  <c r="C187" i="3"/>
  <c r="B187" i="3"/>
  <c r="Q186" i="3"/>
  <c r="P186" i="3"/>
  <c r="O186" i="3"/>
  <c r="N186" i="3"/>
  <c r="M186" i="3"/>
  <c r="L186" i="3"/>
  <c r="K186" i="3"/>
  <c r="J186" i="3"/>
  <c r="I186" i="3"/>
  <c r="H186" i="3"/>
  <c r="G186" i="3"/>
  <c r="E186" i="3"/>
  <c r="C186" i="3"/>
  <c r="B186" i="3"/>
  <c r="Q185" i="3"/>
  <c r="P185" i="3"/>
  <c r="O185" i="3"/>
  <c r="N185" i="3"/>
  <c r="M185" i="3"/>
  <c r="L185" i="3"/>
  <c r="K185" i="3"/>
  <c r="J185" i="3"/>
  <c r="I185" i="3"/>
  <c r="H185" i="3"/>
  <c r="G185" i="3"/>
  <c r="E185" i="3"/>
  <c r="C185" i="3"/>
  <c r="B185" i="3"/>
  <c r="Q184" i="3"/>
  <c r="P184" i="3"/>
  <c r="O184" i="3"/>
  <c r="N184" i="3"/>
  <c r="M184" i="3"/>
  <c r="L184" i="3"/>
  <c r="K184" i="3"/>
  <c r="J184" i="3"/>
  <c r="I184" i="3"/>
  <c r="H184" i="3"/>
  <c r="G184" i="3"/>
  <c r="E184" i="3"/>
  <c r="C184" i="3"/>
  <c r="B184" i="3"/>
  <c r="Q183" i="3"/>
  <c r="P183" i="3"/>
  <c r="O183" i="3"/>
  <c r="N183" i="3"/>
  <c r="M183" i="3"/>
  <c r="L183" i="3"/>
  <c r="K183" i="3"/>
  <c r="J183" i="3"/>
  <c r="I183" i="3"/>
  <c r="H183" i="3"/>
  <c r="G183" i="3"/>
  <c r="E183" i="3"/>
  <c r="C183" i="3"/>
  <c r="B183" i="3"/>
  <c r="Q182" i="3"/>
  <c r="P182" i="3"/>
  <c r="O182" i="3"/>
  <c r="N182" i="3"/>
  <c r="M182" i="3"/>
  <c r="L182" i="3"/>
  <c r="K182" i="3"/>
  <c r="J182" i="3"/>
  <c r="I182" i="3"/>
  <c r="H182" i="3"/>
  <c r="G182" i="3"/>
  <c r="E182" i="3"/>
  <c r="C182" i="3"/>
  <c r="B182" i="3"/>
  <c r="Q181" i="3"/>
  <c r="P181" i="3"/>
  <c r="O181" i="3"/>
  <c r="N181" i="3"/>
  <c r="M181" i="3"/>
  <c r="L181" i="3"/>
  <c r="K181" i="3"/>
  <c r="J181" i="3"/>
  <c r="I181" i="3"/>
  <c r="H181" i="3"/>
  <c r="G181" i="3"/>
  <c r="E181" i="3"/>
  <c r="C181" i="3"/>
  <c r="B181" i="3"/>
  <c r="Q180" i="3"/>
  <c r="P180" i="3"/>
  <c r="O180" i="3"/>
  <c r="N180" i="3"/>
  <c r="M180" i="3"/>
  <c r="L180" i="3"/>
  <c r="K180" i="3"/>
  <c r="J180" i="3"/>
  <c r="I180" i="3"/>
  <c r="H180" i="3"/>
  <c r="G180" i="3"/>
  <c r="E180" i="3"/>
  <c r="C180" i="3"/>
  <c r="B180" i="3"/>
  <c r="Q179" i="3"/>
  <c r="P179" i="3"/>
  <c r="O179" i="3"/>
  <c r="N179" i="3"/>
  <c r="M179" i="3"/>
  <c r="L179" i="3"/>
  <c r="K179" i="3"/>
  <c r="J179" i="3"/>
  <c r="I179" i="3"/>
  <c r="H179" i="3"/>
  <c r="G179" i="3"/>
  <c r="E179" i="3"/>
  <c r="C179" i="3"/>
  <c r="B179" i="3"/>
  <c r="Q178" i="3"/>
  <c r="P178" i="3"/>
  <c r="O178" i="3"/>
  <c r="N178" i="3"/>
  <c r="M178" i="3"/>
  <c r="L178" i="3"/>
  <c r="K178" i="3"/>
  <c r="J178" i="3"/>
  <c r="I178" i="3"/>
  <c r="H178" i="3"/>
  <c r="G178" i="3"/>
  <c r="E178" i="3"/>
  <c r="C178" i="3"/>
  <c r="B178" i="3"/>
  <c r="Q177" i="3"/>
  <c r="P177" i="3"/>
  <c r="O177" i="3"/>
  <c r="N177" i="3"/>
  <c r="M177" i="3"/>
  <c r="L177" i="3"/>
  <c r="K177" i="3"/>
  <c r="J177" i="3"/>
  <c r="I177" i="3"/>
  <c r="H177" i="3"/>
  <c r="G177" i="3"/>
  <c r="E177" i="3"/>
  <c r="C177" i="3"/>
  <c r="B177" i="3"/>
  <c r="Q176" i="3"/>
  <c r="P176" i="3"/>
  <c r="O176" i="3"/>
  <c r="N176" i="3"/>
  <c r="M176" i="3"/>
  <c r="L176" i="3"/>
  <c r="K176" i="3"/>
  <c r="J176" i="3"/>
  <c r="I176" i="3"/>
  <c r="H176" i="3"/>
  <c r="G176" i="3"/>
  <c r="E176" i="3"/>
  <c r="C176" i="3"/>
  <c r="B176" i="3"/>
  <c r="Q175" i="3"/>
  <c r="P175" i="3"/>
  <c r="O175" i="3"/>
  <c r="N175" i="3"/>
  <c r="M175" i="3"/>
  <c r="L175" i="3"/>
  <c r="K175" i="3"/>
  <c r="J175" i="3"/>
  <c r="I175" i="3"/>
  <c r="H175" i="3"/>
  <c r="G175" i="3"/>
  <c r="E175" i="3"/>
  <c r="C175" i="3"/>
  <c r="B175" i="3"/>
  <c r="Q174" i="3"/>
  <c r="P174" i="3"/>
  <c r="O174" i="3"/>
  <c r="N174" i="3"/>
  <c r="M174" i="3"/>
  <c r="L174" i="3"/>
  <c r="K174" i="3"/>
  <c r="J174" i="3"/>
  <c r="I174" i="3"/>
  <c r="H174" i="3"/>
  <c r="G174" i="3"/>
  <c r="E174" i="3"/>
  <c r="C174" i="3"/>
  <c r="B174" i="3"/>
  <c r="Q173" i="3"/>
  <c r="P173" i="3"/>
  <c r="O173" i="3"/>
  <c r="N173" i="3"/>
  <c r="M173" i="3"/>
  <c r="L173" i="3"/>
  <c r="K173" i="3"/>
  <c r="J173" i="3"/>
  <c r="I173" i="3"/>
  <c r="H173" i="3"/>
  <c r="G173" i="3"/>
  <c r="E173" i="3"/>
  <c r="C173" i="3"/>
  <c r="B173" i="3"/>
  <c r="Q172" i="3"/>
  <c r="P172" i="3"/>
  <c r="O172" i="3"/>
  <c r="N172" i="3"/>
  <c r="M172" i="3"/>
  <c r="L172" i="3"/>
  <c r="K172" i="3"/>
  <c r="J172" i="3"/>
  <c r="I172" i="3"/>
  <c r="H172" i="3"/>
  <c r="G172" i="3"/>
  <c r="E172" i="3"/>
  <c r="C172" i="3"/>
  <c r="B172" i="3"/>
  <c r="Q171" i="3"/>
  <c r="P171" i="3"/>
  <c r="O171" i="3"/>
  <c r="N171" i="3"/>
  <c r="M171" i="3"/>
  <c r="L171" i="3"/>
  <c r="K171" i="3"/>
  <c r="J171" i="3"/>
  <c r="I171" i="3"/>
  <c r="H171" i="3"/>
  <c r="G171" i="3"/>
  <c r="E171" i="3"/>
  <c r="C171" i="3"/>
  <c r="B171" i="3"/>
  <c r="Q170" i="3"/>
  <c r="P170" i="3"/>
  <c r="O170" i="3"/>
  <c r="N170" i="3"/>
  <c r="M170" i="3"/>
  <c r="L170" i="3"/>
  <c r="K170" i="3"/>
  <c r="J170" i="3"/>
  <c r="I170" i="3"/>
  <c r="H170" i="3"/>
  <c r="G170" i="3"/>
  <c r="E170" i="3"/>
  <c r="C170" i="3"/>
  <c r="B170" i="3"/>
  <c r="Q169" i="3"/>
  <c r="P169" i="3"/>
  <c r="O169" i="3"/>
  <c r="N169" i="3"/>
  <c r="M169" i="3"/>
  <c r="L169" i="3"/>
  <c r="K169" i="3"/>
  <c r="J169" i="3"/>
  <c r="I169" i="3"/>
  <c r="H169" i="3"/>
  <c r="G169" i="3"/>
  <c r="E169" i="3"/>
  <c r="C169" i="3"/>
  <c r="B169" i="3"/>
  <c r="Q168" i="3"/>
  <c r="P168" i="3"/>
  <c r="O168" i="3"/>
  <c r="N168" i="3"/>
  <c r="M168" i="3"/>
  <c r="L168" i="3"/>
  <c r="K168" i="3"/>
  <c r="J168" i="3"/>
  <c r="I168" i="3"/>
  <c r="H168" i="3"/>
  <c r="G168" i="3"/>
  <c r="E168" i="3"/>
  <c r="C168" i="3"/>
  <c r="B168" i="3"/>
  <c r="Q167" i="3"/>
  <c r="P167" i="3"/>
  <c r="O167" i="3"/>
  <c r="N167" i="3"/>
  <c r="M167" i="3"/>
  <c r="L167" i="3"/>
  <c r="K167" i="3"/>
  <c r="J167" i="3"/>
  <c r="I167" i="3"/>
  <c r="H167" i="3"/>
  <c r="G167" i="3"/>
  <c r="E167" i="3"/>
  <c r="C167" i="3"/>
  <c r="B167" i="3"/>
  <c r="Q166" i="3"/>
  <c r="P166" i="3"/>
  <c r="O166" i="3"/>
  <c r="N166" i="3"/>
  <c r="M166" i="3"/>
  <c r="L166" i="3"/>
  <c r="K166" i="3"/>
  <c r="J166" i="3"/>
  <c r="I166" i="3"/>
  <c r="H166" i="3"/>
  <c r="G166" i="3"/>
  <c r="E166" i="3"/>
  <c r="C166" i="3"/>
  <c r="B166" i="3"/>
  <c r="Q165" i="3"/>
  <c r="P165" i="3"/>
  <c r="O165" i="3"/>
  <c r="N165" i="3"/>
  <c r="M165" i="3"/>
  <c r="L165" i="3"/>
  <c r="K165" i="3"/>
  <c r="J165" i="3"/>
  <c r="I165" i="3"/>
  <c r="H165" i="3"/>
  <c r="G165" i="3"/>
  <c r="E165" i="3"/>
  <c r="C165" i="3"/>
  <c r="B165" i="3"/>
  <c r="Q164" i="3"/>
  <c r="P164" i="3"/>
  <c r="O164" i="3"/>
  <c r="N164" i="3"/>
  <c r="M164" i="3"/>
  <c r="L164" i="3"/>
  <c r="K164" i="3"/>
  <c r="J164" i="3"/>
  <c r="I164" i="3"/>
  <c r="H164" i="3"/>
  <c r="G164" i="3"/>
  <c r="E164" i="3"/>
  <c r="C164" i="3"/>
  <c r="B164" i="3"/>
  <c r="Q163" i="3"/>
  <c r="P163" i="3"/>
  <c r="O163" i="3"/>
  <c r="N163" i="3"/>
  <c r="M163" i="3"/>
  <c r="L163" i="3"/>
  <c r="K163" i="3"/>
  <c r="J163" i="3"/>
  <c r="I163" i="3"/>
  <c r="H163" i="3"/>
  <c r="G163" i="3"/>
  <c r="E163" i="3"/>
  <c r="C163" i="3"/>
  <c r="B163" i="3"/>
  <c r="Q162" i="3"/>
  <c r="P162" i="3"/>
  <c r="O162" i="3"/>
  <c r="N162" i="3"/>
  <c r="M162" i="3"/>
  <c r="L162" i="3"/>
  <c r="K162" i="3"/>
  <c r="J162" i="3"/>
  <c r="I162" i="3"/>
  <c r="H162" i="3"/>
  <c r="G162" i="3"/>
  <c r="E162" i="3"/>
  <c r="C162" i="3"/>
  <c r="B162" i="3"/>
  <c r="Q161" i="3"/>
  <c r="P161" i="3"/>
  <c r="O161" i="3"/>
  <c r="N161" i="3"/>
  <c r="M161" i="3"/>
  <c r="L161" i="3"/>
  <c r="K161" i="3"/>
  <c r="J161" i="3"/>
  <c r="I161" i="3"/>
  <c r="H161" i="3"/>
  <c r="G161" i="3"/>
  <c r="E161" i="3"/>
  <c r="C161" i="3"/>
  <c r="B161" i="3"/>
  <c r="Q160" i="3"/>
  <c r="P160" i="3"/>
  <c r="O160" i="3"/>
  <c r="N160" i="3"/>
  <c r="M160" i="3"/>
  <c r="L160" i="3"/>
  <c r="K160" i="3"/>
  <c r="J160" i="3"/>
  <c r="I160" i="3"/>
  <c r="H160" i="3"/>
  <c r="G160" i="3"/>
  <c r="E160" i="3"/>
  <c r="C160" i="3"/>
  <c r="B160" i="3"/>
  <c r="Q159" i="3"/>
  <c r="P159" i="3"/>
  <c r="O159" i="3"/>
  <c r="N159" i="3"/>
  <c r="M159" i="3"/>
  <c r="L159" i="3"/>
  <c r="K159" i="3"/>
  <c r="J159" i="3"/>
  <c r="I159" i="3"/>
  <c r="H159" i="3"/>
  <c r="G159" i="3"/>
  <c r="E159" i="3"/>
  <c r="C159" i="3"/>
  <c r="B159" i="3"/>
  <c r="Q158" i="3"/>
  <c r="P158" i="3"/>
  <c r="O158" i="3"/>
  <c r="N158" i="3"/>
  <c r="M158" i="3"/>
  <c r="L158" i="3"/>
  <c r="K158" i="3"/>
  <c r="J158" i="3"/>
  <c r="I158" i="3"/>
  <c r="H158" i="3"/>
  <c r="G158" i="3"/>
  <c r="E158" i="3"/>
  <c r="C158" i="3"/>
  <c r="B158" i="3"/>
  <c r="Q157" i="3"/>
  <c r="P157" i="3"/>
  <c r="O157" i="3"/>
  <c r="N157" i="3"/>
  <c r="M157" i="3"/>
  <c r="L157" i="3"/>
  <c r="K157" i="3"/>
  <c r="J157" i="3"/>
  <c r="I157" i="3"/>
  <c r="H157" i="3"/>
  <c r="G157" i="3"/>
  <c r="E157" i="3"/>
  <c r="C157" i="3"/>
  <c r="B157" i="3"/>
  <c r="Q156" i="3"/>
  <c r="P156" i="3"/>
  <c r="O156" i="3"/>
  <c r="N156" i="3"/>
  <c r="M156" i="3"/>
  <c r="L156" i="3"/>
  <c r="K156" i="3"/>
  <c r="J156" i="3"/>
  <c r="I156" i="3"/>
  <c r="H156" i="3"/>
  <c r="G156" i="3"/>
  <c r="E156" i="3"/>
  <c r="C156" i="3"/>
  <c r="B156" i="3"/>
  <c r="Q155" i="3"/>
  <c r="P155" i="3"/>
  <c r="O155" i="3"/>
  <c r="N155" i="3"/>
  <c r="M155" i="3"/>
  <c r="L155" i="3"/>
  <c r="K155" i="3"/>
  <c r="J155" i="3"/>
  <c r="I155" i="3"/>
  <c r="H155" i="3"/>
  <c r="G155" i="3"/>
  <c r="E155" i="3"/>
  <c r="C155" i="3"/>
  <c r="B155" i="3"/>
  <c r="Q154" i="3"/>
  <c r="P154" i="3"/>
  <c r="O154" i="3"/>
  <c r="N154" i="3"/>
  <c r="M154" i="3"/>
  <c r="L154" i="3"/>
  <c r="K154" i="3"/>
  <c r="J154" i="3"/>
  <c r="I154" i="3"/>
  <c r="H154" i="3"/>
  <c r="G154" i="3"/>
  <c r="E154" i="3"/>
  <c r="C154" i="3"/>
  <c r="B154" i="3"/>
  <c r="Q153" i="3"/>
  <c r="P153" i="3"/>
  <c r="O153" i="3"/>
  <c r="N153" i="3"/>
  <c r="M153" i="3"/>
  <c r="L153" i="3"/>
  <c r="K153" i="3"/>
  <c r="J153" i="3"/>
  <c r="I153" i="3"/>
  <c r="H153" i="3"/>
  <c r="G153" i="3"/>
  <c r="E153" i="3"/>
  <c r="C153" i="3"/>
  <c r="B153" i="3"/>
  <c r="Q152" i="3"/>
  <c r="P152" i="3"/>
  <c r="O152" i="3"/>
  <c r="N152" i="3"/>
  <c r="M152" i="3"/>
  <c r="L152" i="3"/>
  <c r="K152" i="3"/>
  <c r="J152" i="3"/>
  <c r="I152" i="3"/>
  <c r="H152" i="3"/>
  <c r="G152" i="3"/>
  <c r="E152" i="3"/>
  <c r="C152" i="3"/>
  <c r="B152" i="3"/>
  <c r="Q151" i="3"/>
  <c r="P151" i="3"/>
  <c r="O151" i="3"/>
  <c r="N151" i="3"/>
  <c r="M151" i="3"/>
  <c r="L151" i="3"/>
  <c r="K151" i="3"/>
  <c r="J151" i="3"/>
  <c r="I151" i="3"/>
  <c r="H151" i="3"/>
  <c r="G151" i="3"/>
  <c r="E151" i="3"/>
  <c r="C151" i="3"/>
  <c r="B151" i="3"/>
  <c r="Q150" i="3"/>
  <c r="P150" i="3"/>
  <c r="O150" i="3"/>
  <c r="N150" i="3"/>
  <c r="M150" i="3"/>
  <c r="L150" i="3"/>
  <c r="K150" i="3"/>
  <c r="J150" i="3"/>
  <c r="I150" i="3"/>
  <c r="H150" i="3"/>
  <c r="G150" i="3"/>
  <c r="E150" i="3"/>
  <c r="C150" i="3"/>
  <c r="B150" i="3"/>
  <c r="Q149" i="3"/>
  <c r="P149" i="3"/>
  <c r="O149" i="3"/>
  <c r="N149" i="3"/>
  <c r="M149" i="3"/>
  <c r="L149" i="3"/>
  <c r="K149" i="3"/>
  <c r="J149" i="3"/>
  <c r="I149" i="3"/>
  <c r="H149" i="3"/>
  <c r="G149" i="3"/>
  <c r="E149" i="3"/>
  <c r="C149" i="3"/>
  <c r="B149" i="3"/>
  <c r="Q148" i="3"/>
  <c r="P148" i="3"/>
  <c r="O148" i="3"/>
  <c r="N148" i="3"/>
  <c r="M148" i="3"/>
  <c r="L148" i="3"/>
  <c r="K148" i="3"/>
  <c r="J148" i="3"/>
  <c r="I148" i="3"/>
  <c r="H148" i="3"/>
  <c r="G148" i="3"/>
  <c r="E148" i="3"/>
  <c r="C148" i="3"/>
  <c r="B148" i="3"/>
  <c r="Q147" i="3"/>
  <c r="P147" i="3"/>
  <c r="O147" i="3"/>
  <c r="N147" i="3"/>
  <c r="M147" i="3"/>
  <c r="L147" i="3"/>
  <c r="K147" i="3"/>
  <c r="J147" i="3"/>
  <c r="I147" i="3"/>
  <c r="H147" i="3"/>
  <c r="G147" i="3"/>
  <c r="E147" i="3"/>
  <c r="C147" i="3"/>
  <c r="B147" i="3"/>
  <c r="Q146" i="3"/>
  <c r="P146" i="3"/>
  <c r="O146" i="3"/>
  <c r="N146" i="3"/>
  <c r="M146" i="3"/>
  <c r="L146" i="3"/>
  <c r="K146" i="3"/>
  <c r="J146" i="3"/>
  <c r="I146" i="3"/>
  <c r="H146" i="3"/>
  <c r="G146" i="3"/>
  <c r="E146" i="3"/>
  <c r="C146" i="3"/>
  <c r="B146" i="3"/>
  <c r="Q145" i="3"/>
  <c r="P145" i="3"/>
  <c r="O145" i="3"/>
  <c r="N145" i="3"/>
  <c r="M145" i="3"/>
  <c r="L145" i="3"/>
  <c r="K145" i="3"/>
  <c r="J145" i="3"/>
  <c r="I145" i="3"/>
  <c r="H145" i="3"/>
  <c r="G145" i="3"/>
  <c r="E145" i="3"/>
  <c r="C145" i="3"/>
  <c r="B145" i="3"/>
  <c r="Q144" i="3"/>
  <c r="P144" i="3"/>
  <c r="O144" i="3"/>
  <c r="N144" i="3"/>
  <c r="M144" i="3"/>
  <c r="L144" i="3"/>
  <c r="K144" i="3"/>
  <c r="J144" i="3"/>
  <c r="I144" i="3"/>
  <c r="H144" i="3"/>
  <c r="G144" i="3"/>
  <c r="E144" i="3"/>
  <c r="C144" i="3"/>
  <c r="B144" i="3"/>
  <c r="Q143" i="3"/>
  <c r="P143" i="3"/>
  <c r="O143" i="3"/>
  <c r="N143" i="3"/>
  <c r="M143" i="3"/>
  <c r="L143" i="3"/>
  <c r="K143" i="3"/>
  <c r="J143" i="3"/>
  <c r="I143" i="3"/>
  <c r="H143" i="3"/>
  <c r="G143" i="3"/>
  <c r="E143" i="3"/>
  <c r="C143" i="3"/>
  <c r="B143" i="3"/>
  <c r="Q142" i="3"/>
  <c r="P142" i="3"/>
  <c r="O142" i="3"/>
  <c r="N142" i="3"/>
  <c r="M142" i="3"/>
  <c r="L142" i="3"/>
  <c r="K142" i="3"/>
  <c r="J142" i="3"/>
  <c r="I142" i="3"/>
  <c r="H142" i="3"/>
  <c r="G142" i="3"/>
  <c r="E142" i="3"/>
  <c r="C142" i="3"/>
  <c r="B142" i="3"/>
  <c r="Q141" i="3"/>
  <c r="P141" i="3"/>
  <c r="O141" i="3"/>
  <c r="N141" i="3"/>
  <c r="M141" i="3"/>
  <c r="L141" i="3"/>
  <c r="K141" i="3"/>
  <c r="J141" i="3"/>
  <c r="I141" i="3"/>
  <c r="H141" i="3"/>
  <c r="G141" i="3"/>
  <c r="E141" i="3"/>
  <c r="C141" i="3"/>
  <c r="B141" i="3"/>
  <c r="Q140" i="3"/>
  <c r="P140" i="3"/>
  <c r="O140" i="3"/>
  <c r="N140" i="3"/>
  <c r="M140" i="3"/>
  <c r="L140" i="3"/>
  <c r="K140" i="3"/>
  <c r="J140" i="3"/>
  <c r="I140" i="3"/>
  <c r="H140" i="3"/>
  <c r="G140" i="3"/>
  <c r="E140" i="3"/>
  <c r="C140" i="3"/>
  <c r="B140" i="3"/>
  <c r="Q139" i="3"/>
  <c r="P139" i="3"/>
  <c r="O139" i="3"/>
  <c r="N139" i="3"/>
  <c r="M139" i="3"/>
  <c r="L139" i="3"/>
  <c r="K139" i="3"/>
  <c r="J139" i="3"/>
  <c r="I139" i="3"/>
  <c r="H139" i="3"/>
  <c r="G139" i="3"/>
  <c r="E139" i="3"/>
  <c r="C139" i="3"/>
  <c r="B139" i="3"/>
  <c r="Q138" i="3"/>
  <c r="P138" i="3"/>
  <c r="O138" i="3"/>
  <c r="N138" i="3"/>
  <c r="M138" i="3"/>
  <c r="L138" i="3"/>
  <c r="K138" i="3"/>
  <c r="J138" i="3"/>
  <c r="I138" i="3"/>
  <c r="H138" i="3"/>
  <c r="G138" i="3"/>
  <c r="E138" i="3"/>
  <c r="C138" i="3"/>
  <c r="B138" i="3"/>
  <c r="Q137" i="3"/>
  <c r="P137" i="3"/>
  <c r="O137" i="3"/>
  <c r="N137" i="3"/>
  <c r="M137" i="3"/>
  <c r="L137" i="3"/>
  <c r="K137" i="3"/>
  <c r="J137" i="3"/>
  <c r="I137" i="3"/>
  <c r="H137" i="3"/>
  <c r="G137" i="3"/>
  <c r="E137" i="3"/>
  <c r="C137" i="3"/>
  <c r="B137" i="3"/>
  <c r="Q136" i="3"/>
  <c r="P136" i="3"/>
  <c r="O136" i="3"/>
  <c r="N136" i="3"/>
  <c r="M136" i="3"/>
  <c r="L136" i="3"/>
  <c r="K136" i="3"/>
  <c r="J136" i="3"/>
  <c r="I136" i="3"/>
  <c r="H136" i="3"/>
  <c r="G136" i="3"/>
  <c r="E136" i="3"/>
  <c r="C136" i="3"/>
  <c r="B136" i="3"/>
  <c r="Q135" i="3"/>
  <c r="P135" i="3"/>
  <c r="O135" i="3"/>
  <c r="N135" i="3"/>
  <c r="M135" i="3"/>
  <c r="L135" i="3"/>
  <c r="K135" i="3"/>
  <c r="J135" i="3"/>
  <c r="I135" i="3"/>
  <c r="H135" i="3"/>
  <c r="G135" i="3"/>
  <c r="E135" i="3"/>
  <c r="C135" i="3"/>
  <c r="B135" i="3"/>
  <c r="Q134" i="3"/>
  <c r="P134" i="3"/>
  <c r="O134" i="3"/>
  <c r="N134" i="3"/>
  <c r="M134" i="3"/>
  <c r="L134" i="3"/>
  <c r="K134" i="3"/>
  <c r="J134" i="3"/>
  <c r="I134" i="3"/>
  <c r="H134" i="3"/>
  <c r="G134" i="3"/>
  <c r="E134" i="3"/>
  <c r="C134" i="3"/>
  <c r="B134" i="3"/>
  <c r="Q133" i="3"/>
  <c r="P133" i="3"/>
  <c r="O133" i="3"/>
  <c r="N133" i="3"/>
  <c r="M133" i="3"/>
  <c r="L133" i="3"/>
  <c r="K133" i="3"/>
  <c r="J133" i="3"/>
  <c r="I133" i="3"/>
  <c r="H133" i="3"/>
  <c r="G133" i="3"/>
  <c r="E133" i="3"/>
  <c r="C133" i="3"/>
  <c r="B133" i="3"/>
  <c r="Q132" i="3"/>
  <c r="P132" i="3"/>
  <c r="O132" i="3"/>
  <c r="N132" i="3"/>
  <c r="M132" i="3"/>
  <c r="L132" i="3"/>
  <c r="K132" i="3"/>
  <c r="J132" i="3"/>
  <c r="I132" i="3"/>
  <c r="H132" i="3"/>
  <c r="G132" i="3"/>
  <c r="E132" i="3"/>
  <c r="C132" i="3"/>
  <c r="B132" i="3"/>
  <c r="Q131" i="3"/>
  <c r="P131" i="3"/>
  <c r="O131" i="3"/>
  <c r="N131" i="3"/>
  <c r="M131" i="3"/>
  <c r="L131" i="3"/>
  <c r="K131" i="3"/>
  <c r="J131" i="3"/>
  <c r="I131" i="3"/>
  <c r="H131" i="3"/>
  <c r="G131" i="3"/>
  <c r="E131" i="3"/>
  <c r="C131" i="3"/>
  <c r="B131" i="3"/>
  <c r="Q130" i="3"/>
  <c r="P130" i="3"/>
  <c r="O130" i="3"/>
  <c r="N130" i="3"/>
  <c r="M130" i="3"/>
  <c r="L130" i="3"/>
  <c r="K130" i="3"/>
  <c r="J130" i="3"/>
  <c r="I130" i="3"/>
  <c r="H130" i="3"/>
  <c r="G130" i="3"/>
  <c r="E130" i="3"/>
  <c r="C130" i="3"/>
  <c r="B130" i="3"/>
  <c r="Q129" i="3"/>
  <c r="P129" i="3"/>
  <c r="O129" i="3"/>
  <c r="N129" i="3"/>
  <c r="M129" i="3"/>
  <c r="L129" i="3"/>
  <c r="K129" i="3"/>
  <c r="J129" i="3"/>
  <c r="I129" i="3"/>
  <c r="H129" i="3"/>
  <c r="G129" i="3"/>
  <c r="E129" i="3"/>
  <c r="C129" i="3"/>
  <c r="B129" i="3"/>
  <c r="Q128" i="3"/>
  <c r="P128" i="3"/>
  <c r="O128" i="3"/>
  <c r="N128" i="3"/>
  <c r="M128" i="3"/>
  <c r="L128" i="3"/>
  <c r="K128" i="3"/>
  <c r="J128" i="3"/>
  <c r="I128" i="3"/>
  <c r="H128" i="3"/>
  <c r="G128" i="3"/>
  <c r="E128" i="3"/>
  <c r="C128" i="3"/>
  <c r="B128" i="3"/>
  <c r="Q127" i="3"/>
  <c r="P127" i="3"/>
  <c r="O127" i="3"/>
  <c r="N127" i="3"/>
  <c r="M127" i="3"/>
  <c r="L127" i="3"/>
  <c r="K127" i="3"/>
  <c r="J127" i="3"/>
  <c r="I127" i="3"/>
  <c r="H127" i="3"/>
  <c r="G127" i="3"/>
  <c r="E127" i="3"/>
  <c r="C127" i="3"/>
  <c r="B127" i="3"/>
  <c r="Q126" i="3"/>
  <c r="P126" i="3"/>
  <c r="O126" i="3"/>
  <c r="N126" i="3"/>
  <c r="M126" i="3"/>
  <c r="L126" i="3"/>
  <c r="K126" i="3"/>
  <c r="J126" i="3"/>
  <c r="I126" i="3"/>
  <c r="H126" i="3"/>
  <c r="G126" i="3"/>
  <c r="E126" i="3"/>
  <c r="C126" i="3"/>
  <c r="B126" i="3"/>
  <c r="Q125" i="3"/>
  <c r="P125" i="3"/>
  <c r="O125" i="3"/>
  <c r="N125" i="3"/>
  <c r="M125" i="3"/>
  <c r="L125" i="3"/>
  <c r="K125" i="3"/>
  <c r="J125" i="3"/>
  <c r="I125" i="3"/>
  <c r="H125" i="3"/>
  <c r="G125" i="3"/>
  <c r="E125" i="3"/>
  <c r="C125" i="3"/>
  <c r="B125" i="3"/>
  <c r="Q124" i="3"/>
  <c r="P124" i="3"/>
  <c r="O124" i="3"/>
  <c r="N124" i="3"/>
  <c r="M124" i="3"/>
  <c r="L124" i="3"/>
  <c r="K124" i="3"/>
  <c r="J124" i="3"/>
  <c r="I124" i="3"/>
  <c r="H124" i="3"/>
  <c r="G124" i="3"/>
  <c r="E124" i="3"/>
  <c r="C124" i="3"/>
  <c r="B124" i="3"/>
  <c r="Q123" i="3"/>
  <c r="P123" i="3"/>
  <c r="O123" i="3"/>
  <c r="N123" i="3"/>
  <c r="M123" i="3"/>
  <c r="L123" i="3"/>
  <c r="K123" i="3"/>
  <c r="J123" i="3"/>
  <c r="I123" i="3"/>
  <c r="H123" i="3"/>
  <c r="G123" i="3"/>
  <c r="E123" i="3"/>
  <c r="C123" i="3"/>
  <c r="B123" i="3"/>
  <c r="Q122" i="3"/>
  <c r="P122" i="3"/>
  <c r="O122" i="3"/>
  <c r="N122" i="3"/>
  <c r="M122" i="3"/>
  <c r="L122" i="3"/>
  <c r="K122" i="3"/>
  <c r="J122" i="3"/>
  <c r="I122" i="3"/>
  <c r="H122" i="3"/>
  <c r="G122" i="3"/>
  <c r="E122" i="3"/>
  <c r="C122" i="3"/>
  <c r="B122" i="3"/>
  <c r="Q121" i="3"/>
  <c r="P121" i="3"/>
  <c r="O121" i="3"/>
  <c r="N121" i="3"/>
  <c r="M121" i="3"/>
  <c r="L121" i="3"/>
  <c r="K121" i="3"/>
  <c r="J121" i="3"/>
  <c r="I121" i="3"/>
  <c r="H121" i="3"/>
  <c r="G121" i="3"/>
  <c r="E121" i="3"/>
  <c r="C121" i="3"/>
  <c r="B121" i="3"/>
  <c r="Q120" i="3"/>
  <c r="P120" i="3"/>
  <c r="O120" i="3"/>
  <c r="N120" i="3"/>
  <c r="M120" i="3"/>
  <c r="L120" i="3"/>
  <c r="K120" i="3"/>
  <c r="J120" i="3"/>
  <c r="I120" i="3"/>
  <c r="H120" i="3"/>
  <c r="G120" i="3"/>
  <c r="E120" i="3"/>
  <c r="C120" i="3"/>
  <c r="B120" i="3"/>
  <c r="Q119" i="3"/>
  <c r="P119" i="3"/>
  <c r="O119" i="3"/>
  <c r="N119" i="3"/>
  <c r="M119" i="3"/>
  <c r="L119" i="3"/>
  <c r="K119" i="3"/>
  <c r="J119" i="3"/>
  <c r="I119" i="3"/>
  <c r="H119" i="3"/>
  <c r="G119" i="3"/>
  <c r="E119" i="3"/>
  <c r="C119" i="3"/>
  <c r="B119" i="3"/>
  <c r="Q118" i="3"/>
  <c r="P118" i="3"/>
  <c r="O118" i="3"/>
  <c r="N118" i="3"/>
  <c r="M118" i="3"/>
  <c r="L118" i="3"/>
  <c r="K118" i="3"/>
  <c r="J118" i="3"/>
  <c r="I118" i="3"/>
  <c r="H118" i="3"/>
  <c r="G118" i="3"/>
  <c r="E118" i="3"/>
  <c r="C118" i="3"/>
  <c r="B118" i="3"/>
  <c r="Q117" i="3"/>
  <c r="P117" i="3"/>
  <c r="O117" i="3"/>
  <c r="N117" i="3"/>
  <c r="M117" i="3"/>
  <c r="L117" i="3"/>
  <c r="K117" i="3"/>
  <c r="J117" i="3"/>
  <c r="I117" i="3"/>
  <c r="H117" i="3"/>
  <c r="G117" i="3"/>
  <c r="E117" i="3"/>
  <c r="C117" i="3"/>
  <c r="B117" i="3"/>
  <c r="Q116" i="3"/>
  <c r="P116" i="3"/>
  <c r="O116" i="3"/>
  <c r="N116" i="3"/>
  <c r="M116" i="3"/>
  <c r="L116" i="3"/>
  <c r="K116" i="3"/>
  <c r="J116" i="3"/>
  <c r="I116" i="3"/>
  <c r="H116" i="3"/>
  <c r="G116" i="3"/>
  <c r="E116" i="3"/>
  <c r="C116" i="3"/>
  <c r="B116" i="3"/>
  <c r="Q115" i="3"/>
  <c r="P115" i="3"/>
  <c r="O115" i="3"/>
  <c r="N115" i="3"/>
  <c r="M115" i="3"/>
  <c r="L115" i="3"/>
  <c r="K115" i="3"/>
  <c r="J115" i="3"/>
  <c r="I115" i="3"/>
  <c r="H115" i="3"/>
  <c r="G115" i="3"/>
  <c r="E115" i="3"/>
  <c r="C115" i="3"/>
  <c r="B115" i="3"/>
  <c r="Q114" i="3"/>
  <c r="P114" i="3"/>
  <c r="O114" i="3"/>
  <c r="N114" i="3"/>
  <c r="M114" i="3"/>
  <c r="L114" i="3"/>
  <c r="K114" i="3"/>
  <c r="J114" i="3"/>
  <c r="I114" i="3"/>
  <c r="H114" i="3"/>
  <c r="G114" i="3"/>
  <c r="E114" i="3"/>
  <c r="C114" i="3"/>
  <c r="B114" i="3"/>
  <c r="Q113" i="3"/>
  <c r="P113" i="3"/>
  <c r="O113" i="3"/>
  <c r="N113" i="3"/>
  <c r="M113" i="3"/>
  <c r="L113" i="3"/>
  <c r="K113" i="3"/>
  <c r="J113" i="3"/>
  <c r="I113" i="3"/>
  <c r="H113" i="3"/>
  <c r="G113" i="3"/>
  <c r="E113" i="3"/>
  <c r="C113" i="3"/>
  <c r="B113" i="3"/>
  <c r="Q112" i="3"/>
  <c r="P112" i="3"/>
  <c r="O112" i="3"/>
  <c r="N112" i="3"/>
  <c r="M112" i="3"/>
  <c r="L112" i="3"/>
  <c r="K112" i="3"/>
  <c r="J112" i="3"/>
  <c r="I112" i="3"/>
  <c r="H112" i="3"/>
  <c r="G112" i="3"/>
  <c r="E112" i="3"/>
  <c r="C112" i="3"/>
  <c r="B112" i="3"/>
  <c r="Q111" i="3"/>
  <c r="P111" i="3"/>
  <c r="O111" i="3"/>
  <c r="N111" i="3"/>
  <c r="M111" i="3"/>
  <c r="L111" i="3"/>
  <c r="K111" i="3"/>
  <c r="J111" i="3"/>
  <c r="I111" i="3"/>
  <c r="H111" i="3"/>
  <c r="G111" i="3"/>
  <c r="E111" i="3"/>
  <c r="C111" i="3"/>
  <c r="B111" i="3"/>
  <c r="Q110" i="3"/>
  <c r="P110" i="3"/>
  <c r="O110" i="3"/>
  <c r="N110" i="3"/>
  <c r="M110" i="3"/>
  <c r="L110" i="3"/>
  <c r="K110" i="3"/>
  <c r="J110" i="3"/>
  <c r="I110" i="3"/>
  <c r="H110" i="3"/>
  <c r="G110" i="3"/>
  <c r="E110" i="3"/>
  <c r="C110" i="3"/>
  <c r="B110" i="3"/>
  <c r="Q109" i="3"/>
  <c r="P109" i="3"/>
  <c r="O109" i="3"/>
  <c r="N109" i="3"/>
  <c r="M109" i="3"/>
  <c r="L109" i="3"/>
  <c r="K109" i="3"/>
  <c r="J109" i="3"/>
  <c r="I109" i="3"/>
  <c r="H109" i="3"/>
  <c r="G109" i="3"/>
  <c r="E109" i="3"/>
  <c r="C109" i="3"/>
  <c r="B109" i="3"/>
  <c r="Q108" i="3"/>
  <c r="P108" i="3"/>
  <c r="O108" i="3"/>
  <c r="N108" i="3"/>
  <c r="M108" i="3"/>
  <c r="L108" i="3"/>
  <c r="K108" i="3"/>
  <c r="J108" i="3"/>
  <c r="I108" i="3"/>
  <c r="H108" i="3"/>
  <c r="G108" i="3"/>
  <c r="E108" i="3"/>
  <c r="C108" i="3"/>
  <c r="B108" i="3"/>
  <c r="Q107" i="3"/>
  <c r="P107" i="3"/>
  <c r="O107" i="3"/>
  <c r="N107" i="3"/>
  <c r="M107" i="3"/>
  <c r="L107" i="3"/>
  <c r="K107" i="3"/>
  <c r="J107" i="3"/>
  <c r="I107" i="3"/>
  <c r="H107" i="3"/>
  <c r="G107" i="3"/>
  <c r="E107" i="3"/>
  <c r="C107" i="3"/>
  <c r="B107" i="3"/>
  <c r="Q106" i="3"/>
  <c r="P106" i="3"/>
  <c r="O106" i="3"/>
  <c r="N106" i="3"/>
  <c r="M106" i="3"/>
  <c r="L106" i="3"/>
  <c r="K106" i="3"/>
  <c r="J106" i="3"/>
  <c r="I106" i="3"/>
  <c r="H106" i="3"/>
  <c r="G106" i="3"/>
  <c r="E106" i="3"/>
  <c r="C106" i="3"/>
  <c r="B106" i="3"/>
  <c r="Q105" i="3"/>
  <c r="P105" i="3"/>
  <c r="O105" i="3"/>
  <c r="N105" i="3"/>
  <c r="M105" i="3"/>
  <c r="L105" i="3"/>
  <c r="K105" i="3"/>
  <c r="J105" i="3"/>
  <c r="I105" i="3"/>
  <c r="H105" i="3"/>
  <c r="G105" i="3"/>
  <c r="E105" i="3"/>
  <c r="C105" i="3"/>
  <c r="B105" i="3"/>
  <c r="Q104" i="3"/>
  <c r="P104" i="3"/>
  <c r="O104" i="3"/>
  <c r="N104" i="3"/>
  <c r="M104" i="3"/>
  <c r="L104" i="3"/>
  <c r="K104" i="3"/>
  <c r="J104" i="3"/>
  <c r="I104" i="3"/>
  <c r="H104" i="3"/>
  <c r="G104" i="3"/>
  <c r="E104" i="3"/>
  <c r="C104" i="3"/>
  <c r="B104" i="3"/>
  <c r="Q103" i="3"/>
  <c r="P103" i="3"/>
  <c r="O103" i="3"/>
  <c r="N103" i="3"/>
  <c r="M103" i="3"/>
  <c r="L103" i="3"/>
  <c r="K103" i="3"/>
  <c r="J103" i="3"/>
  <c r="I103" i="3"/>
  <c r="H103" i="3"/>
  <c r="G103" i="3"/>
  <c r="E103" i="3"/>
  <c r="C103" i="3"/>
  <c r="B103" i="3"/>
  <c r="Q102" i="3"/>
  <c r="P102" i="3"/>
  <c r="O102" i="3"/>
  <c r="N102" i="3"/>
  <c r="M102" i="3"/>
  <c r="L102" i="3"/>
  <c r="K102" i="3"/>
  <c r="J102" i="3"/>
  <c r="I102" i="3"/>
  <c r="H102" i="3"/>
  <c r="G102" i="3"/>
  <c r="E102" i="3"/>
  <c r="C102" i="3"/>
  <c r="B102" i="3"/>
  <c r="Q101" i="3"/>
  <c r="P101" i="3"/>
  <c r="O101" i="3"/>
  <c r="N101" i="3"/>
  <c r="M101" i="3"/>
  <c r="L101" i="3"/>
  <c r="K101" i="3"/>
  <c r="J101" i="3"/>
  <c r="I101" i="3"/>
  <c r="H101" i="3"/>
  <c r="G101" i="3"/>
  <c r="E101" i="3"/>
  <c r="C101" i="3"/>
  <c r="B101" i="3"/>
  <c r="Q100" i="3"/>
  <c r="P100" i="3"/>
  <c r="O100" i="3"/>
  <c r="N100" i="3"/>
  <c r="M100" i="3"/>
  <c r="L100" i="3"/>
  <c r="K100" i="3"/>
  <c r="J100" i="3"/>
  <c r="I100" i="3"/>
  <c r="H100" i="3"/>
  <c r="G100" i="3"/>
  <c r="E100" i="3"/>
  <c r="C100" i="3"/>
  <c r="B100" i="3"/>
  <c r="Q99" i="3"/>
  <c r="P99" i="3"/>
  <c r="O99" i="3"/>
  <c r="N99" i="3"/>
  <c r="M99" i="3"/>
  <c r="L99" i="3"/>
  <c r="K99" i="3"/>
  <c r="J99" i="3"/>
  <c r="I99" i="3"/>
  <c r="H99" i="3"/>
  <c r="G99" i="3"/>
  <c r="E99" i="3"/>
  <c r="C99" i="3"/>
  <c r="B99" i="3"/>
  <c r="Q98" i="3"/>
  <c r="P98" i="3"/>
  <c r="O98" i="3"/>
  <c r="N98" i="3"/>
  <c r="M98" i="3"/>
  <c r="L98" i="3"/>
  <c r="K98" i="3"/>
  <c r="J98" i="3"/>
  <c r="I98" i="3"/>
  <c r="H98" i="3"/>
  <c r="G98" i="3"/>
  <c r="E98" i="3"/>
  <c r="C98" i="3"/>
  <c r="B98" i="3"/>
  <c r="Q97" i="3"/>
  <c r="P97" i="3"/>
  <c r="O97" i="3"/>
  <c r="N97" i="3"/>
  <c r="M97" i="3"/>
  <c r="L97" i="3"/>
  <c r="K97" i="3"/>
  <c r="J97" i="3"/>
  <c r="I97" i="3"/>
  <c r="H97" i="3"/>
  <c r="G97" i="3"/>
  <c r="E97" i="3"/>
  <c r="C97" i="3"/>
  <c r="B97" i="3"/>
  <c r="Q96" i="3"/>
  <c r="P96" i="3"/>
  <c r="O96" i="3"/>
  <c r="N96" i="3"/>
  <c r="M96" i="3"/>
  <c r="L96" i="3"/>
  <c r="K96" i="3"/>
  <c r="J96" i="3"/>
  <c r="I96" i="3"/>
  <c r="H96" i="3"/>
  <c r="G96" i="3"/>
  <c r="E96" i="3"/>
  <c r="C96" i="3"/>
  <c r="B96" i="3"/>
  <c r="Q95" i="3"/>
  <c r="P95" i="3"/>
  <c r="O95" i="3"/>
  <c r="N95" i="3"/>
  <c r="M95" i="3"/>
  <c r="L95" i="3"/>
  <c r="K95" i="3"/>
  <c r="J95" i="3"/>
  <c r="I95" i="3"/>
  <c r="H95" i="3"/>
  <c r="G95" i="3"/>
  <c r="E95" i="3"/>
  <c r="C95" i="3"/>
  <c r="B95" i="3"/>
  <c r="Q94" i="3"/>
  <c r="P94" i="3"/>
  <c r="O94" i="3"/>
  <c r="N94" i="3"/>
  <c r="M94" i="3"/>
  <c r="L94" i="3"/>
  <c r="K94" i="3"/>
  <c r="J94" i="3"/>
  <c r="I94" i="3"/>
  <c r="H94" i="3"/>
  <c r="G94" i="3"/>
  <c r="E94" i="3"/>
  <c r="C94" i="3"/>
  <c r="B94" i="3"/>
  <c r="Q93" i="3"/>
  <c r="P93" i="3"/>
  <c r="O93" i="3"/>
  <c r="N93" i="3"/>
  <c r="M93" i="3"/>
  <c r="L93" i="3"/>
  <c r="K93" i="3"/>
  <c r="J93" i="3"/>
  <c r="I93" i="3"/>
  <c r="H93" i="3"/>
  <c r="G93" i="3"/>
  <c r="E93" i="3"/>
  <c r="C93" i="3"/>
  <c r="B93" i="3"/>
  <c r="Q92" i="3"/>
  <c r="P92" i="3"/>
  <c r="O92" i="3"/>
  <c r="N92" i="3"/>
  <c r="M92" i="3"/>
  <c r="L92" i="3"/>
  <c r="K92" i="3"/>
  <c r="J92" i="3"/>
  <c r="I92" i="3"/>
  <c r="H92" i="3"/>
  <c r="G92" i="3"/>
  <c r="E92" i="3"/>
  <c r="C92" i="3"/>
  <c r="B92" i="3"/>
  <c r="Q91" i="3"/>
  <c r="P91" i="3"/>
  <c r="O91" i="3"/>
  <c r="N91" i="3"/>
  <c r="M91" i="3"/>
  <c r="L91" i="3"/>
  <c r="K91" i="3"/>
  <c r="J91" i="3"/>
  <c r="I91" i="3"/>
  <c r="H91" i="3"/>
  <c r="G91" i="3"/>
  <c r="E91" i="3"/>
  <c r="C91" i="3"/>
  <c r="B91" i="3"/>
  <c r="Q90" i="3"/>
  <c r="P90" i="3"/>
  <c r="O90" i="3"/>
  <c r="N90" i="3"/>
  <c r="M90" i="3"/>
  <c r="L90" i="3"/>
  <c r="K90" i="3"/>
  <c r="J90" i="3"/>
  <c r="I90" i="3"/>
  <c r="H90" i="3"/>
  <c r="G90" i="3"/>
  <c r="E90" i="3"/>
  <c r="C90" i="3"/>
  <c r="B90" i="3"/>
  <c r="Q89" i="3"/>
  <c r="P89" i="3"/>
  <c r="O89" i="3"/>
  <c r="N89" i="3"/>
  <c r="M89" i="3"/>
  <c r="L89" i="3"/>
  <c r="K89" i="3"/>
  <c r="J89" i="3"/>
  <c r="I89" i="3"/>
  <c r="H89" i="3"/>
  <c r="G89" i="3"/>
  <c r="E89" i="3"/>
  <c r="C89" i="3"/>
  <c r="B89" i="3"/>
  <c r="Q88" i="3"/>
  <c r="P88" i="3"/>
  <c r="O88" i="3"/>
  <c r="N88" i="3"/>
  <c r="M88" i="3"/>
  <c r="L88" i="3"/>
  <c r="K88" i="3"/>
  <c r="J88" i="3"/>
  <c r="I88" i="3"/>
  <c r="H88" i="3"/>
  <c r="G88" i="3"/>
  <c r="E88" i="3"/>
  <c r="C88" i="3"/>
  <c r="B88" i="3"/>
  <c r="Q87" i="3"/>
  <c r="P87" i="3"/>
  <c r="O87" i="3"/>
  <c r="N87" i="3"/>
  <c r="M87" i="3"/>
  <c r="L87" i="3"/>
  <c r="K87" i="3"/>
  <c r="J87" i="3"/>
  <c r="I87" i="3"/>
  <c r="H87" i="3"/>
  <c r="G87" i="3"/>
  <c r="E87" i="3"/>
  <c r="C87" i="3"/>
  <c r="B87" i="3"/>
  <c r="Q86" i="3"/>
  <c r="P86" i="3"/>
  <c r="O86" i="3"/>
  <c r="N86" i="3"/>
  <c r="M86" i="3"/>
  <c r="L86" i="3"/>
  <c r="K86" i="3"/>
  <c r="J86" i="3"/>
  <c r="I86" i="3"/>
  <c r="H86" i="3"/>
  <c r="G86" i="3"/>
  <c r="E86" i="3"/>
  <c r="C86" i="3"/>
  <c r="B86" i="3"/>
  <c r="Q85" i="3"/>
  <c r="P85" i="3"/>
  <c r="O85" i="3"/>
  <c r="N85" i="3"/>
  <c r="M85" i="3"/>
  <c r="L85" i="3"/>
  <c r="K85" i="3"/>
  <c r="J85" i="3"/>
  <c r="I85" i="3"/>
  <c r="H85" i="3"/>
  <c r="G85" i="3"/>
  <c r="E85" i="3"/>
  <c r="C85" i="3"/>
  <c r="B85" i="3"/>
  <c r="Q84" i="3"/>
  <c r="P84" i="3"/>
  <c r="O84" i="3"/>
  <c r="N84" i="3"/>
  <c r="M84" i="3"/>
  <c r="L84" i="3"/>
  <c r="K84" i="3"/>
  <c r="J84" i="3"/>
  <c r="I84" i="3"/>
  <c r="H84" i="3"/>
  <c r="G84" i="3"/>
  <c r="E84" i="3"/>
  <c r="C84" i="3"/>
  <c r="B84" i="3"/>
  <c r="Q83" i="3"/>
  <c r="P83" i="3"/>
  <c r="O83" i="3"/>
  <c r="N83" i="3"/>
  <c r="M83" i="3"/>
  <c r="L83" i="3"/>
  <c r="K83" i="3"/>
  <c r="J83" i="3"/>
  <c r="I83" i="3"/>
  <c r="H83" i="3"/>
  <c r="G83" i="3"/>
  <c r="E83" i="3"/>
  <c r="C83" i="3"/>
  <c r="B83" i="3"/>
  <c r="Q82" i="3"/>
  <c r="P82" i="3"/>
  <c r="O82" i="3"/>
  <c r="N82" i="3"/>
  <c r="M82" i="3"/>
  <c r="L82" i="3"/>
  <c r="K82" i="3"/>
  <c r="J82" i="3"/>
  <c r="I82" i="3"/>
  <c r="H82" i="3"/>
  <c r="G82" i="3"/>
  <c r="E82" i="3"/>
  <c r="C82" i="3"/>
  <c r="B82" i="3"/>
  <c r="Q81" i="3"/>
  <c r="P81" i="3"/>
  <c r="O81" i="3"/>
  <c r="N81" i="3"/>
  <c r="M81" i="3"/>
  <c r="L81" i="3"/>
  <c r="K81" i="3"/>
  <c r="J81" i="3"/>
  <c r="I81" i="3"/>
  <c r="H81" i="3"/>
  <c r="G81" i="3"/>
  <c r="E81" i="3"/>
  <c r="C81" i="3"/>
  <c r="B81" i="3"/>
  <c r="Q80" i="3"/>
  <c r="P80" i="3"/>
  <c r="O80" i="3"/>
  <c r="N80" i="3"/>
  <c r="M80" i="3"/>
  <c r="L80" i="3"/>
  <c r="K80" i="3"/>
  <c r="J80" i="3"/>
  <c r="I80" i="3"/>
  <c r="H80" i="3"/>
  <c r="G80" i="3"/>
  <c r="E80" i="3"/>
  <c r="C80" i="3"/>
  <c r="B80" i="3"/>
  <c r="Q79" i="3"/>
  <c r="P79" i="3"/>
  <c r="O79" i="3"/>
  <c r="N79" i="3"/>
  <c r="M79" i="3"/>
  <c r="L79" i="3"/>
  <c r="K79" i="3"/>
  <c r="J79" i="3"/>
  <c r="I79" i="3"/>
  <c r="H79" i="3"/>
  <c r="G79" i="3"/>
  <c r="E79" i="3"/>
  <c r="C79" i="3"/>
  <c r="B79" i="3"/>
  <c r="Q78" i="3"/>
  <c r="P78" i="3"/>
  <c r="O78" i="3"/>
  <c r="N78" i="3"/>
  <c r="M78" i="3"/>
  <c r="L78" i="3"/>
  <c r="K78" i="3"/>
  <c r="J78" i="3"/>
  <c r="I78" i="3"/>
  <c r="H78" i="3"/>
  <c r="G78" i="3"/>
  <c r="E78" i="3"/>
  <c r="C78" i="3"/>
  <c r="B78" i="3"/>
  <c r="Q77" i="3"/>
  <c r="P77" i="3"/>
  <c r="O77" i="3"/>
  <c r="N77" i="3"/>
  <c r="M77" i="3"/>
  <c r="L77" i="3"/>
  <c r="K77" i="3"/>
  <c r="J77" i="3"/>
  <c r="I77" i="3"/>
  <c r="H77" i="3"/>
  <c r="G77" i="3"/>
  <c r="E77" i="3"/>
  <c r="C77" i="3"/>
  <c r="B77" i="3"/>
  <c r="Q76" i="3"/>
  <c r="P76" i="3"/>
  <c r="O76" i="3"/>
  <c r="N76" i="3"/>
  <c r="M76" i="3"/>
  <c r="L76" i="3"/>
  <c r="K76" i="3"/>
  <c r="J76" i="3"/>
  <c r="I76" i="3"/>
  <c r="H76" i="3"/>
  <c r="G76" i="3"/>
  <c r="E76" i="3"/>
  <c r="C76" i="3"/>
  <c r="B76" i="3"/>
  <c r="Q75" i="3"/>
  <c r="P75" i="3"/>
  <c r="O75" i="3"/>
  <c r="N75" i="3"/>
  <c r="M75" i="3"/>
  <c r="L75" i="3"/>
  <c r="K75" i="3"/>
  <c r="J75" i="3"/>
  <c r="I75" i="3"/>
  <c r="H75" i="3"/>
  <c r="G75" i="3"/>
  <c r="E75" i="3"/>
  <c r="C75" i="3"/>
  <c r="B75" i="3"/>
  <c r="Q74" i="3"/>
  <c r="P74" i="3"/>
  <c r="O74" i="3"/>
  <c r="N74" i="3"/>
  <c r="M74" i="3"/>
  <c r="L74" i="3"/>
  <c r="K74" i="3"/>
  <c r="J74" i="3"/>
  <c r="I74" i="3"/>
  <c r="H74" i="3"/>
  <c r="G74" i="3"/>
  <c r="E74" i="3"/>
  <c r="C74" i="3"/>
  <c r="B74" i="3"/>
  <c r="Q73" i="3"/>
  <c r="P73" i="3"/>
  <c r="O73" i="3"/>
  <c r="N73" i="3"/>
  <c r="M73" i="3"/>
  <c r="L73" i="3"/>
  <c r="K73" i="3"/>
  <c r="J73" i="3"/>
  <c r="I73" i="3"/>
  <c r="H73" i="3"/>
  <c r="G73" i="3"/>
  <c r="E73" i="3"/>
  <c r="C73" i="3"/>
  <c r="B73" i="3"/>
  <c r="Q72" i="3"/>
  <c r="P72" i="3"/>
  <c r="O72" i="3"/>
  <c r="N72" i="3"/>
  <c r="M72" i="3"/>
  <c r="L72" i="3"/>
  <c r="K72" i="3"/>
  <c r="J72" i="3"/>
  <c r="I72" i="3"/>
  <c r="H72" i="3"/>
  <c r="G72" i="3"/>
  <c r="E72" i="3"/>
  <c r="C72" i="3"/>
  <c r="B72" i="3"/>
  <c r="Q71" i="3"/>
  <c r="P71" i="3"/>
  <c r="O71" i="3"/>
  <c r="N71" i="3"/>
  <c r="M71" i="3"/>
  <c r="L71" i="3"/>
  <c r="K71" i="3"/>
  <c r="J71" i="3"/>
  <c r="I71" i="3"/>
  <c r="H71" i="3"/>
  <c r="G71" i="3"/>
  <c r="E71" i="3"/>
  <c r="C71" i="3"/>
  <c r="B71" i="3"/>
  <c r="Q70" i="3"/>
  <c r="P70" i="3"/>
  <c r="O70" i="3"/>
  <c r="N70" i="3"/>
  <c r="M70" i="3"/>
  <c r="L70" i="3"/>
  <c r="K70" i="3"/>
  <c r="J70" i="3"/>
  <c r="I70" i="3"/>
  <c r="H70" i="3"/>
  <c r="G70" i="3"/>
  <c r="E70" i="3"/>
  <c r="C70" i="3"/>
  <c r="B70" i="3"/>
  <c r="Q69" i="3"/>
  <c r="P69" i="3"/>
  <c r="O69" i="3"/>
  <c r="N69" i="3"/>
  <c r="M69" i="3"/>
  <c r="L69" i="3"/>
  <c r="K69" i="3"/>
  <c r="J69" i="3"/>
  <c r="I69" i="3"/>
  <c r="H69" i="3"/>
  <c r="G69" i="3"/>
  <c r="E69" i="3"/>
  <c r="C69" i="3"/>
  <c r="B69" i="3"/>
  <c r="Q68" i="3"/>
  <c r="P68" i="3"/>
  <c r="O68" i="3"/>
  <c r="N68" i="3"/>
  <c r="M68" i="3"/>
  <c r="L68" i="3"/>
  <c r="K68" i="3"/>
  <c r="J68" i="3"/>
  <c r="I68" i="3"/>
  <c r="H68" i="3"/>
  <c r="G68" i="3"/>
  <c r="E68" i="3"/>
  <c r="C68" i="3"/>
  <c r="B68" i="3"/>
  <c r="Q67" i="3"/>
  <c r="P67" i="3"/>
  <c r="O67" i="3"/>
  <c r="N67" i="3"/>
  <c r="M67" i="3"/>
  <c r="L67" i="3"/>
  <c r="K67" i="3"/>
  <c r="J67" i="3"/>
  <c r="I67" i="3"/>
  <c r="H67" i="3"/>
  <c r="G67" i="3"/>
  <c r="E67" i="3"/>
  <c r="C67" i="3"/>
  <c r="B67" i="3"/>
  <c r="Q66" i="3"/>
  <c r="P66" i="3"/>
  <c r="O66" i="3"/>
  <c r="N66" i="3"/>
  <c r="M66" i="3"/>
  <c r="L66" i="3"/>
  <c r="K66" i="3"/>
  <c r="J66" i="3"/>
  <c r="I66" i="3"/>
  <c r="H66" i="3"/>
  <c r="G66" i="3"/>
  <c r="E66" i="3"/>
  <c r="C66" i="3"/>
  <c r="B66" i="3"/>
  <c r="Q65" i="3"/>
  <c r="P65" i="3"/>
  <c r="O65" i="3"/>
  <c r="N65" i="3"/>
  <c r="M65" i="3"/>
  <c r="L65" i="3"/>
  <c r="K65" i="3"/>
  <c r="J65" i="3"/>
  <c r="I65" i="3"/>
  <c r="H65" i="3"/>
  <c r="G65" i="3"/>
  <c r="E65" i="3"/>
  <c r="C65" i="3"/>
  <c r="B65" i="3"/>
  <c r="Q64" i="3"/>
  <c r="P64" i="3"/>
  <c r="O64" i="3"/>
  <c r="N64" i="3"/>
  <c r="M64" i="3"/>
  <c r="L64" i="3"/>
  <c r="K64" i="3"/>
  <c r="J64" i="3"/>
  <c r="I64" i="3"/>
  <c r="H64" i="3"/>
  <c r="G64" i="3"/>
  <c r="E64" i="3"/>
  <c r="C64" i="3"/>
  <c r="B64" i="3"/>
  <c r="Q63" i="3"/>
  <c r="P63" i="3"/>
  <c r="O63" i="3"/>
  <c r="N63" i="3"/>
  <c r="M63" i="3"/>
  <c r="L63" i="3"/>
  <c r="K63" i="3"/>
  <c r="J63" i="3"/>
  <c r="I63" i="3"/>
  <c r="H63" i="3"/>
  <c r="G63" i="3"/>
  <c r="E63" i="3"/>
  <c r="C63" i="3"/>
  <c r="B63" i="3"/>
  <c r="Q62" i="3"/>
  <c r="P62" i="3"/>
  <c r="O62" i="3"/>
  <c r="N62" i="3"/>
  <c r="M62" i="3"/>
  <c r="L62" i="3"/>
  <c r="K62" i="3"/>
  <c r="J62" i="3"/>
  <c r="I62" i="3"/>
  <c r="H62" i="3"/>
  <c r="G62" i="3"/>
  <c r="E62" i="3"/>
  <c r="C62" i="3"/>
  <c r="B62" i="3"/>
  <c r="Q61" i="3"/>
  <c r="P61" i="3"/>
  <c r="O61" i="3"/>
  <c r="N61" i="3"/>
  <c r="M61" i="3"/>
  <c r="L61" i="3"/>
  <c r="K61" i="3"/>
  <c r="J61" i="3"/>
  <c r="I61" i="3"/>
  <c r="H61" i="3"/>
  <c r="G61" i="3"/>
  <c r="E61" i="3"/>
  <c r="C61" i="3"/>
  <c r="B61" i="3"/>
  <c r="Q60" i="3"/>
  <c r="P60" i="3"/>
  <c r="O60" i="3"/>
  <c r="N60" i="3"/>
  <c r="M60" i="3"/>
  <c r="L60" i="3"/>
  <c r="K60" i="3"/>
  <c r="J60" i="3"/>
  <c r="I60" i="3"/>
  <c r="H60" i="3"/>
  <c r="G60" i="3"/>
  <c r="E60" i="3"/>
  <c r="C60" i="3"/>
  <c r="B60" i="3"/>
  <c r="Q59" i="3"/>
  <c r="P59" i="3"/>
  <c r="O59" i="3"/>
  <c r="N59" i="3"/>
  <c r="M59" i="3"/>
  <c r="L59" i="3"/>
  <c r="K59" i="3"/>
  <c r="J59" i="3"/>
  <c r="I59" i="3"/>
  <c r="H59" i="3"/>
  <c r="G59" i="3"/>
  <c r="E59" i="3"/>
  <c r="C59" i="3"/>
  <c r="B59" i="3"/>
  <c r="Q58" i="3"/>
  <c r="P58" i="3"/>
  <c r="O58" i="3"/>
  <c r="N58" i="3"/>
  <c r="M58" i="3"/>
  <c r="L58" i="3"/>
  <c r="K58" i="3"/>
  <c r="J58" i="3"/>
  <c r="I58" i="3"/>
  <c r="H58" i="3"/>
  <c r="G58" i="3"/>
  <c r="E58" i="3"/>
  <c r="C58" i="3"/>
  <c r="B58" i="3"/>
  <c r="Q57" i="3"/>
  <c r="P57" i="3"/>
  <c r="O57" i="3"/>
  <c r="N57" i="3"/>
  <c r="M57" i="3"/>
  <c r="L57" i="3"/>
  <c r="K57" i="3"/>
  <c r="J57" i="3"/>
  <c r="I57" i="3"/>
  <c r="H57" i="3"/>
  <c r="G57" i="3"/>
  <c r="E57" i="3"/>
  <c r="C57" i="3"/>
  <c r="B57" i="3"/>
  <c r="Q56" i="3"/>
  <c r="P56" i="3"/>
  <c r="O56" i="3"/>
  <c r="N56" i="3"/>
  <c r="M56" i="3"/>
  <c r="L56" i="3"/>
  <c r="K56" i="3"/>
  <c r="J56" i="3"/>
  <c r="I56" i="3"/>
  <c r="H56" i="3"/>
  <c r="G56" i="3"/>
  <c r="E56" i="3"/>
  <c r="C56" i="3"/>
  <c r="B56" i="3"/>
  <c r="Q55" i="3"/>
  <c r="P55" i="3"/>
  <c r="O55" i="3"/>
  <c r="N55" i="3"/>
  <c r="M55" i="3"/>
  <c r="L55" i="3"/>
  <c r="K55" i="3"/>
  <c r="J55" i="3"/>
  <c r="I55" i="3"/>
  <c r="H55" i="3"/>
  <c r="G55" i="3"/>
  <c r="E55" i="3"/>
  <c r="C55" i="3"/>
  <c r="B55" i="3"/>
  <c r="Q54" i="3"/>
  <c r="P54" i="3"/>
  <c r="O54" i="3"/>
  <c r="N54" i="3"/>
  <c r="M54" i="3"/>
  <c r="L54" i="3"/>
  <c r="K54" i="3"/>
  <c r="J54" i="3"/>
  <c r="I54" i="3"/>
  <c r="H54" i="3"/>
  <c r="G54" i="3"/>
  <c r="E54" i="3"/>
  <c r="C54" i="3"/>
  <c r="B54" i="3"/>
  <c r="Q53" i="3"/>
  <c r="P53" i="3"/>
  <c r="O53" i="3"/>
  <c r="N53" i="3"/>
  <c r="M53" i="3"/>
  <c r="L53" i="3"/>
  <c r="K53" i="3"/>
  <c r="J53" i="3"/>
  <c r="I53" i="3"/>
  <c r="H53" i="3"/>
  <c r="G53" i="3"/>
  <c r="E53" i="3"/>
  <c r="C53" i="3"/>
  <c r="B53" i="3"/>
  <c r="Q52" i="3"/>
  <c r="P52" i="3"/>
  <c r="O52" i="3"/>
  <c r="N52" i="3"/>
  <c r="M52" i="3"/>
  <c r="L52" i="3"/>
  <c r="K52" i="3"/>
  <c r="J52" i="3"/>
  <c r="I52" i="3"/>
  <c r="H52" i="3"/>
  <c r="G52" i="3"/>
  <c r="E52" i="3"/>
  <c r="C52" i="3"/>
  <c r="B52" i="3"/>
  <c r="Q51" i="3"/>
  <c r="P51" i="3"/>
  <c r="O51" i="3"/>
  <c r="N51" i="3"/>
  <c r="M51" i="3"/>
  <c r="L51" i="3"/>
  <c r="K51" i="3"/>
  <c r="J51" i="3"/>
  <c r="I51" i="3"/>
  <c r="H51" i="3"/>
  <c r="G51" i="3"/>
  <c r="E51" i="3"/>
  <c r="C51" i="3"/>
  <c r="B51" i="3"/>
  <c r="Q50" i="3"/>
  <c r="P50" i="3"/>
  <c r="O50" i="3"/>
  <c r="N50" i="3"/>
  <c r="M50" i="3"/>
  <c r="L50" i="3"/>
  <c r="K50" i="3"/>
  <c r="J50" i="3"/>
  <c r="I50" i="3"/>
  <c r="H50" i="3"/>
  <c r="G50" i="3"/>
  <c r="E50" i="3"/>
  <c r="C50" i="3"/>
  <c r="B50" i="3"/>
  <c r="Q49" i="3"/>
  <c r="P49" i="3"/>
  <c r="O49" i="3"/>
  <c r="N49" i="3"/>
  <c r="M49" i="3"/>
  <c r="L49" i="3"/>
  <c r="K49" i="3"/>
  <c r="J49" i="3"/>
  <c r="I49" i="3"/>
  <c r="H49" i="3"/>
  <c r="G49" i="3"/>
  <c r="E49" i="3"/>
  <c r="C49" i="3"/>
  <c r="B49" i="3"/>
  <c r="Q48" i="3"/>
  <c r="P48" i="3"/>
  <c r="O48" i="3"/>
  <c r="N48" i="3"/>
  <c r="M48" i="3"/>
  <c r="L48" i="3"/>
  <c r="K48" i="3"/>
  <c r="J48" i="3"/>
  <c r="I48" i="3"/>
  <c r="H48" i="3"/>
  <c r="G48" i="3"/>
  <c r="E48" i="3"/>
  <c r="C48" i="3"/>
  <c r="B48" i="3"/>
  <c r="Q47" i="3"/>
  <c r="P47" i="3"/>
  <c r="O47" i="3"/>
  <c r="N47" i="3"/>
  <c r="M47" i="3"/>
  <c r="L47" i="3"/>
  <c r="K47" i="3"/>
  <c r="J47" i="3"/>
  <c r="I47" i="3"/>
  <c r="H47" i="3"/>
  <c r="G47" i="3"/>
  <c r="E47" i="3"/>
  <c r="C47" i="3"/>
  <c r="B47" i="3"/>
  <c r="Q46" i="3"/>
  <c r="P46" i="3"/>
  <c r="O46" i="3"/>
  <c r="N46" i="3"/>
  <c r="M46" i="3"/>
  <c r="L46" i="3"/>
  <c r="K46" i="3"/>
  <c r="J46" i="3"/>
  <c r="I46" i="3"/>
  <c r="H46" i="3"/>
  <c r="G46" i="3"/>
  <c r="E46" i="3"/>
  <c r="C46" i="3"/>
  <c r="B46" i="3"/>
  <c r="Q45" i="3"/>
  <c r="P45" i="3"/>
  <c r="O45" i="3"/>
  <c r="N45" i="3"/>
  <c r="M45" i="3"/>
  <c r="L45" i="3"/>
  <c r="K45" i="3"/>
  <c r="J45" i="3"/>
  <c r="I45" i="3"/>
  <c r="H45" i="3"/>
  <c r="G45" i="3"/>
  <c r="E45" i="3"/>
  <c r="C45" i="3"/>
  <c r="B45" i="3"/>
  <c r="Q44" i="3"/>
  <c r="P44" i="3"/>
  <c r="O44" i="3"/>
  <c r="N44" i="3"/>
  <c r="M44" i="3"/>
  <c r="L44" i="3"/>
  <c r="K44" i="3"/>
  <c r="J44" i="3"/>
  <c r="I44" i="3"/>
  <c r="H44" i="3"/>
  <c r="G44" i="3"/>
  <c r="E44" i="3"/>
  <c r="C44" i="3"/>
  <c r="B44" i="3"/>
  <c r="Q43" i="3"/>
  <c r="P43" i="3"/>
  <c r="O43" i="3"/>
  <c r="N43" i="3"/>
  <c r="M43" i="3"/>
  <c r="L43" i="3"/>
  <c r="K43" i="3"/>
  <c r="J43" i="3"/>
  <c r="I43" i="3"/>
  <c r="H43" i="3"/>
  <c r="G43" i="3"/>
  <c r="E43" i="3"/>
  <c r="C43" i="3"/>
  <c r="B43" i="3"/>
  <c r="Q42" i="3"/>
  <c r="P42" i="3"/>
  <c r="O42" i="3"/>
  <c r="N42" i="3"/>
  <c r="M42" i="3"/>
  <c r="L42" i="3"/>
  <c r="K42" i="3"/>
  <c r="J42" i="3"/>
  <c r="I42" i="3"/>
  <c r="H42" i="3"/>
  <c r="G42" i="3"/>
  <c r="E42" i="3"/>
  <c r="C42" i="3"/>
  <c r="B42" i="3"/>
  <c r="Q41" i="3"/>
  <c r="P41" i="3"/>
  <c r="O41" i="3"/>
  <c r="N41" i="3"/>
  <c r="M41" i="3"/>
  <c r="L41" i="3"/>
  <c r="K41" i="3"/>
  <c r="J41" i="3"/>
  <c r="I41" i="3"/>
  <c r="H41" i="3"/>
  <c r="G41" i="3"/>
  <c r="E41" i="3"/>
  <c r="C41" i="3"/>
  <c r="B41" i="3"/>
  <c r="Q40" i="3"/>
  <c r="P40" i="3"/>
  <c r="O40" i="3"/>
  <c r="N40" i="3"/>
  <c r="M40" i="3"/>
  <c r="L40" i="3"/>
  <c r="K40" i="3"/>
  <c r="J40" i="3"/>
  <c r="I40" i="3"/>
  <c r="H40" i="3"/>
  <c r="G40" i="3"/>
  <c r="E40" i="3"/>
  <c r="C40" i="3"/>
  <c r="B40" i="3"/>
  <c r="Q39" i="3"/>
  <c r="P39" i="3"/>
  <c r="O39" i="3"/>
  <c r="N39" i="3"/>
  <c r="M39" i="3"/>
  <c r="L39" i="3"/>
  <c r="K39" i="3"/>
  <c r="J39" i="3"/>
  <c r="I39" i="3"/>
  <c r="H39" i="3"/>
  <c r="G39" i="3"/>
  <c r="E39" i="3"/>
  <c r="C39" i="3"/>
  <c r="B39" i="3"/>
  <c r="Q38" i="3"/>
  <c r="P38" i="3"/>
  <c r="O38" i="3"/>
  <c r="N38" i="3"/>
  <c r="M38" i="3"/>
  <c r="L38" i="3"/>
  <c r="K38" i="3"/>
  <c r="J38" i="3"/>
  <c r="I38" i="3"/>
  <c r="H38" i="3"/>
  <c r="G38" i="3"/>
  <c r="E38" i="3"/>
  <c r="C38" i="3"/>
  <c r="B38" i="3"/>
  <c r="Q37" i="3"/>
  <c r="P37" i="3"/>
  <c r="O37" i="3"/>
  <c r="N37" i="3"/>
  <c r="M37" i="3"/>
  <c r="L37" i="3"/>
  <c r="K37" i="3"/>
  <c r="J37" i="3"/>
  <c r="I37" i="3"/>
  <c r="H37" i="3"/>
  <c r="G37" i="3"/>
  <c r="E37" i="3"/>
  <c r="C37" i="3"/>
  <c r="B37" i="3"/>
  <c r="Q36" i="3"/>
  <c r="P36" i="3"/>
  <c r="O36" i="3"/>
  <c r="N36" i="3"/>
  <c r="M36" i="3"/>
  <c r="L36" i="3"/>
  <c r="K36" i="3"/>
  <c r="J36" i="3"/>
  <c r="I36" i="3"/>
  <c r="H36" i="3"/>
  <c r="G36" i="3"/>
  <c r="E36" i="3"/>
  <c r="C36" i="3"/>
  <c r="B36" i="3"/>
  <c r="Q35" i="3"/>
  <c r="P35" i="3"/>
  <c r="O35" i="3"/>
  <c r="N35" i="3"/>
  <c r="M35" i="3"/>
  <c r="L35" i="3"/>
  <c r="K35" i="3"/>
  <c r="J35" i="3"/>
  <c r="I35" i="3"/>
  <c r="H35" i="3"/>
  <c r="G35" i="3"/>
  <c r="E35" i="3"/>
  <c r="C35" i="3"/>
  <c r="B35" i="3"/>
  <c r="Q34" i="3"/>
  <c r="P34" i="3"/>
  <c r="O34" i="3"/>
  <c r="N34" i="3"/>
  <c r="M34" i="3"/>
  <c r="L34" i="3"/>
  <c r="K34" i="3"/>
  <c r="J34" i="3"/>
  <c r="I34" i="3"/>
  <c r="H34" i="3"/>
  <c r="G34" i="3"/>
  <c r="E34" i="3"/>
  <c r="C34" i="3"/>
  <c r="B34" i="3"/>
  <c r="Q33" i="3"/>
  <c r="P33" i="3"/>
  <c r="O33" i="3"/>
  <c r="N33" i="3"/>
  <c r="M33" i="3"/>
  <c r="L33" i="3"/>
  <c r="K33" i="3"/>
  <c r="J33" i="3"/>
  <c r="I33" i="3"/>
  <c r="H33" i="3"/>
  <c r="G33" i="3"/>
  <c r="E33" i="3"/>
  <c r="C33" i="3"/>
  <c r="B33" i="3"/>
  <c r="Q32" i="3"/>
  <c r="P32" i="3"/>
  <c r="O32" i="3"/>
  <c r="N32" i="3"/>
  <c r="M32" i="3"/>
  <c r="L32" i="3"/>
  <c r="K32" i="3"/>
  <c r="J32" i="3"/>
  <c r="I32" i="3"/>
  <c r="H32" i="3"/>
  <c r="G32" i="3"/>
  <c r="E32" i="3"/>
  <c r="C32" i="3"/>
  <c r="B32" i="3"/>
  <c r="Q31" i="3"/>
  <c r="P31" i="3"/>
  <c r="O31" i="3"/>
  <c r="N31" i="3"/>
  <c r="M31" i="3"/>
  <c r="L31" i="3"/>
  <c r="K31" i="3"/>
  <c r="J31" i="3"/>
  <c r="I31" i="3"/>
  <c r="H31" i="3"/>
  <c r="G31" i="3"/>
  <c r="E31" i="3"/>
  <c r="C31" i="3"/>
  <c r="B31" i="3"/>
  <c r="Q30" i="3"/>
  <c r="P30" i="3"/>
  <c r="O30" i="3"/>
  <c r="N30" i="3"/>
  <c r="M30" i="3"/>
  <c r="L30" i="3"/>
  <c r="K30" i="3"/>
  <c r="J30" i="3"/>
  <c r="I30" i="3"/>
  <c r="H30" i="3"/>
  <c r="G30" i="3"/>
  <c r="E30" i="3"/>
  <c r="C30" i="3"/>
  <c r="B30" i="3"/>
  <c r="Q29" i="3"/>
  <c r="P29" i="3"/>
  <c r="O29" i="3"/>
  <c r="N29" i="3"/>
  <c r="M29" i="3"/>
  <c r="L29" i="3"/>
  <c r="K29" i="3"/>
  <c r="J29" i="3"/>
  <c r="I29" i="3"/>
  <c r="H29" i="3"/>
  <c r="G29" i="3"/>
  <c r="E29" i="3"/>
  <c r="C29" i="3"/>
  <c r="B29" i="3"/>
  <c r="Q28" i="3"/>
  <c r="P28" i="3"/>
  <c r="O28" i="3"/>
  <c r="N28" i="3"/>
  <c r="M28" i="3"/>
  <c r="L28" i="3"/>
  <c r="K28" i="3"/>
  <c r="J28" i="3"/>
  <c r="I28" i="3"/>
  <c r="H28" i="3"/>
  <c r="G28" i="3"/>
  <c r="E28" i="3"/>
  <c r="C28" i="3"/>
  <c r="B28" i="3"/>
  <c r="Q27" i="3"/>
  <c r="P27" i="3"/>
  <c r="O27" i="3"/>
  <c r="N27" i="3"/>
  <c r="M27" i="3"/>
  <c r="L27" i="3"/>
  <c r="K27" i="3"/>
  <c r="J27" i="3"/>
  <c r="I27" i="3"/>
  <c r="H27" i="3"/>
  <c r="G27" i="3"/>
  <c r="E27" i="3"/>
  <c r="C27" i="3"/>
  <c r="B27" i="3"/>
  <c r="Q26" i="3"/>
  <c r="P26" i="3"/>
  <c r="O26" i="3"/>
  <c r="N26" i="3"/>
  <c r="M26" i="3"/>
  <c r="L26" i="3"/>
  <c r="K26" i="3"/>
  <c r="J26" i="3"/>
  <c r="I26" i="3"/>
  <c r="H26" i="3"/>
  <c r="G26" i="3"/>
  <c r="E26" i="3"/>
  <c r="C26" i="3"/>
  <c r="B26" i="3"/>
  <c r="Q25" i="3"/>
  <c r="P25" i="3"/>
  <c r="O25" i="3"/>
  <c r="N25" i="3"/>
  <c r="M25" i="3"/>
  <c r="L25" i="3"/>
  <c r="K25" i="3"/>
  <c r="J25" i="3"/>
  <c r="I25" i="3"/>
  <c r="H25" i="3"/>
  <c r="G25" i="3"/>
  <c r="E25" i="3"/>
  <c r="C25" i="3"/>
  <c r="B25" i="3"/>
  <c r="Q24" i="3"/>
  <c r="P24" i="3"/>
  <c r="O24" i="3"/>
  <c r="N24" i="3"/>
  <c r="M24" i="3"/>
  <c r="L24" i="3"/>
  <c r="K24" i="3"/>
  <c r="J24" i="3"/>
  <c r="I24" i="3"/>
  <c r="H24" i="3"/>
  <c r="G24" i="3"/>
  <c r="E24" i="3"/>
  <c r="C24" i="3"/>
  <c r="B24" i="3"/>
  <c r="Q23" i="3"/>
  <c r="P23" i="3"/>
  <c r="O23" i="3"/>
  <c r="N23" i="3"/>
  <c r="M23" i="3"/>
  <c r="L23" i="3"/>
  <c r="K23" i="3"/>
  <c r="J23" i="3"/>
  <c r="I23" i="3"/>
  <c r="H23" i="3"/>
  <c r="G23" i="3"/>
  <c r="E23" i="3"/>
  <c r="C23" i="3"/>
  <c r="B23" i="3"/>
  <c r="Q22" i="3"/>
  <c r="P22" i="3"/>
  <c r="O22" i="3"/>
  <c r="N22" i="3"/>
  <c r="M22" i="3"/>
  <c r="L22" i="3"/>
  <c r="K22" i="3"/>
  <c r="J22" i="3"/>
  <c r="I22" i="3"/>
  <c r="H22" i="3"/>
  <c r="G22" i="3"/>
  <c r="E22" i="3"/>
  <c r="C22" i="3"/>
  <c r="B22" i="3"/>
  <c r="Q21" i="3"/>
  <c r="P21" i="3"/>
  <c r="O21" i="3"/>
  <c r="N21" i="3"/>
  <c r="M21" i="3"/>
  <c r="L21" i="3"/>
  <c r="K21" i="3"/>
  <c r="J21" i="3"/>
  <c r="I21" i="3"/>
  <c r="H21" i="3"/>
  <c r="G21" i="3"/>
  <c r="E21" i="3"/>
  <c r="C21" i="3"/>
  <c r="B21" i="3"/>
  <c r="Q20" i="3"/>
  <c r="P20" i="3"/>
  <c r="O20" i="3"/>
  <c r="N20" i="3"/>
  <c r="M20" i="3"/>
  <c r="L20" i="3"/>
  <c r="K20" i="3"/>
  <c r="J20" i="3"/>
  <c r="I20" i="3"/>
  <c r="H20" i="3"/>
  <c r="G20" i="3"/>
  <c r="E20" i="3"/>
  <c r="C20" i="3"/>
  <c r="B20" i="3"/>
  <c r="Q19" i="3"/>
  <c r="P19" i="3"/>
  <c r="O19" i="3"/>
  <c r="N19" i="3"/>
  <c r="M19" i="3"/>
  <c r="L19" i="3"/>
  <c r="K19" i="3"/>
  <c r="J19" i="3"/>
  <c r="I19" i="3"/>
  <c r="H19" i="3"/>
  <c r="G19" i="3"/>
  <c r="E19" i="3"/>
  <c r="C19" i="3"/>
  <c r="B19" i="3"/>
  <c r="Q18" i="3"/>
  <c r="P18" i="3"/>
  <c r="O18" i="3"/>
  <c r="N18" i="3"/>
  <c r="M18" i="3"/>
  <c r="L18" i="3"/>
  <c r="K18" i="3"/>
  <c r="J18" i="3"/>
  <c r="I18" i="3"/>
  <c r="H18" i="3"/>
  <c r="G18" i="3"/>
  <c r="E18" i="3"/>
  <c r="C18" i="3"/>
  <c r="B18" i="3"/>
  <c r="Q17" i="3"/>
  <c r="P17" i="3"/>
  <c r="O17" i="3"/>
  <c r="N17" i="3"/>
  <c r="M17" i="3"/>
  <c r="L17" i="3"/>
  <c r="K17" i="3"/>
  <c r="J17" i="3"/>
  <c r="I17" i="3"/>
  <c r="H17" i="3"/>
  <c r="G17" i="3"/>
  <c r="E17" i="3"/>
  <c r="C17" i="3"/>
  <c r="B17" i="3"/>
  <c r="Q16" i="3"/>
  <c r="P16" i="3"/>
  <c r="O16" i="3"/>
  <c r="N16" i="3"/>
  <c r="M16" i="3"/>
  <c r="L16" i="3"/>
  <c r="K16" i="3"/>
  <c r="J16" i="3"/>
  <c r="I16" i="3"/>
  <c r="H16" i="3"/>
  <c r="G16" i="3"/>
  <c r="E16" i="3"/>
  <c r="C16" i="3"/>
  <c r="B16" i="3"/>
  <c r="Q15" i="3"/>
  <c r="P15" i="3"/>
  <c r="O15" i="3"/>
  <c r="N15" i="3"/>
  <c r="M15" i="3"/>
  <c r="L15" i="3"/>
  <c r="K15" i="3"/>
  <c r="J15" i="3"/>
  <c r="I15" i="3"/>
  <c r="H15" i="3"/>
  <c r="G15" i="3"/>
  <c r="E15" i="3"/>
  <c r="C15" i="3"/>
  <c r="B15" i="3"/>
  <c r="Q14" i="3"/>
  <c r="P14" i="3"/>
  <c r="O14" i="3"/>
  <c r="N14" i="3"/>
  <c r="M14" i="3"/>
  <c r="L14" i="3"/>
  <c r="K14" i="3"/>
  <c r="J14" i="3"/>
  <c r="I14" i="3"/>
  <c r="H14" i="3"/>
  <c r="G14" i="3"/>
  <c r="E14" i="3"/>
  <c r="C14" i="3"/>
  <c r="B14" i="3"/>
  <c r="Q13" i="3"/>
  <c r="P13" i="3"/>
  <c r="O13" i="3"/>
  <c r="N13" i="3"/>
  <c r="M13" i="3"/>
  <c r="L13" i="3"/>
  <c r="K13" i="3"/>
  <c r="J13" i="3"/>
  <c r="I13" i="3"/>
  <c r="H13" i="3"/>
  <c r="G13" i="3"/>
  <c r="E13" i="3"/>
  <c r="C13" i="3"/>
  <c r="B13" i="3"/>
  <c r="Q12" i="3"/>
  <c r="P12" i="3"/>
  <c r="O12" i="3"/>
  <c r="N12" i="3"/>
  <c r="M12" i="3"/>
  <c r="L12" i="3"/>
  <c r="K12" i="3"/>
  <c r="J12" i="3"/>
  <c r="I12" i="3"/>
  <c r="H12" i="3"/>
  <c r="G12" i="3"/>
  <c r="E12" i="3"/>
  <c r="C12" i="3"/>
  <c r="B12" i="3"/>
  <c r="Q11" i="3"/>
  <c r="P11" i="3"/>
  <c r="O11" i="3"/>
  <c r="N11" i="3"/>
  <c r="M11" i="3"/>
  <c r="L11" i="3"/>
  <c r="K11" i="3"/>
  <c r="J11" i="3"/>
  <c r="I11" i="3"/>
  <c r="H11" i="3"/>
  <c r="G11" i="3"/>
  <c r="E11" i="3"/>
  <c r="C11" i="3"/>
  <c r="B11" i="3"/>
  <c r="Q10" i="3"/>
  <c r="P10" i="3"/>
  <c r="O10" i="3"/>
  <c r="N10" i="3"/>
  <c r="M10" i="3"/>
  <c r="L10" i="3"/>
  <c r="K10" i="3"/>
  <c r="J10" i="3"/>
  <c r="I10" i="3"/>
  <c r="H10" i="3"/>
  <c r="G10" i="3"/>
  <c r="E10" i="3"/>
  <c r="C10" i="3"/>
  <c r="B10" i="3"/>
  <c r="Q9" i="3"/>
  <c r="P9" i="3"/>
  <c r="O9" i="3"/>
  <c r="N9" i="3"/>
  <c r="M9" i="3"/>
  <c r="L9" i="3"/>
  <c r="K9" i="3"/>
  <c r="J9" i="3"/>
  <c r="I9" i="3"/>
  <c r="H9" i="3"/>
  <c r="G9" i="3"/>
  <c r="E9" i="3"/>
  <c r="C9" i="3"/>
  <c r="B9" i="3"/>
  <c r="Q8" i="3"/>
  <c r="P8" i="3"/>
  <c r="O8" i="3"/>
  <c r="N8" i="3"/>
  <c r="M8" i="3"/>
  <c r="L8" i="3"/>
  <c r="K8" i="3"/>
  <c r="J8" i="3"/>
  <c r="I8" i="3"/>
  <c r="H8" i="3"/>
  <c r="G8" i="3"/>
  <c r="E8" i="3"/>
  <c r="C8" i="3"/>
  <c r="B8" i="3"/>
  <c r="Q7" i="3"/>
  <c r="P7" i="3"/>
  <c r="O7" i="3"/>
  <c r="N7" i="3"/>
  <c r="M7" i="3"/>
  <c r="L7" i="3"/>
  <c r="K7" i="3"/>
  <c r="J7" i="3"/>
  <c r="I7" i="3"/>
  <c r="H7" i="3"/>
  <c r="G7" i="3"/>
  <c r="E7" i="3"/>
  <c r="C7" i="3"/>
  <c r="B7" i="3"/>
  <c r="Q6" i="3"/>
  <c r="P6" i="3"/>
  <c r="O6" i="3"/>
  <c r="N6" i="3"/>
  <c r="M6" i="3"/>
  <c r="L6" i="3"/>
  <c r="K6" i="3"/>
  <c r="J6" i="3"/>
  <c r="I6" i="3"/>
  <c r="H6" i="3"/>
  <c r="G6" i="3"/>
  <c r="E6" i="3"/>
  <c r="C6" i="3"/>
  <c r="B6" i="3"/>
  <c r="Q5" i="3"/>
  <c r="P5" i="3"/>
  <c r="O5" i="3"/>
  <c r="N5" i="3"/>
  <c r="M5" i="3"/>
  <c r="L5" i="3"/>
  <c r="K5" i="3"/>
  <c r="J5" i="3"/>
  <c r="I5" i="3"/>
  <c r="H5" i="3"/>
  <c r="G5" i="3"/>
  <c r="E5" i="3"/>
  <c r="C5" i="3"/>
  <c r="B5" i="3"/>
  <c r="Q4" i="3"/>
  <c r="P4" i="3"/>
  <c r="O4" i="3"/>
  <c r="N4" i="3"/>
  <c r="M4" i="3"/>
  <c r="L4" i="3"/>
  <c r="K4" i="3"/>
  <c r="J4" i="3"/>
  <c r="I4" i="3"/>
  <c r="H4" i="3"/>
  <c r="G4" i="3"/>
  <c r="E4" i="3"/>
  <c r="C4" i="3"/>
  <c r="B4" i="3"/>
  <c r="Q3" i="3"/>
  <c r="P3" i="3"/>
  <c r="O3" i="3"/>
  <c r="N3" i="3"/>
  <c r="M3" i="3"/>
  <c r="L3" i="3"/>
  <c r="K3" i="3"/>
  <c r="J3" i="3"/>
  <c r="I3" i="3"/>
  <c r="H3" i="3"/>
  <c r="G3" i="3"/>
  <c r="E3" i="3"/>
  <c r="C3" i="3"/>
  <c r="B3" i="3"/>
  <c r="Q2" i="3"/>
  <c r="P2" i="3"/>
  <c r="O2" i="3"/>
  <c r="N2" i="3"/>
  <c r="M2" i="3"/>
  <c r="L2" i="3"/>
  <c r="K2" i="3"/>
  <c r="J2" i="3"/>
  <c r="I2" i="3"/>
  <c r="H2" i="3"/>
  <c r="G2" i="3"/>
  <c r="E2" i="3"/>
  <c r="C2" i="3"/>
  <c r="T2" i="3" s="1"/>
  <c r="B2" i="3"/>
  <c r="A2" i="4"/>
  <c r="W3" i="3" l="1"/>
  <c r="V3" i="3"/>
  <c r="W7" i="3"/>
  <c r="V7" i="3"/>
  <c r="W47" i="3"/>
  <c r="V47" i="3"/>
  <c r="W51" i="3"/>
  <c r="V51" i="3"/>
  <c r="W171" i="3"/>
  <c r="V171" i="3"/>
  <c r="W175" i="3"/>
  <c r="V175" i="3"/>
  <c r="W179" i="3"/>
  <c r="V179" i="3"/>
  <c r="W195" i="3"/>
  <c r="V195" i="3"/>
  <c r="W263" i="3"/>
  <c r="V263" i="3"/>
  <c r="W315" i="3"/>
  <c r="V315" i="3"/>
  <c r="V343" i="3"/>
  <c r="W343" i="3"/>
  <c r="W375" i="3"/>
  <c r="V375" i="3"/>
  <c r="W407" i="3"/>
  <c r="V407" i="3"/>
  <c r="W423" i="3"/>
  <c r="V423" i="3"/>
  <c r="W511" i="3"/>
  <c r="V511" i="3"/>
  <c r="W539" i="3"/>
  <c r="V539" i="3"/>
  <c r="W543" i="3"/>
  <c r="V543" i="3"/>
  <c r="V547" i="3"/>
  <c r="W547" i="3"/>
  <c r="W551" i="3"/>
  <c r="V551" i="3"/>
  <c r="W555" i="3"/>
  <c r="V555" i="3"/>
  <c r="W559" i="3"/>
  <c r="V559" i="3"/>
  <c r="W563" i="3"/>
  <c r="V563" i="3"/>
  <c r="W571" i="3"/>
  <c r="V571" i="3"/>
  <c r="W575" i="3"/>
  <c r="V575" i="3"/>
  <c r="W579" i="3"/>
  <c r="V579" i="3"/>
  <c r="W583" i="3"/>
  <c r="V583" i="3"/>
  <c r="W587" i="3"/>
  <c r="V587" i="3"/>
  <c r="W591" i="3"/>
  <c r="V591" i="3"/>
  <c r="W595" i="3"/>
  <c r="V595" i="3"/>
  <c r="W599" i="3"/>
  <c r="V599" i="3"/>
  <c r="W603" i="3"/>
  <c r="V603" i="3"/>
  <c r="W607" i="3"/>
  <c r="V607" i="3"/>
  <c r="W611" i="3"/>
  <c r="V611" i="3"/>
  <c r="W615" i="3"/>
  <c r="V615" i="3"/>
  <c r="W619" i="3"/>
  <c r="V619" i="3"/>
  <c r="W623" i="3"/>
  <c r="V623" i="3"/>
  <c r="W627" i="3"/>
  <c r="V627" i="3"/>
  <c r="W631" i="3"/>
  <c r="V631" i="3"/>
  <c r="W635" i="3"/>
  <c r="V635" i="3"/>
  <c r="W639" i="3"/>
  <c r="V639" i="3"/>
  <c r="W643" i="3"/>
  <c r="V643" i="3"/>
  <c r="W647" i="3"/>
  <c r="V647" i="3"/>
  <c r="W651" i="3"/>
  <c r="V651" i="3"/>
  <c r="W655" i="3"/>
  <c r="V655" i="3"/>
  <c r="W659" i="3"/>
  <c r="V659" i="3"/>
  <c r="W663" i="3"/>
  <c r="V663" i="3"/>
  <c r="T667" i="3"/>
  <c r="U667" i="3"/>
  <c r="T671" i="3"/>
  <c r="U671" i="3"/>
  <c r="T675" i="3"/>
  <c r="U675" i="3"/>
  <c r="T679" i="3"/>
  <c r="U679" i="3"/>
  <c r="T683" i="3"/>
  <c r="U683" i="3"/>
  <c r="U687" i="3"/>
  <c r="T687" i="3"/>
  <c r="T691" i="3"/>
  <c r="U691" i="3"/>
  <c r="T695" i="3"/>
  <c r="U695" i="3"/>
  <c r="T699" i="3"/>
  <c r="U699" i="3"/>
  <c r="W35" i="3"/>
  <c r="V35" i="3"/>
  <c r="W79" i="3"/>
  <c r="V79" i="3"/>
  <c r="W111" i="3"/>
  <c r="V111" i="3"/>
  <c r="W135" i="3"/>
  <c r="V135" i="3"/>
  <c r="W223" i="3"/>
  <c r="V223" i="3"/>
  <c r="W267" i="3"/>
  <c r="V267" i="3"/>
  <c r="W271" i="3"/>
  <c r="V271" i="3"/>
  <c r="W307" i="3"/>
  <c r="V307" i="3"/>
  <c r="W339" i="3"/>
  <c r="V339" i="3"/>
  <c r="W367" i="3"/>
  <c r="V367" i="3"/>
  <c r="W379" i="3"/>
  <c r="V379" i="3"/>
  <c r="V383" i="3"/>
  <c r="W383" i="3"/>
  <c r="W427" i="3"/>
  <c r="V427" i="3"/>
  <c r="W443" i="3"/>
  <c r="V443" i="3"/>
  <c r="V447" i="3"/>
  <c r="W447" i="3"/>
  <c r="W451" i="3"/>
  <c r="V451" i="3"/>
  <c r="W487" i="3"/>
  <c r="V487" i="3"/>
  <c r="W507" i="3"/>
  <c r="V507" i="3"/>
  <c r="W567" i="3"/>
  <c r="V567" i="3"/>
  <c r="T10" i="3"/>
  <c r="U10" i="3"/>
  <c r="T14" i="3"/>
  <c r="U14" i="3"/>
  <c r="T18" i="3"/>
  <c r="U18" i="3"/>
  <c r="T22" i="3"/>
  <c r="U22" i="3"/>
  <c r="T26" i="3"/>
  <c r="U26" i="3"/>
  <c r="T30" i="3"/>
  <c r="U30" i="3"/>
  <c r="T34" i="3"/>
  <c r="U34" i="3"/>
  <c r="T38" i="3"/>
  <c r="U38" i="3"/>
  <c r="T42" i="3"/>
  <c r="U42" i="3"/>
  <c r="T46" i="3"/>
  <c r="U46" i="3"/>
  <c r="T50" i="3"/>
  <c r="U50" i="3"/>
  <c r="T54" i="3"/>
  <c r="U54" i="3"/>
  <c r="T58" i="3"/>
  <c r="U58" i="3"/>
  <c r="T62" i="3"/>
  <c r="U62" i="3"/>
  <c r="T66" i="3"/>
  <c r="U66" i="3"/>
  <c r="T70" i="3"/>
  <c r="U70" i="3"/>
  <c r="T74" i="3"/>
  <c r="U74" i="3"/>
  <c r="T78" i="3"/>
  <c r="U78" i="3"/>
  <c r="T82" i="3"/>
  <c r="U82" i="3"/>
  <c r="T86" i="3"/>
  <c r="U86" i="3"/>
  <c r="T90" i="3"/>
  <c r="U90" i="3"/>
  <c r="T94" i="3"/>
  <c r="U94" i="3"/>
  <c r="T98" i="3"/>
  <c r="U98" i="3"/>
  <c r="T102" i="3"/>
  <c r="U102" i="3"/>
  <c r="T106" i="3"/>
  <c r="U106" i="3"/>
  <c r="T110" i="3"/>
  <c r="U110" i="3"/>
  <c r="T114" i="3"/>
  <c r="U114" i="3"/>
  <c r="T118" i="3"/>
  <c r="U118" i="3"/>
  <c r="T122" i="3"/>
  <c r="U122" i="3"/>
  <c r="T126" i="3"/>
  <c r="U126" i="3"/>
  <c r="T130" i="3"/>
  <c r="U130" i="3"/>
  <c r="T134" i="3"/>
  <c r="U134" i="3"/>
  <c r="T138" i="3"/>
  <c r="U138" i="3"/>
  <c r="T142" i="3"/>
  <c r="U142" i="3"/>
  <c r="T146" i="3"/>
  <c r="U146" i="3"/>
  <c r="T150" i="3"/>
  <c r="U150" i="3"/>
  <c r="T154" i="3"/>
  <c r="U154" i="3"/>
  <c r="T158" i="3"/>
  <c r="U158" i="3"/>
  <c r="T162" i="3"/>
  <c r="U162" i="3"/>
  <c r="T166" i="3"/>
  <c r="U166" i="3"/>
  <c r="U170" i="3"/>
  <c r="T170" i="3"/>
  <c r="T174" i="3"/>
  <c r="U174" i="3"/>
  <c r="T178" i="3"/>
  <c r="U178" i="3"/>
  <c r="T182" i="3"/>
  <c r="U182" i="3"/>
  <c r="T186" i="3"/>
  <c r="U186" i="3"/>
  <c r="T190" i="3"/>
  <c r="U190" i="3"/>
  <c r="T194" i="3"/>
  <c r="U194" i="3"/>
  <c r="T198" i="3"/>
  <c r="U198" i="3"/>
  <c r="U202" i="3"/>
  <c r="T202" i="3"/>
  <c r="T206" i="3"/>
  <c r="U206" i="3"/>
  <c r="T210" i="3"/>
  <c r="U210" i="3"/>
  <c r="T214" i="3"/>
  <c r="U214" i="3"/>
  <c r="T218" i="3"/>
  <c r="U218" i="3"/>
  <c r="T222" i="3"/>
  <c r="U222" i="3"/>
  <c r="T226" i="3"/>
  <c r="U226" i="3"/>
  <c r="T230" i="3"/>
  <c r="U230" i="3"/>
  <c r="T234" i="3"/>
  <c r="U234" i="3"/>
  <c r="T238" i="3"/>
  <c r="U238" i="3"/>
  <c r="T242" i="3"/>
  <c r="U242" i="3"/>
  <c r="T246" i="3"/>
  <c r="U246" i="3"/>
  <c r="U250" i="3"/>
  <c r="T250" i="3"/>
  <c r="T254" i="3"/>
  <c r="U254" i="3"/>
  <c r="U258" i="3"/>
  <c r="T258" i="3"/>
  <c r="T262" i="3"/>
  <c r="U262" i="3"/>
  <c r="U266" i="3"/>
  <c r="T266" i="3"/>
  <c r="T270" i="3"/>
  <c r="U270" i="3"/>
  <c r="U274" i="3"/>
  <c r="T274" i="3"/>
  <c r="T278" i="3"/>
  <c r="U278" i="3"/>
  <c r="U282" i="3"/>
  <c r="T282" i="3"/>
  <c r="T286" i="3"/>
  <c r="U286" i="3"/>
  <c r="U290" i="3"/>
  <c r="T290" i="3"/>
  <c r="T294" i="3"/>
  <c r="U294" i="3"/>
  <c r="U298" i="3"/>
  <c r="T298" i="3"/>
  <c r="T302" i="3"/>
  <c r="U302" i="3"/>
  <c r="U306" i="3"/>
  <c r="T306" i="3"/>
  <c r="T310" i="3"/>
  <c r="U310" i="3"/>
  <c r="U314" i="3"/>
  <c r="T314" i="3"/>
  <c r="T318" i="3"/>
  <c r="U318" i="3"/>
  <c r="U322" i="3"/>
  <c r="T322" i="3"/>
  <c r="T326" i="3"/>
  <c r="U326" i="3"/>
  <c r="U330" i="3"/>
  <c r="T330" i="3"/>
  <c r="T334" i="3"/>
  <c r="U334" i="3"/>
  <c r="U338" i="3"/>
  <c r="T338" i="3"/>
  <c r="T342" i="3"/>
  <c r="U342" i="3"/>
  <c r="U346" i="3"/>
  <c r="T346" i="3"/>
  <c r="T350" i="3"/>
  <c r="U350" i="3"/>
  <c r="U354" i="3"/>
  <c r="T354" i="3"/>
  <c r="T358" i="3"/>
  <c r="U358" i="3"/>
  <c r="U362" i="3"/>
  <c r="T362" i="3"/>
  <c r="T366" i="3"/>
  <c r="U366" i="3"/>
  <c r="U370" i="3"/>
  <c r="T370" i="3"/>
  <c r="T374" i="3"/>
  <c r="U374" i="3"/>
  <c r="U378" i="3"/>
  <c r="T378" i="3"/>
  <c r="T382" i="3"/>
  <c r="U382" i="3"/>
  <c r="U386" i="3"/>
  <c r="T386" i="3"/>
  <c r="T390" i="3"/>
  <c r="U390" i="3"/>
  <c r="U394" i="3"/>
  <c r="T394" i="3"/>
  <c r="T398" i="3"/>
  <c r="U398" i="3"/>
  <c r="U402" i="3"/>
  <c r="T402" i="3"/>
  <c r="T406" i="3"/>
  <c r="U406" i="3"/>
  <c r="U410" i="3"/>
  <c r="T410" i="3"/>
  <c r="T414" i="3"/>
  <c r="U414" i="3"/>
  <c r="U418" i="3"/>
  <c r="T418" i="3"/>
  <c r="T422" i="3"/>
  <c r="U422" i="3"/>
  <c r="U426" i="3"/>
  <c r="T426" i="3"/>
  <c r="T430" i="3"/>
  <c r="U430" i="3"/>
  <c r="U434" i="3"/>
  <c r="T434" i="3"/>
  <c r="T438" i="3"/>
  <c r="U438" i="3"/>
  <c r="U442" i="3"/>
  <c r="T442" i="3"/>
  <c r="T446" i="3"/>
  <c r="U446" i="3"/>
  <c r="U450" i="3"/>
  <c r="T450" i="3"/>
  <c r="T454" i="3"/>
  <c r="U454" i="3"/>
  <c r="U458" i="3"/>
  <c r="T458" i="3"/>
  <c r="T462" i="3"/>
  <c r="U462" i="3"/>
  <c r="U466" i="3"/>
  <c r="T466" i="3"/>
  <c r="T470" i="3"/>
  <c r="U470" i="3"/>
  <c r="U474" i="3"/>
  <c r="T474" i="3"/>
  <c r="T478" i="3"/>
  <c r="U478" i="3"/>
  <c r="U482" i="3"/>
  <c r="T482" i="3"/>
  <c r="T486" i="3"/>
  <c r="U486" i="3"/>
  <c r="U490" i="3"/>
  <c r="T490" i="3"/>
  <c r="T494" i="3"/>
  <c r="U494" i="3"/>
  <c r="U498" i="3"/>
  <c r="T498" i="3"/>
  <c r="T502" i="3"/>
  <c r="U502" i="3"/>
  <c r="U506" i="3"/>
  <c r="T506" i="3"/>
  <c r="T510" i="3"/>
  <c r="U510" i="3"/>
  <c r="U514" i="3"/>
  <c r="T514" i="3"/>
  <c r="T518" i="3"/>
  <c r="U518" i="3"/>
  <c r="U522" i="3"/>
  <c r="T522" i="3"/>
  <c r="T526" i="3"/>
  <c r="U526" i="3"/>
  <c r="U530" i="3"/>
  <c r="T530" i="3"/>
  <c r="T534" i="3"/>
  <c r="U534" i="3"/>
  <c r="U538" i="3"/>
  <c r="T538" i="3"/>
  <c r="T542" i="3"/>
  <c r="U542" i="3"/>
  <c r="U546" i="3"/>
  <c r="T546" i="3"/>
  <c r="T550" i="3"/>
  <c r="U550" i="3"/>
  <c r="U554" i="3"/>
  <c r="T554" i="3"/>
  <c r="T558" i="3"/>
  <c r="U558" i="3"/>
  <c r="U562" i="3"/>
  <c r="T562" i="3"/>
  <c r="T566" i="3"/>
  <c r="U566" i="3"/>
  <c r="U574" i="3"/>
  <c r="T574" i="3"/>
  <c r="T578" i="3"/>
  <c r="U578" i="3"/>
  <c r="U582" i="3"/>
  <c r="T582" i="3"/>
  <c r="T586" i="3"/>
  <c r="U586" i="3"/>
  <c r="U590" i="3"/>
  <c r="T590" i="3"/>
  <c r="T594" i="3"/>
  <c r="U594" i="3"/>
  <c r="U598" i="3"/>
  <c r="T598" i="3"/>
  <c r="T602" i="3"/>
  <c r="U602" i="3"/>
  <c r="U606" i="3"/>
  <c r="T606" i="3"/>
  <c r="T610" i="3"/>
  <c r="U610" i="3"/>
  <c r="U614" i="3"/>
  <c r="T614" i="3"/>
  <c r="T618" i="3"/>
  <c r="U618" i="3"/>
  <c r="U622" i="3"/>
  <c r="T622" i="3"/>
  <c r="T626" i="3"/>
  <c r="U626" i="3"/>
  <c r="U630" i="3"/>
  <c r="T630" i="3"/>
  <c r="T634" i="3"/>
  <c r="U634" i="3"/>
  <c r="U638" i="3"/>
  <c r="T638" i="3"/>
  <c r="T642" i="3"/>
  <c r="U642" i="3"/>
  <c r="U646" i="3"/>
  <c r="T646" i="3"/>
  <c r="T650" i="3"/>
  <c r="U650" i="3"/>
  <c r="U654" i="3"/>
  <c r="T654" i="3"/>
  <c r="T658" i="3"/>
  <c r="U658" i="3"/>
  <c r="U662" i="3"/>
  <c r="T662" i="3"/>
  <c r="T666" i="3"/>
  <c r="U666" i="3"/>
  <c r="W667" i="3"/>
  <c r="V667" i="3"/>
  <c r="W671" i="3"/>
  <c r="V671" i="3"/>
  <c r="W675" i="3"/>
  <c r="V675" i="3"/>
  <c r="W679" i="3"/>
  <c r="V679" i="3"/>
  <c r="W683" i="3"/>
  <c r="V683" i="3"/>
  <c r="W687" i="3"/>
  <c r="V687" i="3"/>
  <c r="W691" i="3"/>
  <c r="V691" i="3"/>
  <c r="W695" i="3"/>
  <c r="V695" i="3"/>
  <c r="W699" i="3"/>
  <c r="V699" i="3"/>
  <c r="W15" i="3"/>
  <c r="V15" i="3"/>
  <c r="W19" i="3"/>
  <c r="V19" i="3"/>
  <c r="W23" i="3"/>
  <c r="V23" i="3"/>
  <c r="W43" i="3"/>
  <c r="V43" i="3"/>
  <c r="W75" i="3"/>
  <c r="V75" i="3"/>
  <c r="W91" i="3"/>
  <c r="V91" i="3"/>
  <c r="W103" i="3"/>
  <c r="V103" i="3"/>
  <c r="V215" i="3"/>
  <c r="W215" i="3"/>
  <c r="W227" i="3"/>
  <c r="V227" i="3"/>
  <c r="W247" i="3"/>
  <c r="V247" i="3"/>
  <c r="W283" i="3"/>
  <c r="V283" i="3"/>
  <c r="W303" i="3"/>
  <c r="V303" i="3"/>
  <c r="W327" i="3"/>
  <c r="V327" i="3"/>
  <c r="W355" i="3"/>
  <c r="V355" i="3"/>
  <c r="W395" i="3"/>
  <c r="V395" i="3"/>
  <c r="W459" i="3"/>
  <c r="V459" i="3"/>
  <c r="W483" i="3"/>
  <c r="V483" i="3"/>
  <c r="W495" i="3"/>
  <c r="V495" i="3"/>
  <c r="W523" i="3"/>
  <c r="V523" i="3"/>
  <c r="W527" i="3"/>
  <c r="V527" i="3"/>
  <c r="W535" i="3"/>
  <c r="V535" i="3"/>
  <c r="T6" i="3"/>
  <c r="U6" i="3"/>
  <c r="W6" i="3"/>
  <c r="V6" i="3"/>
  <c r="W10" i="3"/>
  <c r="V10" i="3"/>
  <c r="W14" i="3"/>
  <c r="V14" i="3"/>
  <c r="W18" i="3"/>
  <c r="V18" i="3"/>
  <c r="W22" i="3"/>
  <c r="V22" i="3"/>
  <c r="W26" i="3"/>
  <c r="V26" i="3"/>
  <c r="W30" i="3"/>
  <c r="V30" i="3"/>
  <c r="W34" i="3"/>
  <c r="V34" i="3"/>
  <c r="W38" i="3"/>
  <c r="V38" i="3"/>
  <c r="W42" i="3"/>
  <c r="V42" i="3"/>
  <c r="W46" i="3"/>
  <c r="V46" i="3"/>
  <c r="W50" i="3"/>
  <c r="V50" i="3"/>
  <c r="W54" i="3"/>
  <c r="V54" i="3"/>
  <c r="W58" i="3"/>
  <c r="V58" i="3"/>
  <c r="W62" i="3"/>
  <c r="V62" i="3"/>
  <c r="W66" i="3"/>
  <c r="V66" i="3"/>
  <c r="W70" i="3"/>
  <c r="V70" i="3"/>
  <c r="W74" i="3"/>
  <c r="V74" i="3"/>
  <c r="W78" i="3"/>
  <c r="V78" i="3"/>
  <c r="W82" i="3"/>
  <c r="V82" i="3"/>
  <c r="W86" i="3"/>
  <c r="V86" i="3"/>
  <c r="W90" i="3"/>
  <c r="V90" i="3"/>
  <c r="W94" i="3"/>
  <c r="V94" i="3"/>
  <c r="W98" i="3"/>
  <c r="V98" i="3"/>
  <c r="W102" i="3"/>
  <c r="V102" i="3"/>
  <c r="W106" i="3"/>
  <c r="V106" i="3"/>
  <c r="W110" i="3"/>
  <c r="V110" i="3"/>
  <c r="W114" i="3"/>
  <c r="V114" i="3"/>
  <c r="W118" i="3"/>
  <c r="V118" i="3"/>
  <c r="W122" i="3"/>
  <c r="V122" i="3"/>
  <c r="W126" i="3"/>
  <c r="V126" i="3"/>
  <c r="W130" i="3"/>
  <c r="V130" i="3"/>
  <c r="W134" i="3"/>
  <c r="V134" i="3"/>
  <c r="W142" i="3"/>
  <c r="V142" i="3"/>
  <c r="W146" i="3"/>
  <c r="V146" i="3"/>
  <c r="W150" i="3"/>
  <c r="V150" i="3"/>
  <c r="W154" i="3"/>
  <c r="V154" i="3"/>
  <c r="W158" i="3"/>
  <c r="V158" i="3"/>
  <c r="W162" i="3"/>
  <c r="V162" i="3"/>
  <c r="W166" i="3"/>
  <c r="V166" i="3"/>
  <c r="W170" i="3"/>
  <c r="V170" i="3"/>
  <c r="V174" i="3"/>
  <c r="W174" i="3"/>
  <c r="W178" i="3"/>
  <c r="V178" i="3"/>
  <c r="W182" i="3"/>
  <c r="V182" i="3"/>
  <c r="W186" i="3"/>
  <c r="V186" i="3"/>
  <c r="W190" i="3"/>
  <c r="V190" i="3"/>
  <c r="W194" i="3"/>
  <c r="V194" i="3"/>
  <c r="W198" i="3"/>
  <c r="V198" i="3"/>
  <c r="W202" i="3"/>
  <c r="V202" i="3"/>
  <c r="W206" i="3"/>
  <c r="V206" i="3"/>
  <c r="W210" i="3"/>
  <c r="V210" i="3"/>
  <c r="V214" i="3"/>
  <c r="W214" i="3"/>
  <c r="W218" i="3"/>
  <c r="V218" i="3"/>
  <c r="W222" i="3"/>
  <c r="V222" i="3"/>
  <c r="W226" i="3"/>
  <c r="V226" i="3"/>
  <c r="W230" i="3"/>
  <c r="V230" i="3"/>
  <c r="W234" i="3"/>
  <c r="V234" i="3"/>
  <c r="W238" i="3"/>
  <c r="V238" i="3"/>
  <c r="W242" i="3"/>
  <c r="V242" i="3"/>
  <c r="W246" i="3"/>
  <c r="V246" i="3"/>
  <c r="W250" i="3"/>
  <c r="V250" i="3"/>
  <c r="W254" i="3"/>
  <c r="V254" i="3"/>
  <c r="W258" i="3"/>
  <c r="V258" i="3"/>
  <c r="W262" i="3"/>
  <c r="V262" i="3"/>
  <c r="W266" i="3"/>
  <c r="V266" i="3"/>
  <c r="W270" i="3"/>
  <c r="V270" i="3"/>
  <c r="W274" i="3"/>
  <c r="V274" i="3"/>
  <c r="V278" i="3"/>
  <c r="W278" i="3"/>
  <c r="W282" i="3"/>
  <c r="V282" i="3"/>
  <c r="W286" i="3"/>
  <c r="V286" i="3"/>
  <c r="W290" i="3"/>
  <c r="V290" i="3"/>
  <c r="W294" i="3"/>
  <c r="V294" i="3"/>
  <c r="W298" i="3"/>
  <c r="V298" i="3"/>
  <c r="W302" i="3"/>
  <c r="V302" i="3"/>
  <c r="W306" i="3"/>
  <c r="V306" i="3"/>
  <c r="W310" i="3"/>
  <c r="V310" i="3"/>
  <c r="W314" i="3"/>
  <c r="V314" i="3"/>
  <c r="W318" i="3"/>
  <c r="V318" i="3"/>
  <c r="W322" i="3"/>
  <c r="V322" i="3"/>
  <c r="W326" i="3"/>
  <c r="V326" i="3"/>
  <c r="W330" i="3"/>
  <c r="V330" i="3"/>
  <c r="W334" i="3"/>
  <c r="V334" i="3"/>
  <c r="W338" i="3"/>
  <c r="V338" i="3"/>
  <c r="V342" i="3"/>
  <c r="W342" i="3"/>
  <c r="W346" i="3"/>
  <c r="V346" i="3"/>
  <c r="W350" i="3"/>
  <c r="V350" i="3"/>
  <c r="W354" i="3"/>
  <c r="V354" i="3"/>
  <c r="W358" i="3"/>
  <c r="V358" i="3"/>
  <c r="W362" i="3"/>
  <c r="V362" i="3"/>
  <c r="V366" i="3"/>
  <c r="W366" i="3"/>
  <c r="W370" i="3"/>
  <c r="V370" i="3"/>
  <c r="W374" i="3"/>
  <c r="V374" i="3"/>
  <c r="W378" i="3"/>
  <c r="V378" i="3"/>
  <c r="W382" i="3"/>
  <c r="V382" i="3"/>
  <c r="W386" i="3"/>
  <c r="V386" i="3"/>
  <c r="W390" i="3"/>
  <c r="V390" i="3"/>
  <c r="W394" i="3"/>
  <c r="V394" i="3"/>
  <c r="W398" i="3"/>
  <c r="V398" i="3"/>
  <c r="W402" i="3"/>
  <c r="V402" i="3"/>
  <c r="W406" i="3"/>
  <c r="V406" i="3"/>
  <c r="W410" i="3"/>
  <c r="V410" i="3"/>
  <c r="W414" i="3"/>
  <c r="V414" i="3"/>
  <c r="W418" i="3"/>
  <c r="V418" i="3"/>
  <c r="W422" i="3"/>
  <c r="V422" i="3"/>
  <c r="W426" i="3"/>
  <c r="V426" i="3"/>
  <c r="V430" i="3"/>
  <c r="W430" i="3"/>
  <c r="W434" i="3"/>
  <c r="V434" i="3"/>
  <c r="W438" i="3"/>
  <c r="V438" i="3"/>
  <c r="W442" i="3"/>
  <c r="V442" i="3"/>
  <c r="W446" i="3"/>
  <c r="V446" i="3"/>
  <c r="W450" i="3"/>
  <c r="V450" i="3"/>
  <c r="W454" i="3"/>
  <c r="V454" i="3"/>
  <c r="W458" i="3"/>
  <c r="V458" i="3"/>
  <c r="W462" i="3"/>
  <c r="V462" i="3"/>
  <c r="W466" i="3"/>
  <c r="V466" i="3"/>
  <c r="V470" i="3"/>
  <c r="W470" i="3"/>
  <c r="W474" i="3"/>
  <c r="V474" i="3"/>
  <c r="W478" i="3"/>
  <c r="V478" i="3"/>
  <c r="W482" i="3"/>
  <c r="V482" i="3"/>
  <c r="W486" i="3"/>
  <c r="V486" i="3"/>
  <c r="W490" i="3"/>
  <c r="V490" i="3"/>
  <c r="W494" i="3"/>
  <c r="V494" i="3"/>
  <c r="W498" i="3"/>
  <c r="V498" i="3"/>
  <c r="W502" i="3"/>
  <c r="V502" i="3"/>
  <c r="W506" i="3"/>
  <c r="V506" i="3"/>
  <c r="W510" i="3"/>
  <c r="V510" i="3"/>
  <c r="W514" i="3"/>
  <c r="V514" i="3"/>
  <c r="W518" i="3"/>
  <c r="V518" i="3"/>
  <c r="W522" i="3"/>
  <c r="V522" i="3"/>
  <c r="W526" i="3"/>
  <c r="V526" i="3"/>
  <c r="W530" i="3"/>
  <c r="V530" i="3"/>
  <c r="W534" i="3"/>
  <c r="V534" i="3"/>
  <c r="W538" i="3"/>
  <c r="V538" i="3"/>
  <c r="W542" i="3"/>
  <c r="V542" i="3"/>
  <c r="W546" i="3"/>
  <c r="V546" i="3"/>
  <c r="W550" i="3"/>
  <c r="V550" i="3"/>
  <c r="W554" i="3"/>
  <c r="V554" i="3"/>
  <c r="W558" i="3"/>
  <c r="V558" i="3"/>
  <c r="W562" i="3"/>
  <c r="V562" i="3"/>
  <c r="W566" i="3"/>
  <c r="V566" i="3"/>
  <c r="W570" i="3"/>
  <c r="V570" i="3"/>
  <c r="W574" i="3"/>
  <c r="V574" i="3"/>
  <c r="W578" i="3"/>
  <c r="V578" i="3"/>
  <c r="W582" i="3"/>
  <c r="V582" i="3"/>
  <c r="W586" i="3"/>
  <c r="V586" i="3"/>
  <c r="W590" i="3"/>
  <c r="V590" i="3"/>
  <c r="W594" i="3"/>
  <c r="V594" i="3"/>
  <c r="W598" i="3"/>
  <c r="V598" i="3"/>
  <c r="W602" i="3"/>
  <c r="V602" i="3"/>
  <c r="W606" i="3"/>
  <c r="V606" i="3"/>
  <c r="W610" i="3"/>
  <c r="V610" i="3"/>
  <c r="W614" i="3"/>
  <c r="V614" i="3"/>
  <c r="W618" i="3"/>
  <c r="V618" i="3"/>
  <c r="W622" i="3"/>
  <c r="V622" i="3"/>
  <c r="W626" i="3"/>
  <c r="V626" i="3"/>
  <c r="W630" i="3"/>
  <c r="V630" i="3"/>
  <c r="W634" i="3"/>
  <c r="V634" i="3"/>
  <c r="W638" i="3"/>
  <c r="V638" i="3"/>
  <c r="W642" i="3"/>
  <c r="V642" i="3"/>
  <c r="W646" i="3"/>
  <c r="V646" i="3"/>
  <c r="W650" i="3"/>
  <c r="V650" i="3"/>
  <c r="W654" i="3"/>
  <c r="V654" i="3"/>
  <c r="W658" i="3"/>
  <c r="V658" i="3"/>
  <c r="W662" i="3"/>
  <c r="V662" i="3"/>
  <c r="V666" i="3"/>
  <c r="W666" i="3"/>
  <c r="U670" i="3"/>
  <c r="T670" i="3"/>
  <c r="T674" i="3"/>
  <c r="U674" i="3"/>
  <c r="U678" i="3"/>
  <c r="T678" i="3"/>
  <c r="T682" i="3"/>
  <c r="U682" i="3"/>
  <c r="U686" i="3"/>
  <c r="T686" i="3"/>
  <c r="T690" i="3"/>
  <c r="U690" i="3"/>
  <c r="U694" i="3"/>
  <c r="T694" i="3"/>
  <c r="T698" i="3"/>
  <c r="U698" i="3"/>
  <c r="V83" i="3"/>
  <c r="W83" i="3"/>
  <c r="W87" i="3"/>
  <c r="V87" i="3"/>
  <c r="V107" i="3"/>
  <c r="W107" i="3"/>
  <c r="W131" i="3"/>
  <c r="V131" i="3"/>
  <c r="W207" i="3"/>
  <c r="V207" i="3"/>
  <c r="W211" i="3"/>
  <c r="V211" i="3"/>
  <c r="W235" i="3"/>
  <c r="V235" i="3"/>
  <c r="W251" i="3"/>
  <c r="V251" i="3"/>
  <c r="W275" i="3"/>
  <c r="V275" i="3"/>
  <c r="W359" i="3"/>
  <c r="V359" i="3"/>
  <c r="W439" i="3"/>
  <c r="V439" i="3"/>
  <c r="W463" i="3"/>
  <c r="V463" i="3"/>
  <c r="W475" i="3"/>
  <c r="V475" i="3"/>
  <c r="W499" i="3"/>
  <c r="V499" i="3"/>
  <c r="W503" i="3"/>
  <c r="V503" i="3"/>
  <c r="U2" i="3"/>
  <c r="W2" i="3"/>
  <c r="V2" i="3"/>
  <c r="T5" i="3"/>
  <c r="U5" i="3"/>
  <c r="T9" i="3"/>
  <c r="U9" i="3"/>
  <c r="T13" i="3"/>
  <c r="U13" i="3"/>
  <c r="T17" i="3"/>
  <c r="U17" i="3"/>
  <c r="T21" i="3"/>
  <c r="U21" i="3"/>
  <c r="T25" i="3"/>
  <c r="U25" i="3"/>
  <c r="T29" i="3"/>
  <c r="U29" i="3"/>
  <c r="T33" i="3"/>
  <c r="U33" i="3"/>
  <c r="T37" i="3"/>
  <c r="U37" i="3"/>
  <c r="T41" i="3"/>
  <c r="U41" i="3"/>
  <c r="T45" i="3"/>
  <c r="U45" i="3"/>
  <c r="T49" i="3"/>
  <c r="U49" i="3"/>
  <c r="T53" i="3"/>
  <c r="U53" i="3"/>
  <c r="T57" i="3"/>
  <c r="U57" i="3"/>
  <c r="T61" i="3"/>
  <c r="U61" i="3"/>
  <c r="T65" i="3"/>
  <c r="U65" i="3"/>
  <c r="T69" i="3"/>
  <c r="U69" i="3"/>
  <c r="T73" i="3"/>
  <c r="U73" i="3"/>
  <c r="T77" i="3"/>
  <c r="U77" i="3"/>
  <c r="T81" i="3"/>
  <c r="U81" i="3"/>
  <c r="T85" i="3"/>
  <c r="U85" i="3"/>
  <c r="T89" i="3"/>
  <c r="U89" i="3"/>
  <c r="T93" i="3"/>
  <c r="U93" i="3"/>
  <c r="T97" i="3"/>
  <c r="U97" i="3"/>
  <c r="T101" i="3"/>
  <c r="U101" i="3"/>
  <c r="T105" i="3"/>
  <c r="U105" i="3"/>
  <c r="T109" i="3"/>
  <c r="U109" i="3"/>
  <c r="T113" i="3"/>
  <c r="U113" i="3"/>
  <c r="T117" i="3"/>
  <c r="U117" i="3"/>
  <c r="T121" i="3"/>
  <c r="U121" i="3"/>
  <c r="T125" i="3"/>
  <c r="U125" i="3"/>
  <c r="T129" i="3"/>
  <c r="U129" i="3"/>
  <c r="T133" i="3"/>
  <c r="U133" i="3"/>
  <c r="T137" i="3"/>
  <c r="U137" i="3"/>
  <c r="T141" i="3"/>
  <c r="U141" i="3"/>
  <c r="T145" i="3"/>
  <c r="U145" i="3"/>
  <c r="T149" i="3"/>
  <c r="U149" i="3"/>
  <c r="T153" i="3"/>
  <c r="U153" i="3"/>
  <c r="T157" i="3"/>
  <c r="U157" i="3"/>
  <c r="T161" i="3"/>
  <c r="U161" i="3"/>
  <c r="T165" i="3"/>
  <c r="U165" i="3"/>
  <c r="T169" i="3"/>
  <c r="U169" i="3"/>
  <c r="T173" i="3"/>
  <c r="U173" i="3"/>
  <c r="T177" i="3"/>
  <c r="U177" i="3"/>
  <c r="T181" i="3"/>
  <c r="U181" i="3"/>
  <c r="T185" i="3"/>
  <c r="U185" i="3"/>
  <c r="T189" i="3"/>
  <c r="U189" i="3"/>
  <c r="T193" i="3"/>
  <c r="U193" i="3"/>
  <c r="T197" i="3"/>
  <c r="U197" i="3"/>
  <c r="T201" i="3"/>
  <c r="U201" i="3"/>
  <c r="T205" i="3"/>
  <c r="U205" i="3"/>
  <c r="T209" i="3"/>
  <c r="U209" i="3"/>
  <c r="T213" i="3"/>
  <c r="U213" i="3"/>
  <c r="T217" i="3"/>
  <c r="U217" i="3"/>
  <c r="T221" i="3"/>
  <c r="U221" i="3"/>
  <c r="T225" i="3"/>
  <c r="U225" i="3"/>
  <c r="T229" i="3"/>
  <c r="U229" i="3"/>
  <c r="T233" i="3"/>
  <c r="U233" i="3"/>
  <c r="T237" i="3"/>
  <c r="U237" i="3"/>
  <c r="T241" i="3"/>
  <c r="U241" i="3"/>
  <c r="T245" i="3"/>
  <c r="U245" i="3"/>
  <c r="T249" i="3"/>
  <c r="U249" i="3"/>
  <c r="T253" i="3"/>
  <c r="U253" i="3"/>
  <c r="T257" i="3"/>
  <c r="U257" i="3"/>
  <c r="T261" i="3"/>
  <c r="U261" i="3"/>
  <c r="T265" i="3"/>
  <c r="U265" i="3"/>
  <c r="T269" i="3"/>
  <c r="U269" i="3"/>
  <c r="T273" i="3"/>
  <c r="U273" i="3"/>
  <c r="T277" i="3"/>
  <c r="U277" i="3"/>
  <c r="T281" i="3"/>
  <c r="U281" i="3"/>
  <c r="T285" i="3"/>
  <c r="U285" i="3"/>
  <c r="T289" i="3"/>
  <c r="U289" i="3"/>
  <c r="T293" i="3"/>
  <c r="U293" i="3"/>
  <c r="T297" i="3"/>
  <c r="U297" i="3"/>
  <c r="T301" i="3"/>
  <c r="U301" i="3"/>
  <c r="T305" i="3"/>
  <c r="U305" i="3"/>
  <c r="T309" i="3"/>
  <c r="U309" i="3"/>
  <c r="T313" i="3"/>
  <c r="U313" i="3"/>
  <c r="T317" i="3"/>
  <c r="U317" i="3"/>
  <c r="T321" i="3"/>
  <c r="U321" i="3"/>
  <c r="T325" i="3"/>
  <c r="U325" i="3"/>
  <c r="T329" i="3"/>
  <c r="U329" i="3"/>
  <c r="T333" i="3"/>
  <c r="U333" i="3"/>
  <c r="T337" i="3"/>
  <c r="U337" i="3"/>
  <c r="T341" i="3"/>
  <c r="U341" i="3"/>
  <c r="T345" i="3"/>
  <c r="U345" i="3"/>
  <c r="T349" i="3"/>
  <c r="U349" i="3"/>
  <c r="T353" i="3"/>
  <c r="U353" i="3"/>
  <c r="T357" i="3"/>
  <c r="U357" i="3"/>
  <c r="T361" i="3"/>
  <c r="U361" i="3"/>
  <c r="T365" i="3"/>
  <c r="U365" i="3"/>
  <c r="T369" i="3"/>
  <c r="U369" i="3"/>
  <c r="T373" i="3"/>
  <c r="U373" i="3"/>
  <c r="T377" i="3"/>
  <c r="U377" i="3"/>
  <c r="T381" i="3"/>
  <c r="U381" i="3"/>
  <c r="T385" i="3"/>
  <c r="U385" i="3"/>
  <c r="T389" i="3"/>
  <c r="U389" i="3"/>
  <c r="T393" i="3"/>
  <c r="U393" i="3"/>
  <c r="T397" i="3"/>
  <c r="U397" i="3"/>
  <c r="T401" i="3"/>
  <c r="U401" i="3"/>
  <c r="T405" i="3"/>
  <c r="U405" i="3"/>
  <c r="T409" i="3"/>
  <c r="U409" i="3"/>
  <c r="T413" i="3"/>
  <c r="U413" i="3"/>
  <c r="T417" i="3"/>
  <c r="U417" i="3"/>
  <c r="T421" i="3"/>
  <c r="U421" i="3"/>
  <c r="T425" i="3"/>
  <c r="U425" i="3"/>
  <c r="T429" i="3"/>
  <c r="U429" i="3"/>
  <c r="T433" i="3"/>
  <c r="U433" i="3"/>
  <c r="T437" i="3"/>
  <c r="U437" i="3"/>
  <c r="T441" i="3"/>
  <c r="U441" i="3"/>
  <c r="T445" i="3"/>
  <c r="U445" i="3"/>
  <c r="T449" i="3"/>
  <c r="U449" i="3"/>
  <c r="T453" i="3"/>
  <c r="U453" i="3"/>
  <c r="T457" i="3"/>
  <c r="U457" i="3"/>
  <c r="T461" i="3"/>
  <c r="U461" i="3"/>
  <c r="T465" i="3"/>
  <c r="U465" i="3"/>
  <c r="T469" i="3"/>
  <c r="U469" i="3"/>
  <c r="T473" i="3"/>
  <c r="U473" i="3"/>
  <c r="T477" i="3"/>
  <c r="U477" i="3"/>
  <c r="T481" i="3"/>
  <c r="U481" i="3"/>
  <c r="T485" i="3"/>
  <c r="U485" i="3"/>
  <c r="T489" i="3"/>
  <c r="U489" i="3"/>
  <c r="T493" i="3"/>
  <c r="U493" i="3"/>
  <c r="T497" i="3"/>
  <c r="U497" i="3"/>
  <c r="T501" i="3"/>
  <c r="U501" i="3"/>
  <c r="T505" i="3"/>
  <c r="U505" i="3"/>
  <c r="T509" i="3"/>
  <c r="U509" i="3"/>
  <c r="T513" i="3"/>
  <c r="U513" i="3"/>
  <c r="T517" i="3"/>
  <c r="U517" i="3"/>
  <c r="T521" i="3"/>
  <c r="U521" i="3"/>
  <c r="T525" i="3"/>
  <c r="U525" i="3"/>
  <c r="T529" i="3"/>
  <c r="U529" i="3"/>
  <c r="T533" i="3"/>
  <c r="U533" i="3"/>
  <c r="T537" i="3"/>
  <c r="U537" i="3"/>
  <c r="T541" i="3"/>
  <c r="U541" i="3"/>
  <c r="T545" i="3"/>
  <c r="U545" i="3"/>
  <c r="T549" i="3"/>
  <c r="U549" i="3"/>
  <c r="T553" i="3"/>
  <c r="U553" i="3"/>
  <c r="T557" i="3"/>
  <c r="U557" i="3"/>
  <c r="T561" i="3"/>
  <c r="U561" i="3"/>
  <c r="T565" i="3"/>
  <c r="U565" i="3"/>
  <c r="T569" i="3"/>
  <c r="U569" i="3"/>
  <c r="T577" i="3"/>
  <c r="U577" i="3"/>
  <c r="T581" i="3"/>
  <c r="U581" i="3"/>
  <c r="T585" i="3"/>
  <c r="U585" i="3"/>
  <c r="T589" i="3"/>
  <c r="U589" i="3"/>
  <c r="T593" i="3"/>
  <c r="U593" i="3"/>
  <c r="T597" i="3"/>
  <c r="U597" i="3"/>
  <c r="T601" i="3"/>
  <c r="U601" i="3"/>
  <c r="T605" i="3"/>
  <c r="U605" i="3"/>
  <c r="T609" i="3"/>
  <c r="U609" i="3"/>
  <c r="T613" i="3"/>
  <c r="U613" i="3"/>
  <c r="T617" i="3"/>
  <c r="U617" i="3"/>
  <c r="T621" i="3"/>
  <c r="U621" i="3"/>
  <c r="T625" i="3"/>
  <c r="U625" i="3"/>
  <c r="T629" i="3"/>
  <c r="U629" i="3"/>
  <c r="T633" i="3"/>
  <c r="U633" i="3"/>
  <c r="T637" i="3"/>
  <c r="U637" i="3"/>
  <c r="T641" i="3"/>
  <c r="U641" i="3"/>
  <c r="T645" i="3"/>
  <c r="U645" i="3"/>
  <c r="T649" i="3"/>
  <c r="U649" i="3"/>
  <c r="T653" i="3"/>
  <c r="U653" i="3"/>
  <c r="T657" i="3"/>
  <c r="U657" i="3"/>
  <c r="T661" i="3"/>
  <c r="U661" i="3"/>
  <c r="T665" i="3"/>
  <c r="U665" i="3"/>
  <c r="W670" i="3"/>
  <c r="V670" i="3"/>
  <c r="W674" i="3"/>
  <c r="V674" i="3"/>
  <c r="W678" i="3"/>
  <c r="V678" i="3"/>
  <c r="W682" i="3"/>
  <c r="V682" i="3"/>
  <c r="W686" i="3"/>
  <c r="V686" i="3"/>
  <c r="W690" i="3"/>
  <c r="V690" i="3"/>
  <c r="W694" i="3"/>
  <c r="V694" i="3"/>
  <c r="W698" i="3"/>
  <c r="V698" i="3"/>
  <c r="W115" i="3"/>
  <c r="V115" i="3"/>
  <c r="W123" i="3"/>
  <c r="V123" i="3"/>
  <c r="W127" i="3"/>
  <c r="V127" i="3"/>
  <c r="W163" i="3"/>
  <c r="V163" i="3"/>
  <c r="W203" i="3"/>
  <c r="V203" i="3"/>
  <c r="W299" i="3"/>
  <c r="V299" i="3"/>
  <c r="W363" i="3"/>
  <c r="V363" i="3"/>
  <c r="W391" i="3"/>
  <c r="V391" i="3"/>
  <c r="W411" i="3"/>
  <c r="V411" i="3"/>
  <c r="W467" i="3"/>
  <c r="V467" i="3"/>
  <c r="V471" i="3"/>
  <c r="W471" i="3"/>
  <c r="W491" i="3"/>
  <c r="V491" i="3"/>
  <c r="W519" i="3"/>
  <c r="V519" i="3"/>
  <c r="W17" i="3"/>
  <c r="V17" i="3"/>
  <c r="W21" i="3"/>
  <c r="V21" i="3"/>
  <c r="W25" i="3"/>
  <c r="V25" i="3"/>
  <c r="W29" i="3"/>
  <c r="V29" i="3"/>
  <c r="W33" i="3"/>
  <c r="V33" i="3"/>
  <c r="W37" i="3"/>
  <c r="V37" i="3"/>
  <c r="W41" i="3"/>
  <c r="V41" i="3"/>
  <c r="W45" i="3"/>
  <c r="V45" i="3"/>
  <c r="W49" i="3"/>
  <c r="V49" i="3"/>
  <c r="W53" i="3"/>
  <c r="V53" i="3"/>
  <c r="W57" i="3"/>
  <c r="V57" i="3"/>
  <c r="W61" i="3"/>
  <c r="V61" i="3"/>
  <c r="W65" i="3"/>
  <c r="V65" i="3"/>
  <c r="W69" i="3"/>
  <c r="V69" i="3"/>
  <c r="W73" i="3"/>
  <c r="V73" i="3"/>
  <c r="W77" i="3"/>
  <c r="V77" i="3"/>
  <c r="W81" i="3"/>
  <c r="V81" i="3"/>
  <c r="W85" i="3"/>
  <c r="V85" i="3"/>
  <c r="W89" i="3"/>
  <c r="V89" i="3"/>
  <c r="W93" i="3"/>
  <c r="V93" i="3"/>
  <c r="W97" i="3"/>
  <c r="V97" i="3"/>
  <c r="V101" i="3"/>
  <c r="W101" i="3"/>
  <c r="W105" i="3"/>
  <c r="V105" i="3"/>
  <c r="W109" i="3"/>
  <c r="V109" i="3"/>
  <c r="W113" i="3"/>
  <c r="V113" i="3"/>
  <c r="W117" i="3"/>
  <c r="V117" i="3"/>
  <c r="W121" i="3"/>
  <c r="V121" i="3"/>
  <c r="V125" i="3"/>
  <c r="W125" i="3"/>
  <c r="W129" i="3"/>
  <c r="V129" i="3"/>
  <c r="W133" i="3"/>
  <c r="V133" i="3"/>
  <c r="W141" i="3"/>
  <c r="V141" i="3"/>
  <c r="W145" i="3"/>
  <c r="V145" i="3"/>
  <c r="W149" i="3"/>
  <c r="V149" i="3"/>
  <c r="W153" i="3"/>
  <c r="V153" i="3"/>
  <c r="W157" i="3"/>
  <c r="V157" i="3"/>
  <c r="W161" i="3"/>
  <c r="V161" i="3"/>
  <c r="W165" i="3"/>
  <c r="V165" i="3"/>
  <c r="W169" i="3"/>
  <c r="V169" i="3"/>
  <c r="W173" i="3"/>
  <c r="V173" i="3"/>
  <c r="W177" i="3"/>
  <c r="V177" i="3"/>
  <c r="W181" i="3"/>
  <c r="V181" i="3"/>
  <c r="W185" i="3"/>
  <c r="V185" i="3"/>
  <c r="W189" i="3"/>
  <c r="V189" i="3"/>
  <c r="W193" i="3"/>
  <c r="V193" i="3"/>
  <c r="W197" i="3"/>
  <c r="V197" i="3"/>
  <c r="W201" i="3"/>
  <c r="V201" i="3"/>
  <c r="W205" i="3"/>
  <c r="V205" i="3"/>
  <c r="W209" i="3"/>
  <c r="V209" i="3"/>
  <c r="W213" i="3"/>
  <c r="V213" i="3"/>
  <c r="W217" i="3"/>
  <c r="V217" i="3"/>
  <c r="W221" i="3"/>
  <c r="V221" i="3"/>
  <c r="W225" i="3"/>
  <c r="V225" i="3"/>
  <c r="W229" i="3"/>
  <c r="V229" i="3"/>
  <c r="W233" i="3"/>
  <c r="V233" i="3"/>
  <c r="W237" i="3"/>
  <c r="V237" i="3"/>
  <c r="W241" i="3"/>
  <c r="V241" i="3"/>
  <c r="W245" i="3"/>
  <c r="V245" i="3"/>
  <c r="W249" i="3"/>
  <c r="V249" i="3"/>
  <c r="W253" i="3"/>
  <c r="V253" i="3"/>
  <c r="W257" i="3"/>
  <c r="V257" i="3"/>
  <c r="W261" i="3"/>
  <c r="V261" i="3"/>
  <c r="W265" i="3"/>
  <c r="V265" i="3"/>
  <c r="W269" i="3"/>
  <c r="V269" i="3"/>
  <c r="W273" i="3"/>
  <c r="V273" i="3"/>
  <c r="W277" i="3"/>
  <c r="V277" i="3"/>
  <c r="W281" i="3"/>
  <c r="V281" i="3"/>
  <c r="W285" i="3"/>
  <c r="V285" i="3"/>
  <c r="W289" i="3"/>
  <c r="V289" i="3"/>
  <c r="W293" i="3"/>
  <c r="V293" i="3"/>
  <c r="W297" i="3"/>
  <c r="V297" i="3"/>
  <c r="W301" i="3"/>
  <c r="V301" i="3"/>
  <c r="W305" i="3"/>
  <c r="V305" i="3"/>
  <c r="W309" i="3"/>
  <c r="V309" i="3"/>
  <c r="W313" i="3"/>
  <c r="V313" i="3"/>
  <c r="W317" i="3"/>
  <c r="V317" i="3"/>
  <c r="W321" i="3"/>
  <c r="V321" i="3"/>
  <c r="W325" i="3"/>
  <c r="V325" i="3"/>
  <c r="W329" i="3"/>
  <c r="V329" i="3"/>
  <c r="W333" i="3"/>
  <c r="V333" i="3"/>
  <c r="W337" i="3"/>
  <c r="V337" i="3"/>
  <c r="W341" i="3"/>
  <c r="V341" i="3"/>
  <c r="W345" i="3"/>
  <c r="V345" i="3"/>
  <c r="W349" i="3"/>
  <c r="V349" i="3"/>
  <c r="W353" i="3"/>
  <c r="V353" i="3"/>
  <c r="W357" i="3"/>
  <c r="V357" i="3"/>
  <c r="W361" i="3"/>
  <c r="V361" i="3"/>
  <c r="W365" i="3"/>
  <c r="V365" i="3"/>
  <c r="W369" i="3"/>
  <c r="V369" i="3"/>
  <c r="W373" i="3"/>
  <c r="V373" i="3"/>
  <c r="W377" i="3"/>
  <c r="V377" i="3"/>
  <c r="W381" i="3"/>
  <c r="V381" i="3"/>
  <c r="W385" i="3"/>
  <c r="V385" i="3"/>
  <c r="W389" i="3"/>
  <c r="V389" i="3"/>
  <c r="W393" i="3"/>
  <c r="V393" i="3"/>
  <c r="W397" i="3"/>
  <c r="V397" i="3"/>
  <c r="W401" i="3"/>
  <c r="V401" i="3"/>
  <c r="W405" i="3"/>
  <c r="V405" i="3"/>
  <c r="W409" i="3"/>
  <c r="V409" i="3"/>
  <c r="W413" i="3"/>
  <c r="V413" i="3"/>
  <c r="W417" i="3"/>
  <c r="V417" i="3"/>
  <c r="W421" i="3"/>
  <c r="V421" i="3"/>
  <c r="W425" i="3"/>
  <c r="V425" i="3"/>
  <c r="W429" i="3"/>
  <c r="V429" i="3"/>
  <c r="W433" i="3"/>
  <c r="V433" i="3"/>
  <c r="W437" i="3"/>
  <c r="V437" i="3"/>
  <c r="W441" i="3"/>
  <c r="V441" i="3"/>
  <c r="W445" i="3"/>
  <c r="V445" i="3"/>
  <c r="W449" i="3"/>
  <c r="V449" i="3"/>
  <c r="W453" i="3"/>
  <c r="V453" i="3"/>
  <c r="W457" i="3"/>
  <c r="V457" i="3"/>
  <c r="W461" i="3"/>
  <c r="V461" i="3"/>
  <c r="W465" i="3"/>
  <c r="V465" i="3"/>
  <c r="W469" i="3"/>
  <c r="V469" i="3"/>
  <c r="W473" i="3"/>
  <c r="V473" i="3"/>
  <c r="W477" i="3"/>
  <c r="V477" i="3"/>
  <c r="W481" i="3"/>
  <c r="V481" i="3"/>
  <c r="W485" i="3"/>
  <c r="V485" i="3"/>
  <c r="W489" i="3"/>
  <c r="V489" i="3"/>
  <c r="W493" i="3"/>
  <c r="V493" i="3"/>
  <c r="W497" i="3"/>
  <c r="V497" i="3"/>
  <c r="W501" i="3"/>
  <c r="V501" i="3"/>
  <c r="W505" i="3"/>
  <c r="V505" i="3"/>
  <c r="W509" i="3"/>
  <c r="V509" i="3"/>
  <c r="W513" i="3"/>
  <c r="V513" i="3"/>
  <c r="W517" i="3"/>
  <c r="V517" i="3"/>
  <c r="W521" i="3"/>
  <c r="V521" i="3"/>
  <c r="W525" i="3"/>
  <c r="V525" i="3"/>
  <c r="W529" i="3"/>
  <c r="V529" i="3"/>
  <c r="W533" i="3"/>
  <c r="V533" i="3"/>
  <c r="W537" i="3"/>
  <c r="V537" i="3"/>
  <c r="W541" i="3"/>
  <c r="V541" i="3"/>
  <c r="W545" i="3"/>
  <c r="V545" i="3"/>
  <c r="W549" i="3"/>
  <c r="V549" i="3"/>
  <c r="W553" i="3"/>
  <c r="V553" i="3"/>
  <c r="W557" i="3"/>
  <c r="V557" i="3"/>
  <c r="W561" i="3"/>
  <c r="V561" i="3"/>
  <c r="W565" i="3"/>
  <c r="V565" i="3"/>
  <c r="W569" i="3"/>
  <c r="V569" i="3"/>
  <c r="W573" i="3"/>
  <c r="V573" i="3"/>
  <c r="W577" i="3"/>
  <c r="V577" i="3"/>
  <c r="W581" i="3"/>
  <c r="V581" i="3"/>
  <c r="W585" i="3"/>
  <c r="V585" i="3"/>
  <c r="W589" i="3"/>
  <c r="V589" i="3"/>
  <c r="W593" i="3"/>
  <c r="V593" i="3"/>
  <c r="W597" i="3"/>
  <c r="V597" i="3"/>
  <c r="W601" i="3"/>
  <c r="V601" i="3"/>
  <c r="W605" i="3"/>
  <c r="V605" i="3"/>
  <c r="W609" i="3"/>
  <c r="V609" i="3"/>
  <c r="W613" i="3"/>
  <c r="V613" i="3"/>
  <c r="W617" i="3"/>
  <c r="V617" i="3"/>
  <c r="W621" i="3"/>
  <c r="V621" i="3"/>
  <c r="W625" i="3"/>
  <c r="V625" i="3"/>
  <c r="W629" i="3"/>
  <c r="V629" i="3"/>
  <c r="W633" i="3"/>
  <c r="V633" i="3"/>
  <c r="W637" i="3"/>
  <c r="V637" i="3"/>
  <c r="W641" i="3"/>
  <c r="V641" i="3"/>
  <c r="W645" i="3"/>
  <c r="V645" i="3"/>
  <c r="W649" i="3"/>
  <c r="V649" i="3"/>
  <c r="W653" i="3"/>
  <c r="V653" i="3"/>
  <c r="W657" i="3"/>
  <c r="V657" i="3"/>
  <c r="W661" i="3"/>
  <c r="V661" i="3"/>
  <c r="W665" i="3"/>
  <c r="V665" i="3"/>
  <c r="T669" i="3"/>
  <c r="U669" i="3"/>
  <c r="T673" i="3"/>
  <c r="U673" i="3"/>
  <c r="T677" i="3"/>
  <c r="U677" i="3"/>
  <c r="T681" i="3"/>
  <c r="U681" i="3"/>
  <c r="T685" i="3"/>
  <c r="U685" i="3"/>
  <c r="T689" i="3"/>
  <c r="U689" i="3"/>
  <c r="T693" i="3"/>
  <c r="U693" i="3"/>
  <c r="T697" i="3"/>
  <c r="U697" i="3"/>
  <c r="W55" i="3"/>
  <c r="V55" i="3"/>
  <c r="W99" i="3"/>
  <c r="V99" i="3"/>
  <c r="W119" i="3"/>
  <c r="V119" i="3"/>
  <c r="W167" i="3"/>
  <c r="V167" i="3"/>
  <c r="W199" i="3"/>
  <c r="V199" i="3"/>
  <c r="W231" i="3"/>
  <c r="V231" i="3"/>
  <c r="V255" i="3"/>
  <c r="W255" i="3"/>
  <c r="V279" i="3"/>
  <c r="W279" i="3"/>
  <c r="W287" i="3"/>
  <c r="V287" i="3"/>
  <c r="W295" i="3"/>
  <c r="V295" i="3"/>
  <c r="W323" i="3"/>
  <c r="V323" i="3"/>
  <c r="W347" i="3"/>
  <c r="V347" i="3"/>
  <c r="W351" i="3"/>
  <c r="V351" i="3"/>
  <c r="W387" i="3"/>
  <c r="V387" i="3"/>
  <c r="W415" i="3"/>
  <c r="V415" i="3"/>
  <c r="W419" i="3"/>
  <c r="V419" i="3"/>
  <c r="W479" i="3"/>
  <c r="V479" i="3"/>
  <c r="T4" i="3"/>
  <c r="U4" i="3"/>
  <c r="T8" i="3"/>
  <c r="U8" i="3"/>
  <c r="T12" i="3"/>
  <c r="U12" i="3"/>
  <c r="T16" i="3"/>
  <c r="U16" i="3"/>
  <c r="T20" i="3"/>
  <c r="U20" i="3"/>
  <c r="T24" i="3"/>
  <c r="U24" i="3"/>
  <c r="T28" i="3"/>
  <c r="U28" i="3"/>
  <c r="T32" i="3"/>
  <c r="U32" i="3"/>
  <c r="T36" i="3"/>
  <c r="U36" i="3"/>
  <c r="T40" i="3"/>
  <c r="U40" i="3"/>
  <c r="T44" i="3"/>
  <c r="U44" i="3"/>
  <c r="T48" i="3"/>
  <c r="U48" i="3"/>
  <c r="T52" i="3"/>
  <c r="U52" i="3"/>
  <c r="T56" i="3"/>
  <c r="U56" i="3"/>
  <c r="T60" i="3"/>
  <c r="U60" i="3"/>
  <c r="T64" i="3"/>
  <c r="U64" i="3"/>
  <c r="T68" i="3"/>
  <c r="U68" i="3"/>
  <c r="T72" i="3"/>
  <c r="U72" i="3"/>
  <c r="T76" i="3"/>
  <c r="U76" i="3"/>
  <c r="T80" i="3"/>
  <c r="U80" i="3"/>
  <c r="T84" i="3"/>
  <c r="U84" i="3"/>
  <c r="T88" i="3"/>
  <c r="U88" i="3"/>
  <c r="T92" i="3"/>
  <c r="U92" i="3"/>
  <c r="T96" i="3"/>
  <c r="U96" i="3"/>
  <c r="T100" i="3"/>
  <c r="U100" i="3"/>
  <c r="T104" i="3"/>
  <c r="U104" i="3"/>
  <c r="T108" i="3"/>
  <c r="U108" i="3"/>
  <c r="T112" i="3"/>
  <c r="U112" i="3"/>
  <c r="T116" i="3"/>
  <c r="U116" i="3"/>
  <c r="T120" i="3"/>
  <c r="U120" i="3"/>
  <c r="T124" i="3"/>
  <c r="U124" i="3"/>
  <c r="T128" i="3"/>
  <c r="U128" i="3"/>
  <c r="T132" i="3"/>
  <c r="U132" i="3"/>
  <c r="T136" i="3"/>
  <c r="U136" i="3"/>
  <c r="T140" i="3"/>
  <c r="U140" i="3"/>
  <c r="T144" i="3"/>
  <c r="U144" i="3"/>
  <c r="T148" i="3"/>
  <c r="U148" i="3"/>
  <c r="T152" i="3"/>
  <c r="U152" i="3"/>
  <c r="T156" i="3"/>
  <c r="U156" i="3"/>
  <c r="T160" i="3"/>
  <c r="U160" i="3"/>
  <c r="T164" i="3"/>
  <c r="U164" i="3"/>
  <c r="T168" i="3"/>
  <c r="U168" i="3"/>
  <c r="T172" i="3"/>
  <c r="U172" i="3"/>
  <c r="T176" i="3"/>
  <c r="U176" i="3"/>
  <c r="T180" i="3"/>
  <c r="U180" i="3"/>
  <c r="T184" i="3"/>
  <c r="U184" i="3"/>
  <c r="T188" i="3"/>
  <c r="U188" i="3"/>
  <c r="T192" i="3"/>
  <c r="U192" i="3"/>
  <c r="T196" i="3"/>
  <c r="U196" i="3"/>
  <c r="T200" i="3"/>
  <c r="U200" i="3"/>
  <c r="T204" i="3"/>
  <c r="U204" i="3"/>
  <c r="T208" i="3"/>
  <c r="U208" i="3"/>
  <c r="T212" i="3"/>
  <c r="U212" i="3"/>
  <c r="T216" i="3"/>
  <c r="U216" i="3"/>
  <c r="T220" i="3"/>
  <c r="U220" i="3"/>
  <c r="T224" i="3"/>
  <c r="U224" i="3"/>
  <c r="T228" i="3"/>
  <c r="U228" i="3"/>
  <c r="T232" i="3"/>
  <c r="U232" i="3"/>
  <c r="T236" i="3"/>
  <c r="U236" i="3"/>
  <c r="T240" i="3"/>
  <c r="U240" i="3"/>
  <c r="T244" i="3"/>
  <c r="U244" i="3"/>
  <c r="T248" i="3"/>
  <c r="U248" i="3"/>
  <c r="T252" i="3"/>
  <c r="U252" i="3"/>
  <c r="T256" i="3"/>
  <c r="U256" i="3"/>
  <c r="T260" i="3"/>
  <c r="U260" i="3"/>
  <c r="T264" i="3"/>
  <c r="U264" i="3"/>
  <c r="T268" i="3"/>
  <c r="U268" i="3"/>
  <c r="T272" i="3"/>
  <c r="U272" i="3"/>
  <c r="T276" i="3"/>
  <c r="U276" i="3"/>
  <c r="T280" i="3"/>
  <c r="U280" i="3"/>
  <c r="T284" i="3"/>
  <c r="U284" i="3"/>
  <c r="T288" i="3"/>
  <c r="U288" i="3"/>
  <c r="T292" i="3"/>
  <c r="U292" i="3"/>
  <c r="T296" i="3"/>
  <c r="U296" i="3"/>
  <c r="T300" i="3"/>
  <c r="U300" i="3"/>
  <c r="T304" i="3"/>
  <c r="U304" i="3"/>
  <c r="T308" i="3"/>
  <c r="U308" i="3"/>
  <c r="T312" i="3"/>
  <c r="U312" i="3"/>
  <c r="T316" i="3"/>
  <c r="U316" i="3"/>
  <c r="T320" i="3"/>
  <c r="U320" i="3"/>
  <c r="T324" i="3"/>
  <c r="U324" i="3"/>
  <c r="T328" i="3"/>
  <c r="U328" i="3"/>
  <c r="T332" i="3"/>
  <c r="U332" i="3"/>
  <c r="T336" i="3"/>
  <c r="U336" i="3"/>
  <c r="T340" i="3"/>
  <c r="U340" i="3"/>
  <c r="T344" i="3"/>
  <c r="U344" i="3"/>
  <c r="T348" i="3"/>
  <c r="U348" i="3"/>
  <c r="T352" i="3"/>
  <c r="U352" i="3"/>
  <c r="T356" i="3"/>
  <c r="U356" i="3"/>
  <c r="T360" i="3"/>
  <c r="U360" i="3"/>
  <c r="T364" i="3"/>
  <c r="U364" i="3"/>
  <c r="T368" i="3"/>
  <c r="U368" i="3"/>
  <c r="T372" i="3"/>
  <c r="U372" i="3"/>
  <c r="T376" i="3"/>
  <c r="U376" i="3"/>
  <c r="T380" i="3"/>
  <c r="U380" i="3"/>
  <c r="T384" i="3"/>
  <c r="U384" i="3"/>
  <c r="T388" i="3"/>
  <c r="U388" i="3"/>
  <c r="T392" i="3"/>
  <c r="U392" i="3"/>
  <c r="T396" i="3"/>
  <c r="U396" i="3"/>
  <c r="T400" i="3"/>
  <c r="U400" i="3"/>
  <c r="T404" i="3"/>
  <c r="U404" i="3"/>
  <c r="T408" i="3"/>
  <c r="U408" i="3"/>
  <c r="T412" i="3"/>
  <c r="U412" i="3"/>
  <c r="T416" i="3"/>
  <c r="U416" i="3"/>
  <c r="T420" i="3"/>
  <c r="U420" i="3"/>
  <c r="T424" i="3"/>
  <c r="U424" i="3"/>
  <c r="T428" i="3"/>
  <c r="U428" i="3"/>
  <c r="T432" i="3"/>
  <c r="U432" i="3"/>
  <c r="T436" i="3"/>
  <c r="U436" i="3"/>
  <c r="T440" i="3"/>
  <c r="U440" i="3"/>
  <c r="T444" i="3"/>
  <c r="U444" i="3"/>
  <c r="T448" i="3"/>
  <c r="U448" i="3"/>
  <c r="T452" i="3"/>
  <c r="U452" i="3"/>
  <c r="T456" i="3"/>
  <c r="U456" i="3"/>
  <c r="T460" i="3"/>
  <c r="U460" i="3"/>
  <c r="T464" i="3"/>
  <c r="U464" i="3"/>
  <c r="T468" i="3"/>
  <c r="U468" i="3"/>
  <c r="T472" i="3"/>
  <c r="U472" i="3"/>
  <c r="T476" i="3"/>
  <c r="U476" i="3"/>
  <c r="T480" i="3"/>
  <c r="U480" i="3"/>
  <c r="T484" i="3"/>
  <c r="U484" i="3"/>
  <c r="T488" i="3"/>
  <c r="U488" i="3"/>
  <c r="T492" i="3"/>
  <c r="U492" i="3"/>
  <c r="T496" i="3"/>
  <c r="U496" i="3"/>
  <c r="T500" i="3"/>
  <c r="U500" i="3"/>
  <c r="T504" i="3"/>
  <c r="U504" i="3"/>
  <c r="T508" i="3"/>
  <c r="U508" i="3"/>
  <c r="T512" i="3"/>
  <c r="U512" i="3"/>
  <c r="T516" i="3"/>
  <c r="U516" i="3"/>
  <c r="T520" i="3"/>
  <c r="U520" i="3"/>
  <c r="T524" i="3"/>
  <c r="U524" i="3"/>
  <c r="T528" i="3"/>
  <c r="U528" i="3"/>
  <c r="T532" i="3"/>
  <c r="U532" i="3"/>
  <c r="T536" i="3"/>
  <c r="U536" i="3"/>
  <c r="T540" i="3"/>
  <c r="U540" i="3"/>
  <c r="T544" i="3"/>
  <c r="U544" i="3"/>
  <c r="T548" i="3"/>
  <c r="U548" i="3"/>
  <c r="T552" i="3"/>
  <c r="U552" i="3"/>
  <c r="T556" i="3"/>
  <c r="U556" i="3"/>
  <c r="T560" i="3"/>
  <c r="U560" i="3"/>
  <c r="T564" i="3"/>
  <c r="U564" i="3"/>
  <c r="T568" i="3"/>
  <c r="U568" i="3"/>
  <c r="T576" i="3"/>
  <c r="U576" i="3"/>
  <c r="T580" i="3"/>
  <c r="U580" i="3"/>
  <c r="T584" i="3"/>
  <c r="U584" i="3"/>
  <c r="T588" i="3"/>
  <c r="U588" i="3"/>
  <c r="T592" i="3"/>
  <c r="U592" i="3"/>
  <c r="T596" i="3"/>
  <c r="U596" i="3"/>
  <c r="T600" i="3"/>
  <c r="U600" i="3"/>
  <c r="T604" i="3"/>
  <c r="U604" i="3"/>
  <c r="T608" i="3"/>
  <c r="U608" i="3"/>
  <c r="T612" i="3"/>
  <c r="U612" i="3"/>
  <c r="T616" i="3"/>
  <c r="U616" i="3"/>
  <c r="T620" i="3"/>
  <c r="U620" i="3"/>
  <c r="T624" i="3"/>
  <c r="U624" i="3"/>
  <c r="T628" i="3"/>
  <c r="U628" i="3"/>
  <c r="T632" i="3"/>
  <c r="U632" i="3"/>
  <c r="T636" i="3"/>
  <c r="U636" i="3"/>
  <c r="T640" i="3"/>
  <c r="U640" i="3"/>
  <c r="T644" i="3"/>
  <c r="U644" i="3"/>
  <c r="T648" i="3"/>
  <c r="U648" i="3"/>
  <c r="T652" i="3"/>
  <c r="U652" i="3"/>
  <c r="T656" i="3"/>
  <c r="U656" i="3"/>
  <c r="T660" i="3"/>
  <c r="U660" i="3"/>
  <c r="T664" i="3"/>
  <c r="U664" i="3"/>
  <c r="W669" i="3"/>
  <c r="V669" i="3"/>
  <c r="W673" i="3"/>
  <c r="V673" i="3"/>
  <c r="W677" i="3"/>
  <c r="V677" i="3"/>
  <c r="W681" i="3"/>
  <c r="V681" i="3"/>
  <c r="W685" i="3"/>
  <c r="V685" i="3"/>
  <c r="W689" i="3"/>
  <c r="V689" i="3"/>
  <c r="W693" i="3"/>
  <c r="V693" i="3"/>
  <c r="W697" i="3"/>
  <c r="V697" i="3"/>
  <c r="W11" i="3"/>
  <c r="V11" i="3"/>
  <c r="W31" i="3"/>
  <c r="V31" i="3"/>
  <c r="W59" i="3"/>
  <c r="V59" i="3"/>
  <c r="W63" i="3"/>
  <c r="V63" i="3"/>
  <c r="W67" i="3"/>
  <c r="V67" i="3"/>
  <c r="W143" i="3"/>
  <c r="V143" i="3"/>
  <c r="W147" i="3"/>
  <c r="V147" i="3"/>
  <c r="W151" i="3"/>
  <c r="V151" i="3"/>
  <c r="W155" i="3"/>
  <c r="V155" i="3"/>
  <c r="W183" i="3"/>
  <c r="V183" i="3"/>
  <c r="W187" i="3"/>
  <c r="V187" i="3"/>
  <c r="W291" i="3"/>
  <c r="V291" i="3"/>
  <c r="W319" i="3"/>
  <c r="V319" i="3"/>
  <c r="W335" i="3"/>
  <c r="V335" i="3"/>
  <c r="W371" i="3"/>
  <c r="V371" i="3"/>
  <c r="W403" i="3"/>
  <c r="V403" i="3"/>
  <c r="W435" i="3"/>
  <c r="V435" i="3"/>
  <c r="W515" i="3"/>
  <c r="V515" i="3"/>
  <c r="W5" i="3"/>
  <c r="V5" i="3"/>
  <c r="W9" i="3"/>
  <c r="V9" i="3"/>
  <c r="W13" i="3"/>
  <c r="V13" i="3"/>
  <c r="W4" i="3"/>
  <c r="V4" i="3"/>
  <c r="W8" i="3"/>
  <c r="V8" i="3"/>
  <c r="W12" i="3"/>
  <c r="V12" i="3"/>
  <c r="W16" i="3"/>
  <c r="V16" i="3"/>
  <c r="W20" i="3"/>
  <c r="V20" i="3"/>
  <c r="W24" i="3"/>
  <c r="V24" i="3"/>
  <c r="W28" i="3"/>
  <c r="V28" i="3"/>
  <c r="W32" i="3"/>
  <c r="V32" i="3"/>
  <c r="W36" i="3"/>
  <c r="V36" i="3"/>
  <c r="W40" i="3"/>
  <c r="V40" i="3"/>
  <c r="W44" i="3"/>
  <c r="V44" i="3"/>
  <c r="W48" i="3"/>
  <c r="V48" i="3"/>
  <c r="W52" i="3"/>
  <c r="V52" i="3"/>
  <c r="W56" i="3"/>
  <c r="V56" i="3"/>
  <c r="W60" i="3"/>
  <c r="V60" i="3"/>
  <c r="W64" i="3"/>
  <c r="V64" i="3"/>
  <c r="W68" i="3"/>
  <c r="V68" i="3"/>
  <c r="W72" i="3"/>
  <c r="V72" i="3"/>
  <c r="W76" i="3"/>
  <c r="V76" i="3"/>
  <c r="W80" i="3"/>
  <c r="V80" i="3"/>
  <c r="W84" i="3"/>
  <c r="V84" i="3"/>
  <c r="W88" i="3"/>
  <c r="V88" i="3"/>
  <c r="W92" i="3"/>
  <c r="V92" i="3"/>
  <c r="W96" i="3"/>
  <c r="V96" i="3"/>
  <c r="W100" i="3"/>
  <c r="V100" i="3"/>
  <c r="W104" i="3"/>
  <c r="V104" i="3"/>
  <c r="W108" i="3"/>
  <c r="V108" i="3"/>
  <c r="W112" i="3"/>
  <c r="V112" i="3"/>
  <c r="W116" i="3"/>
  <c r="V116" i="3"/>
  <c r="W120" i="3"/>
  <c r="V120" i="3"/>
  <c r="V124" i="3"/>
  <c r="W124" i="3"/>
  <c r="W128" i="3"/>
  <c r="V128" i="3"/>
  <c r="W132" i="3"/>
  <c r="V132" i="3"/>
  <c r="W136" i="3"/>
  <c r="V136" i="3"/>
  <c r="W140" i="3"/>
  <c r="V140" i="3"/>
  <c r="W144" i="3"/>
  <c r="V144" i="3"/>
  <c r="W148" i="3"/>
  <c r="V148" i="3"/>
  <c r="W152" i="3"/>
  <c r="V152" i="3"/>
  <c r="W156" i="3"/>
  <c r="V156" i="3"/>
  <c r="W160" i="3"/>
  <c r="V160" i="3"/>
  <c r="W164" i="3"/>
  <c r="V164" i="3"/>
  <c r="V168" i="3"/>
  <c r="W168" i="3"/>
  <c r="W172" i="3"/>
  <c r="V172" i="3"/>
  <c r="W176" i="3"/>
  <c r="V176" i="3"/>
  <c r="W180" i="3"/>
  <c r="V180" i="3"/>
  <c r="W184" i="3"/>
  <c r="V184" i="3"/>
  <c r="W188" i="3"/>
  <c r="V188" i="3"/>
  <c r="V192" i="3"/>
  <c r="W192" i="3"/>
  <c r="W196" i="3"/>
  <c r="V196" i="3"/>
  <c r="W200" i="3"/>
  <c r="V200" i="3"/>
  <c r="W204" i="3"/>
  <c r="V204" i="3"/>
  <c r="W208" i="3"/>
  <c r="V208" i="3"/>
  <c r="W212" i="3"/>
  <c r="V212" i="3"/>
  <c r="W216" i="3"/>
  <c r="V216" i="3"/>
  <c r="W220" i="3"/>
  <c r="V220" i="3"/>
  <c r="W224" i="3"/>
  <c r="V224" i="3"/>
  <c r="W228" i="3"/>
  <c r="V228" i="3"/>
  <c r="V232" i="3"/>
  <c r="W232" i="3"/>
  <c r="W236" i="3"/>
  <c r="V236" i="3"/>
  <c r="W240" i="3"/>
  <c r="V240" i="3"/>
  <c r="W244" i="3"/>
  <c r="V244" i="3"/>
  <c r="W248" i="3"/>
  <c r="V248" i="3"/>
  <c r="W252" i="3"/>
  <c r="V252" i="3"/>
  <c r="V256" i="3"/>
  <c r="W256" i="3"/>
  <c r="W260" i="3"/>
  <c r="V260" i="3"/>
  <c r="W264" i="3"/>
  <c r="V264" i="3"/>
  <c r="W268" i="3"/>
  <c r="V268" i="3"/>
  <c r="W272" i="3"/>
  <c r="V272" i="3"/>
  <c r="W276" i="3"/>
  <c r="V276" i="3"/>
  <c r="W280" i="3"/>
  <c r="V280" i="3"/>
  <c r="W284" i="3"/>
  <c r="V284" i="3"/>
  <c r="W288" i="3"/>
  <c r="V288" i="3"/>
  <c r="W292" i="3"/>
  <c r="V292" i="3"/>
  <c r="V296" i="3"/>
  <c r="W296" i="3"/>
  <c r="W300" i="3"/>
  <c r="V300" i="3"/>
  <c r="W304" i="3"/>
  <c r="V304" i="3"/>
  <c r="W308" i="3"/>
  <c r="V308" i="3"/>
  <c r="W312" i="3"/>
  <c r="V312" i="3"/>
  <c r="W316" i="3"/>
  <c r="V316" i="3"/>
  <c r="W320" i="3"/>
  <c r="V320" i="3"/>
  <c r="W324" i="3"/>
  <c r="V324" i="3"/>
  <c r="W328" i="3"/>
  <c r="V328" i="3"/>
  <c r="W332" i="3"/>
  <c r="V332" i="3"/>
  <c r="W336" i="3"/>
  <c r="V336" i="3"/>
  <c r="W340" i="3"/>
  <c r="V340" i="3"/>
  <c r="W344" i="3"/>
  <c r="V344" i="3"/>
  <c r="W348" i="3"/>
  <c r="V348" i="3"/>
  <c r="W352" i="3"/>
  <c r="V352" i="3"/>
  <c r="W356" i="3"/>
  <c r="V356" i="3"/>
  <c r="V360" i="3"/>
  <c r="W360" i="3"/>
  <c r="W364" i="3"/>
  <c r="V364" i="3"/>
  <c r="W368" i="3"/>
  <c r="V368" i="3"/>
  <c r="W372" i="3"/>
  <c r="V372" i="3"/>
  <c r="W376" i="3"/>
  <c r="V376" i="3"/>
  <c r="W380" i="3"/>
  <c r="V380" i="3"/>
  <c r="V384" i="3"/>
  <c r="W384" i="3"/>
  <c r="W388" i="3"/>
  <c r="V388" i="3"/>
  <c r="W392" i="3"/>
  <c r="V392" i="3"/>
  <c r="W396" i="3"/>
  <c r="V396" i="3"/>
  <c r="W400" i="3"/>
  <c r="V400" i="3"/>
  <c r="W404" i="3"/>
  <c r="V404" i="3"/>
  <c r="W408" i="3"/>
  <c r="V408" i="3"/>
  <c r="W412" i="3"/>
  <c r="V412" i="3"/>
  <c r="W416" i="3"/>
  <c r="V416" i="3"/>
  <c r="W420" i="3"/>
  <c r="V420" i="3"/>
  <c r="V424" i="3"/>
  <c r="W424" i="3"/>
  <c r="W428" i="3"/>
  <c r="V428" i="3"/>
  <c r="W432" i="3"/>
  <c r="V432" i="3"/>
  <c r="W436" i="3"/>
  <c r="V436" i="3"/>
  <c r="W440" i="3"/>
  <c r="V440" i="3"/>
  <c r="W444" i="3"/>
  <c r="V444" i="3"/>
  <c r="V448" i="3"/>
  <c r="W448" i="3"/>
  <c r="W452" i="3"/>
  <c r="V452" i="3"/>
  <c r="W456" i="3"/>
  <c r="V456" i="3"/>
  <c r="W460" i="3"/>
  <c r="V460" i="3"/>
  <c r="W464" i="3"/>
  <c r="V464" i="3"/>
  <c r="W468" i="3"/>
  <c r="V468" i="3"/>
  <c r="W472" i="3"/>
  <c r="V472" i="3"/>
  <c r="W476" i="3"/>
  <c r="V476" i="3"/>
  <c r="W480" i="3"/>
  <c r="V480" i="3"/>
  <c r="W484" i="3"/>
  <c r="V484" i="3"/>
  <c r="V488" i="3"/>
  <c r="W488" i="3"/>
  <c r="W492" i="3"/>
  <c r="V492" i="3"/>
  <c r="W496" i="3"/>
  <c r="V496" i="3"/>
  <c r="W500" i="3"/>
  <c r="V500" i="3"/>
  <c r="W504" i="3"/>
  <c r="V504" i="3"/>
  <c r="W508" i="3"/>
  <c r="V508" i="3"/>
  <c r="W512" i="3"/>
  <c r="V512" i="3"/>
  <c r="W516" i="3"/>
  <c r="V516" i="3"/>
  <c r="W520" i="3"/>
  <c r="V520" i="3"/>
  <c r="W524" i="3"/>
  <c r="V524" i="3"/>
  <c r="W528" i="3"/>
  <c r="V528" i="3"/>
  <c r="W532" i="3"/>
  <c r="V532" i="3"/>
  <c r="W536" i="3"/>
  <c r="V536" i="3"/>
  <c r="W540" i="3"/>
  <c r="V540" i="3"/>
  <c r="W544" i="3"/>
  <c r="V544" i="3"/>
  <c r="W548" i="3"/>
  <c r="V548" i="3"/>
  <c r="W552" i="3"/>
  <c r="V552" i="3"/>
  <c r="W556" i="3"/>
  <c r="V556" i="3"/>
  <c r="W560" i="3"/>
  <c r="V560" i="3"/>
  <c r="W564" i="3"/>
  <c r="V564" i="3"/>
  <c r="W568" i="3"/>
  <c r="V568" i="3"/>
  <c r="W572" i="3"/>
  <c r="V572" i="3"/>
  <c r="W576" i="3"/>
  <c r="V576" i="3"/>
  <c r="W580" i="3"/>
  <c r="V580" i="3"/>
  <c r="W584" i="3"/>
  <c r="V584" i="3"/>
  <c r="W588" i="3"/>
  <c r="V588" i="3"/>
  <c r="W592" i="3"/>
  <c r="V592" i="3"/>
  <c r="W596" i="3"/>
  <c r="V596" i="3"/>
  <c r="W600" i="3"/>
  <c r="V600" i="3"/>
  <c r="W604" i="3"/>
  <c r="V604" i="3"/>
  <c r="W608" i="3"/>
  <c r="V608" i="3"/>
  <c r="W612" i="3"/>
  <c r="V612" i="3"/>
  <c r="W616" i="3"/>
  <c r="V616" i="3"/>
  <c r="W620" i="3"/>
  <c r="V620" i="3"/>
  <c r="W624" i="3"/>
  <c r="V624" i="3"/>
  <c r="W628" i="3"/>
  <c r="V628" i="3"/>
  <c r="W632" i="3"/>
  <c r="V632" i="3"/>
  <c r="W636" i="3"/>
  <c r="V636" i="3"/>
  <c r="W640" i="3"/>
  <c r="V640" i="3"/>
  <c r="W644" i="3"/>
  <c r="V644" i="3"/>
  <c r="W648" i="3"/>
  <c r="V648" i="3"/>
  <c r="W652" i="3"/>
  <c r="V652" i="3"/>
  <c r="W656" i="3"/>
  <c r="V656" i="3"/>
  <c r="W660" i="3"/>
  <c r="V660" i="3"/>
  <c r="W664" i="3"/>
  <c r="V664" i="3"/>
  <c r="T668" i="3"/>
  <c r="U668" i="3"/>
  <c r="T672" i="3"/>
  <c r="U672" i="3"/>
  <c r="T676" i="3"/>
  <c r="U676" i="3"/>
  <c r="T680" i="3"/>
  <c r="U680" i="3"/>
  <c r="T684" i="3"/>
  <c r="U684" i="3"/>
  <c r="T688" i="3"/>
  <c r="U688" i="3"/>
  <c r="T692" i="3"/>
  <c r="U692" i="3"/>
  <c r="T696" i="3"/>
  <c r="U696" i="3"/>
  <c r="T700" i="3"/>
  <c r="U700" i="3"/>
  <c r="W27" i="3"/>
  <c r="V27" i="3"/>
  <c r="W39" i="3"/>
  <c r="V39" i="3"/>
  <c r="W71" i="3"/>
  <c r="V71" i="3"/>
  <c r="W95" i="3"/>
  <c r="V95" i="3"/>
  <c r="W159" i="3"/>
  <c r="V159" i="3"/>
  <c r="V191" i="3"/>
  <c r="W191" i="3"/>
  <c r="W219" i="3"/>
  <c r="V219" i="3"/>
  <c r="W239" i="3"/>
  <c r="V239" i="3"/>
  <c r="W243" i="3"/>
  <c r="V243" i="3"/>
  <c r="W259" i="3"/>
  <c r="V259" i="3"/>
  <c r="W311" i="3"/>
  <c r="V311" i="3"/>
  <c r="W331" i="3"/>
  <c r="V331" i="3"/>
  <c r="W399" i="3"/>
  <c r="V399" i="3"/>
  <c r="W431" i="3"/>
  <c r="V431" i="3"/>
  <c r="W455" i="3"/>
  <c r="V455" i="3"/>
  <c r="W531" i="3"/>
  <c r="V531" i="3"/>
  <c r="T3" i="3"/>
  <c r="U3" i="3"/>
  <c r="T7" i="3"/>
  <c r="U7" i="3"/>
  <c r="T11" i="3"/>
  <c r="U11" i="3"/>
  <c r="T15" i="3"/>
  <c r="U15" i="3"/>
  <c r="T19" i="3"/>
  <c r="U19" i="3"/>
  <c r="T23" i="3"/>
  <c r="U23" i="3"/>
  <c r="T27" i="3"/>
  <c r="U27" i="3"/>
  <c r="T31" i="3"/>
  <c r="U31" i="3"/>
  <c r="T35" i="3"/>
  <c r="U35" i="3"/>
  <c r="T39" i="3"/>
  <c r="U39" i="3"/>
  <c r="T43" i="3"/>
  <c r="U43" i="3"/>
  <c r="T47" i="3"/>
  <c r="U47" i="3"/>
  <c r="T51" i="3"/>
  <c r="U51" i="3"/>
  <c r="T55" i="3"/>
  <c r="U55" i="3"/>
  <c r="T59" i="3"/>
  <c r="U59" i="3"/>
  <c r="T63" i="3"/>
  <c r="U63" i="3"/>
  <c r="T67" i="3"/>
  <c r="U67" i="3"/>
  <c r="T71" i="3"/>
  <c r="U71" i="3"/>
  <c r="T75" i="3"/>
  <c r="U75" i="3"/>
  <c r="T79" i="3"/>
  <c r="U79" i="3"/>
  <c r="T83" i="3"/>
  <c r="U83" i="3"/>
  <c r="T87" i="3"/>
  <c r="U87" i="3"/>
  <c r="T91" i="3"/>
  <c r="U91" i="3"/>
  <c r="T95" i="3"/>
  <c r="U95" i="3"/>
  <c r="T99" i="3"/>
  <c r="U99" i="3"/>
  <c r="T103" i="3"/>
  <c r="U103" i="3"/>
  <c r="T107" i="3"/>
  <c r="U107" i="3"/>
  <c r="T111" i="3"/>
  <c r="U111" i="3"/>
  <c r="T115" i="3"/>
  <c r="U115" i="3"/>
  <c r="T119" i="3"/>
  <c r="U119" i="3"/>
  <c r="T123" i="3"/>
  <c r="U123" i="3"/>
  <c r="T127" i="3"/>
  <c r="U127" i="3"/>
  <c r="T131" i="3"/>
  <c r="U131" i="3"/>
  <c r="T135" i="3"/>
  <c r="U135" i="3"/>
  <c r="T139" i="3"/>
  <c r="U139" i="3"/>
  <c r="T143" i="3"/>
  <c r="U143" i="3"/>
  <c r="T147" i="3"/>
  <c r="U147" i="3"/>
  <c r="T151" i="3"/>
  <c r="U151" i="3"/>
  <c r="T155" i="3"/>
  <c r="U155" i="3"/>
  <c r="T159" i="3"/>
  <c r="U159" i="3"/>
  <c r="T163" i="3"/>
  <c r="U163" i="3"/>
  <c r="T167" i="3"/>
  <c r="U167" i="3"/>
  <c r="U171" i="3"/>
  <c r="T171" i="3"/>
  <c r="T175" i="3"/>
  <c r="U175" i="3"/>
  <c r="T179" i="3"/>
  <c r="U179" i="3"/>
  <c r="T183" i="3"/>
  <c r="U183" i="3"/>
  <c r="T187" i="3"/>
  <c r="U187" i="3"/>
  <c r="T191" i="3"/>
  <c r="U191" i="3"/>
  <c r="T195" i="3"/>
  <c r="U195" i="3"/>
  <c r="T199" i="3"/>
  <c r="U199" i="3"/>
  <c r="U203" i="3"/>
  <c r="T203" i="3"/>
  <c r="T207" i="3"/>
  <c r="U207" i="3"/>
  <c r="T211" i="3"/>
  <c r="U211" i="3"/>
  <c r="T215" i="3"/>
  <c r="U215" i="3"/>
  <c r="T219" i="3"/>
  <c r="U219" i="3"/>
  <c r="T223" i="3"/>
  <c r="U223" i="3"/>
  <c r="T227" i="3"/>
  <c r="U227" i="3"/>
  <c r="T231" i="3"/>
  <c r="U231" i="3"/>
  <c r="T235" i="3"/>
  <c r="U235" i="3"/>
  <c r="T239" i="3"/>
  <c r="U239" i="3"/>
  <c r="T243" i="3"/>
  <c r="U243" i="3"/>
  <c r="T247" i="3"/>
  <c r="U247" i="3"/>
  <c r="T251" i="3"/>
  <c r="U251" i="3"/>
  <c r="T255" i="3"/>
  <c r="U255" i="3"/>
  <c r="T259" i="3"/>
  <c r="U259" i="3"/>
  <c r="T263" i="3"/>
  <c r="U263" i="3"/>
  <c r="T267" i="3"/>
  <c r="U267" i="3"/>
  <c r="T271" i="3"/>
  <c r="U271" i="3"/>
  <c r="T275" i="3"/>
  <c r="U275" i="3"/>
  <c r="T279" i="3"/>
  <c r="U279" i="3"/>
  <c r="T283" i="3"/>
  <c r="U283" i="3"/>
  <c r="T287" i="3"/>
  <c r="U287" i="3"/>
  <c r="T291" i="3"/>
  <c r="U291" i="3"/>
  <c r="T295" i="3"/>
  <c r="U295" i="3"/>
  <c r="U299" i="3"/>
  <c r="T299" i="3"/>
  <c r="T303" i="3"/>
  <c r="U303" i="3"/>
  <c r="T307" i="3"/>
  <c r="U307" i="3"/>
  <c r="T311" i="3"/>
  <c r="U311" i="3"/>
  <c r="T315" i="3"/>
  <c r="U315" i="3"/>
  <c r="T319" i="3"/>
  <c r="U319" i="3"/>
  <c r="T323" i="3"/>
  <c r="U323" i="3"/>
  <c r="T327" i="3"/>
  <c r="U327" i="3"/>
  <c r="T331" i="3"/>
  <c r="U331" i="3"/>
  <c r="T335" i="3"/>
  <c r="U335" i="3"/>
  <c r="T339" i="3"/>
  <c r="U339" i="3"/>
  <c r="T343" i="3"/>
  <c r="U343" i="3"/>
  <c r="T347" i="3"/>
  <c r="U347" i="3"/>
  <c r="T351" i="3"/>
  <c r="U351" i="3"/>
  <c r="T355" i="3"/>
  <c r="U355" i="3"/>
  <c r="T359" i="3"/>
  <c r="U359" i="3"/>
  <c r="T363" i="3"/>
  <c r="U363" i="3"/>
  <c r="T367" i="3"/>
  <c r="U367" i="3"/>
  <c r="T371" i="3"/>
  <c r="U371" i="3"/>
  <c r="T375" i="3"/>
  <c r="U375" i="3"/>
  <c r="T379" i="3"/>
  <c r="U379" i="3"/>
  <c r="T383" i="3"/>
  <c r="U383" i="3"/>
  <c r="T387" i="3"/>
  <c r="U387" i="3"/>
  <c r="T391" i="3"/>
  <c r="U391" i="3"/>
  <c r="T395" i="3"/>
  <c r="U395" i="3"/>
  <c r="T399" i="3"/>
  <c r="U399" i="3"/>
  <c r="T403" i="3"/>
  <c r="U403" i="3"/>
  <c r="T407" i="3"/>
  <c r="U407" i="3"/>
  <c r="T411" i="3"/>
  <c r="U411" i="3"/>
  <c r="T415" i="3"/>
  <c r="U415" i="3"/>
  <c r="T419" i="3"/>
  <c r="U419" i="3"/>
  <c r="T423" i="3"/>
  <c r="U423" i="3"/>
  <c r="U427" i="3"/>
  <c r="T427" i="3"/>
  <c r="T431" i="3"/>
  <c r="U431" i="3"/>
  <c r="T435" i="3"/>
  <c r="U435" i="3"/>
  <c r="T439" i="3"/>
  <c r="U439" i="3"/>
  <c r="T443" i="3"/>
  <c r="U443" i="3"/>
  <c r="T447" i="3"/>
  <c r="U447" i="3"/>
  <c r="T451" i="3"/>
  <c r="U451" i="3"/>
  <c r="T455" i="3"/>
  <c r="U455" i="3"/>
  <c r="T459" i="3"/>
  <c r="U459" i="3"/>
  <c r="T463" i="3"/>
  <c r="U463" i="3"/>
  <c r="T467" i="3"/>
  <c r="U467" i="3"/>
  <c r="T471" i="3"/>
  <c r="U471" i="3"/>
  <c r="T475" i="3"/>
  <c r="U475" i="3"/>
  <c r="T479" i="3"/>
  <c r="U479" i="3"/>
  <c r="T483" i="3"/>
  <c r="U483" i="3"/>
  <c r="T487" i="3"/>
  <c r="U487" i="3"/>
  <c r="T491" i="3"/>
  <c r="U491" i="3"/>
  <c r="T495" i="3"/>
  <c r="U495" i="3"/>
  <c r="T499" i="3"/>
  <c r="U499" i="3"/>
  <c r="T503" i="3"/>
  <c r="U503" i="3"/>
  <c r="T507" i="3"/>
  <c r="U507" i="3"/>
  <c r="T511" i="3"/>
  <c r="U511" i="3"/>
  <c r="T515" i="3"/>
  <c r="U515" i="3"/>
  <c r="T519" i="3"/>
  <c r="U519" i="3"/>
  <c r="T523" i="3"/>
  <c r="U523" i="3"/>
  <c r="T527" i="3"/>
  <c r="U527" i="3"/>
  <c r="T531" i="3"/>
  <c r="U531" i="3"/>
  <c r="T535" i="3"/>
  <c r="U535" i="3"/>
  <c r="T539" i="3"/>
  <c r="U539" i="3"/>
  <c r="T543" i="3"/>
  <c r="U543" i="3"/>
  <c r="T547" i="3"/>
  <c r="U547" i="3"/>
  <c r="T551" i="3"/>
  <c r="U551" i="3"/>
  <c r="U555" i="3"/>
  <c r="T555" i="3"/>
  <c r="T559" i="3"/>
  <c r="U559" i="3"/>
  <c r="T563" i="3"/>
  <c r="U563" i="3"/>
  <c r="T567" i="3"/>
  <c r="U567" i="3"/>
  <c r="T575" i="3"/>
  <c r="U575" i="3"/>
  <c r="T579" i="3"/>
  <c r="U579" i="3"/>
  <c r="T583" i="3"/>
  <c r="U583" i="3"/>
  <c r="T587" i="3"/>
  <c r="U587" i="3"/>
  <c r="T591" i="3"/>
  <c r="U591" i="3"/>
  <c r="T595" i="3"/>
  <c r="U595" i="3"/>
  <c r="T599" i="3"/>
  <c r="U599" i="3"/>
  <c r="T603" i="3"/>
  <c r="U603" i="3"/>
  <c r="T607" i="3"/>
  <c r="U607" i="3"/>
  <c r="T611" i="3"/>
  <c r="U611" i="3"/>
  <c r="T615" i="3"/>
  <c r="U615" i="3"/>
  <c r="T619" i="3"/>
  <c r="U619" i="3"/>
  <c r="T623" i="3"/>
  <c r="U623" i="3"/>
  <c r="T627" i="3"/>
  <c r="U627" i="3"/>
  <c r="T631" i="3"/>
  <c r="U631" i="3"/>
  <c r="T635" i="3"/>
  <c r="U635" i="3"/>
  <c r="T639" i="3"/>
  <c r="U639" i="3"/>
  <c r="T643" i="3"/>
  <c r="U643" i="3"/>
  <c r="T647" i="3"/>
  <c r="U647" i="3"/>
  <c r="T651" i="3"/>
  <c r="U651" i="3"/>
  <c r="T655" i="3"/>
  <c r="U655" i="3"/>
  <c r="T659" i="3"/>
  <c r="U659" i="3"/>
  <c r="T663" i="3"/>
  <c r="U663" i="3"/>
  <c r="W668" i="3"/>
  <c r="V668" i="3"/>
  <c r="W672" i="3"/>
  <c r="V672" i="3"/>
  <c r="W676" i="3"/>
  <c r="V676" i="3"/>
  <c r="W680" i="3"/>
  <c r="V680" i="3"/>
  <c r="W684" i="3"/>
  <c r="V684" i="3"/>
  <c r="W688" i="3"/>
  <c r="V688" i="3"/>
  <c r="W692" i="3"/>
  <c r="V692" i="3"/>
  <c r="W696" i="3"/>
  <c r="V696" i="3"/>
  <c r="W700" i="3"/>
  <c r="V700" i="3"/>
  <c r="U573" i="3"/>
  <c r="T573" i="3"/>
  <c r="U572" i="3"/>
  <c r="T572" i="3"/>
  <c r="T571" i="3"/>
  <c r="U571" i="3"/>
  <c r="T570" i="3"/>
  <c r="U570" i="3"/>
  <c r="V139" i="3"/>
  <c r="W139" i="3"/>
  <c r="V138" i="3"/>
  <c r="W138" i="3"/>
  <c r="W137" i="3"/>
  <c r="V137" i="3"/>
  <c r="C27" i="2"/>
  <c r="C29" i="2"/>
  <c r="Q2" i="4"/>
  <c r="R2" i="3" s="1"/>
  <c r="A2" i="3"/>
  <c r="A3" i="4"/>
  <c r="A4" i="4" l="1"/>
  <c r="A3" i="3"/>
  <c r="A5" i="4"/>
  <c r="Q3" i="4"/>
  <c r="R3" i="3" s="1"/>
  <c r="A6" i="4" l="1"/>
  <c r="A6" i="3" s="1"/>
  <c r="A5" i="3"/>
  <c r="Q4" i="4"/>
  <c r="R4" i="3" s="1"/>
  <c r="A4" i="3"/>
  <c r="Q5" i="4"/>
  <c r="R5" i="3" s="1"/>
  <c r="Q6" i="4" l="1"/>
  <c r="R6" i="3" s="1"/>
  <c r="A7" i="4"/>
  <c r="A7" i="3" s="1"/>
  <c r="A8" i="4" l="1"/>
  <c r="A8" i="3" s="1"/>
  <c r="Q7" i="4"/>
  <c r="R7" i="3" s="1"/>
  <c r="A9" i="4"/>
  <c r="A9" i="3" s="1"/>
  <c r="Q8" i="4"/>
  <c r="R8" i="3" s="1"/>
  <c r="A10" i="4" l="1"/>
  <c r="A10" i="3" s="1"/>
  <c r="Q9" i="4"/>
  <c r="R9" i="3" s="1"/>
  <c r="A11" i="4" l="1"/>
  <c r="A11" i="3" s="1"/>
  <c r="Q10" i="4"/>
  <c r="R10" i="3" s="1"/>
  <c r="Q11" i="4" l="1"/>
  <c r="R11" i="3" s="1"/>
  <c r="A12" i="4"/>
  <c r="A12" i="3" s="1"/>
  <c r="A13" i="4" l="1"/>
  <c r="A13" i="3" s="1"/>
  <c r="Q12" i="4"/>
  <c r="R12" i="3" s="1"/>
  <c r="A14" i="4" l="1"/>
  <c r="A14" i="3" s="1"/>
  <c r="Q13" i="4"/>
  <c r="R13" i="3" s="1"/>
  <c r="A15" i="4" l="1"/>
  <c r="A15" i="3" s="1"/>
  <c r="Q14" i="4"/>
  <c r="R14" i="3" s="1"/>
  <c r="Q15" i="4" l="1"/>
  <c r="R15" i="3" s="1"/>
  <c r="A16" i="4"/>
  <c r="A16" i="3" s="1"/>
  <c r="A17" i="4" l="1"/>
  <c r="A17" i="3" s="1"/>
  <c r="Q16" i="4"/>
  <c r="R16" i="3" s="1"/>
  <c r="A18" i="4" l="1"/>
  <c r="A18" i="3" s="1"/>
  <c r="Q17" i="4"/>
  <c r="R17" i="3" s="1"/>
  <c r="A19" i="4" l="1"/>
  <c r="A19" i="3" s="1"/>
  <c r="Q18" i="4"/>
  <c r="R18" i="3" s="1"/>
  <c r="Q19" i="4" l="1"/>
  <c r="R19" i="3" s="1"/>
  <c r="A20" i="4"/>
  <c r="A20" i="3" s="1"/>
  <c r="A21" i="4" l="1"/>
  <c r="A21" i="3" s="1"/>
  <c r="Q20" i="4"/>
  <c r="R20" i="3" s="1"/>
  <c r="A22" i="4" l="1"/>
  <c r="A22" i="3" s="1"/>
  <c r="Q21" i="4"/>
  <c r="R21" i="3" s="1"/>
  <c r="A23" i="4" l="1"/>
  <c r="A23" i="3" s="1"/>
  <c r="Q22" i="4"/>
  <c r="R22" i="3" s="1"/>
  <c r="Q23" i="4" l="1"/>
  <c r="R23" i="3" s="1"/>
  <c r="A24" i="4"/>
  <c r="A24" i="3" s="1"/>
  <c r="A25" i="4" l="1"/>
  <c r="A25" i="3" s="1"/>
  <c r="Q24" i="4"/>
  <c r="R24" i="3" s="1"/>
  <c r="A26" i="4" l="1"/>
  <c r="A26" i="3" s="1"/>
  <c r="Q25" i="4"/>
  <c r="R25" i="3" s="1"/>
  <c r="A27" i="4" l="1"/>
  <c r="A27" i="3" s="1"/>
  <c r="Q26" i="4"/>
  <c r="R26" i="3" s="1"/>
  <c r="A28" i="4" l="1"/>
  <c r="A28" i="3" s="1"/>
  <c r="Q27" i="4"/>
  <c r="R27" i="3" s="1"/>
  <c r="A29" i="4" l="1"/>
  <c r="A29" i="3" s="1"/>
  <c r="Q28" i="4"/>
  <c r="R28" i="3" s="1"/>
  <c r="A30" i="4" l="1"/>
  <c r="A30" i="3" s="1"/>
  <c r="Q29" i="4"/>
  <c r="R29" i="3" s="1"/>
  <c r="A31" i="4" l="1"/>
  <c r="A31" i="3" s="1"/>
  <c r="Q30" i="4"/>
  <c r="R30" i="3" s="1"/>
  <c r="Q31" i="4" l="1"/>
  <c r="R31" i="3" s="1"/>
  <c r="A32" i="4"/>
  <c r="A32" i="3" s="1"/>
  <c r="A33" i="4" l="1"/>
  <c r="A33" i="3" s="1"/>
  <c r="Q32" i="4"/>
  <c r="R32" i="3" s="1"/>
  <c r="A34" i="4" l="1"/>
  <c r="A34" i="3" s="1"/>
  <c r="Q33" i="4"/>
  <c r="R33" i="3" s="1"/>
  <c r="A35" i="4" l="1"/>
  <c r="A35" i="3" s="1"/>
  <c r="Q34" i="4"/>
  <c r="R34" i="3" s="1"/>
  <c r="Q35" i="4" l="1"/>
  <c r="R35" i="3" s="1"/>
  <c r="A36" i="4"/>
  <c r="A36" i="3" s="1"/>
  <c r="A37" i="4" l="1"/>
  <c r="A37" i="3" s="1"/>
  <c r="Q36" i="4"/>
  <c r="R36" i="3" s="1"/>
  <c r="A38" i="4" l="1"/>
  <c r="A38" i="3" s="1"/>
  <c r="Q37" i="4"/>
  <c r="R37" i="3" s="1"/>
  <c r="A39" i="4" l="1"/>
  <c r="A39" i="3" s="1"/>
  <c r="Q38" i="4"/>
  <c r="R38" i="3" s="1"/>
  <c r="Q39" i="4" l="1"/>
  <c r="R39" i="3" s="1"/>
  <c r="A40" i="4"/>
  <c r="A40" i="3" s="1"/>
  <c r="A41" i="4" l="1"/>
  <c r="A41" i="3" s="1"/>
  <c r="Q40" i="4"/>
  <c r="R40" i="3" s="1"/>
  <c r="A42" i="4" l="1"/>
  <c r="A42" i="3" s="1"/>
  <c r="Q41" i="4"/>
  <c r="R41" i="3" s="1"/>
  <c r="A43" i="4" l="1"/>
  <c r="A43" i="3" s="1"/>
  <c r="Q42" i="4"/>
  <c r="R42" i="3" s="1"/>
  <c r="Q43" i="4" l="1"/>
  <c r="R43" i="3" s="1"/>
  <c r="A44" i="4"/>
  <c r="A44" i="3" s="1"/>
  <c r="A45" i="4" l="1"/>
  <c r="A45" i="3" s="1"/>
  <c r="Q44" i="4"/>
  <c r="R44" i="3" s="1"/>
  <c r="A46" i="4" l="1"/>
  <c r="A46" i="3" s="1"/>
  <c r="Q45" i="4"/>
  <c r="R45" i="3" s="1"/>
  <c r="A47" i="4" l="1"/>
  <c r="A47" i="3" s="1"/>
  <c r="Q46" i="4"/>
  <c r="R46" i="3" s="1"/>
  <c r="Q47" i="4" l="1"/>
  <c r="R47" i="3" s="1"/>
  <c r="A48" i="4"/>
  <c r="A48" i="3" s="1"/>
  <c r="A49" i="4" l="1"/>
  <c r="A49" i="3" s="1"/>
  <c r="Q48" i="4"/>
  <c r="R48" i="3" s="1"/>
  <c r="A50" i="4" l="1"/>
  <c r="A50" i="3" s="1"/>
  <c r="Q49" i="4"/>
  <c r="R49" i="3" s="1"/>
  <c r="A51" i="4" l="1"/>
  <c r="A51" i="3" s="1"/>
  <c r="Q50" i="4"/>
  <c r="R50" i="3" s="1"/>
  <c r="Q51" i="4" l="1"/>
  <c r="R51" i="3" s="1"/>
  <c r="A52" i="4"/>
  <c r="A52" i="3" s="1"/>
  <c r="A53" i="4" l="1"/>
  <c r="A53" i="3" s="1"/>
  <c r="Q52" i="4"/>
  <c r="R52" i="3" s="1"/>
  <c r="A54" i="4" l="1"/>
  <c r="A54" i="3" s="1"/>
  <c r="Q53" i="4"/>
  <c r="R53" i="3" s="1"/>
  <c r="A55" i="4" l="1"/>
  <c r="A55" i="3" s="1"/>
  <c r="Q54" i="4"/>
  <c r="R54" i="3" s="1"/>
  <c r="Q55" i="4" l="1"/>
  <c r="R55" i="3" s="1"/>
  <c r="A56" i="4"/>
  <c r="A56" i="3" s="1"/>
  <c r="A57" i="4" l="1"/>
  <c r="A57" i="3" s="1"/>
  <c r="Q56" i="4"/>
  <c r="R56" i="3" s="1"/>
  <c r="A58" i="4" l="1"/>
  <c r="A58" i="3" s="1"/>
  <c r="Q57" i="4"/>
  <c r="R57" i="3" s="1"/>
  <c r="A59" i="4" l="1"/>
  <c r="A59" i="3" s="1"/>
  <c r="Q58" i="4"/>
  <c r="R58" i="3" s="1"/>
  <c r="A60" i="4" l="1"/>
  <c r="A60" i="3" s="1"/>
  <c r="Q59" i="4"/>
  <c r="R59" i="3" s="1"/>
  <c r="A61" i="4" l="1"/>
  <c r="A61" i="3" s="1"/>
  <c r="Q60" i="4"/>
  <c r="R60" i="3" s="1"/>
  <c r="A62" i="4" l="1"/>
  <c r="A62" i="3" s="1"/>
  <c r="Q61" i="4"/>
  <c r="R61" i="3" s="1"/>
  <c r="A63" i="4" l="1"/>
  <c r="A63" i="3" s="1"/>
  <c r="Q62" i="4"/>
  <c r="R62" i="3" s="1"/>
  <c r="Q63" i="4" l="1"/>
  <c r="R63" i="3" s="1"/>
  <c r="A64" i="4"/>
  <c r="A64" i="3" s="1"/>
  <c r="A65" i="4" l="1"/>
  <c r="A65" i="3" s="1"/>
  <c r="Q64" i="4"/>
  <c r="R64" i="3" s="1"/>
  <c r="A66" i="4" l="1"/>
  <c r="A66" i="3" s="1"/>
  <c r="Q65" i="4"/>
  <c r="R65" i="3" s="1"/>
  <c r="A67" i="4" l="1"/>
  <c r="A67" i="3" s="1"/>
  <c r="Q66" i="4"/>
  <c r="R66" i="3" s="1"/>
  <c r="Q67" i="4" l="1"/>
  <c r="R67" i="3" s="1"/>
  <c r="A68" i="4"/>
  <c r="A68" i="3" s="1"/>
  <c r="A69" i="4" l="1"/>
  <c r="A69" i="3" s="1"/>
  <c r="Q68" i="4"/>
  <c r="R68" i="3" s="1"/>
  <c r="A70" i="4" l="1"/>
  <c r="A70" i="3" s="1"/>
  <c r="Q69" i="4"/>
  <c r="R69" i="3" s="1"/>
  <c r="A71" i="4" l="1"/>
  <c r="A71" i="3" s="1"/>
  <c r="Q70" i="4"/>
  <c r="R70" i="3" s="1"/>
  <c r="Q71" i="4" l="1"/>
  <c r="R71" i="3" s="1"/>
  <c r="A72" i="4"/>
  <c r="A72" i="3" s="1"/>
  <c r="A73" i="4" l="1"/>
  <c r="A73" i="3" s="1"/>
  <c r="Q72" i="4"/>
  <c r="R72" i="3" s="1"/>
  <c r="A74" i="4" l="1"/>
  <c r="A74" i="3" s="1"/>
  <c r="Q73" i="4"/>
  <c r="R73" i="3" s="1"/>
  <c r="A75" i="4" l="1"/>
  <c r="A75" i="3" s="1"/>
  <c r="Q74" i="4"/>
  <c r="R74" i="3" s="1"/>
  <c r="Q75" i="4" l="1"/>
  <c r="R75" i="3" s="1"/>
  <c r="A76" i="4"/>
  <c r="A76" i="3" s="1"/>
  <c r="A77" i="4" l="1"/>
  <c r="A77" i="3" s="1"/>
  <c r="Q76" i="4"/>
  <c r="R76" i="3" s="1"/>
  <c r="Q77" i="4" l="1"/>
  <c r="R77" i="3" s="1"/>
  <c r="A78" i="4"/>
  <c r="A78" i="3" s="1"/>
  <c r="A79" i="4" l="1"/>
  <c r="A79" i="3" s="1"/>
  <c r="Q78" i="4"/>
  <c r="R78" i="3" s="1"/>
  <c r="Q79" i="4" l="1"/>
  <c r="R79" i="3" s="1"/>
  <c r="A80" i="4"/>
  <c r="A80" i="3" s="1"/>
  <c r="Q80" i="4" l="1"/>
  <c r="R80" i="3" s="1"/>
  <c r="A81" i="4"/>
  <c r="A81" i="3" s="1"/>
  <c r="Q81" i="4" l="1"/>
  <c r="R81" i="3" s="1"/>
  <c r="A82" i="4"/>
  <c r="A82" i="3" s="1"/>
  <c r="A83" i="4" l="1"/>
  <c r="A83" i="3" s="1"/>
  <c r="Q82" i="4"/>
  <c r="R82" i="3" s="1"/>
  <c r="Q83" i="4" l="1"/>
  <c r="R83" i="3" s="1"/>
  <c r="A84" i="4"/>
  <c r="A84" i="3" s="1"/>
  <c r="A85" i="4" l="1"/>
  <c r="A85" i="3" s="1"/>
  <c r="Q84" i="4"/>
  <c r="R84" i="3" s="1"/>
  <c r="Q85" i="4" l="1"/>
  <c r="R85" i="3" s="1"/>
  <c r="A86" i="4"/>
  <c r="A86" i="3" s="1"/>
  <c r="Q86" i="4" l="1"/>
  <c r="R86" i="3" s="1"/>
  <c r="A87" i="4"/>
  <c r="A87" i="3" s="1"/>
  <c r="Q87" i="4" l="1"/>
  <c r="R87" i="3" s="1"/>
  <c r="A88" i="4"/>
  <c r="A88" i="3" s="1"/>
  <c r="A89" i="4" l="1"/>
  <c r="A89" i="3" s="1"/>
  <c r="Q88" i="4"/>
  <c r="R88" i="3" s="1"/>
  <c r="Q89" i="4" l="1"/>
  <c r="R89" i="3" s="1"/>
  <c r="A90" i="4"/>
  <c r="A90" i="3" s="1"/>
  <c r="A91" i="4" l="1"/>
  <c r="A91" i="3" s="1"/>
  <c r="Q90" i="4"/>
  <c r="R90" i="3" s="1"/>
  <c r="Q91" i="4" l="1"/>
  <c r="R91" i="3" s="1"/>
  <c r="A92" i="4"/>
  <c r="A92" i="3" s="1"/>
  <c r="A93" i="4" l="1"/>
  <c r="A93" i="3" s="1"/>
  <c r="Q92" i="4"/>
  <c r="R92" i="3" s="1"/>
  <c r="Q93" i="4" l="1"/>
  <c r="R93" i="3" s="1"/>
  <c r="A94" i="4"/>
  <c r="A94" i="3" s="1"/>
  <c r="A95" i="4" l="1"/>
  <c r="A95" i="3" s="1"/>
  <c r="Q94" i="4"/>
  <c r="R94" i="3" s="1"/>
  <c r="Q95" i="4" l="1"/>
  <c r="R95" i="3" s="1"/>
  <c r="A96" i="4"/>
  <c r="A96" i="3" s="1"/>
  <c r="Q96" i="4" l="1"/>
  <c r="R96" i="3" s="1"/>
  <c r="A97" i="4"/>
  <c r="A97" i="3" s="1"/>
  <c r="Q97" i="4" l="1"/>
  <c r="R97" i="3" s="1"/>
  <c r="A98" i="4"/>
  <c r="A98" i="3" s="1"/>
  <c r="A99" i="4" l="1"/>
  <c r="A99" i="3" s="1"/>
  <c r="Q98" i="4"/>
  <c r="R98" i="3" s="1"/>
  <c r="Q99" i="4" l="1"/>
  <c r="R99" i="3" s="1"/>
  <c r="A100" i="4"/>
  <c r="A100" i="3" s="1"/>
  <c r="A101" i="4" l="1"/>
  <c r="A101" i="3" s="1"/>
  <c r="Q100" i="4"/>
  <c r="R100" i="3" s="1"/>
  <c r="Q101" i="4" l="1"/>
  <c r="R101" i="3" s="1"/>
  <c r="A102" i="4"/>
  <c r="A102" i="3" s="1"/>
  <c r="A103" i="4" l="1"/>
  <c r="A103" i="3" s="1"/>
  <c r="Q102" i="4"/>
  <c r="R102" i="3" s="1"/>
  <c r="Q103" i="4" l="1"/>
  <c r="R103" i="3" s="1"/>
  <c r="A104" i="4"/>
  <c r="A104" i="3" s="1"/>
  <c r="A105" i="4" l="1"/>
  <c r="A105" i="3" s="1"/>
  <c r="Q104" i="4"/>
  <c r="R104" i="3" s="1"/>
  <c r="Q105" i="4" l="1"/>
  <c r="R105" i="3" s="1"/>
  <c r="A106" i="4"/>
  <c r="A106" i="3" s="1"/>
  <c r="A107" i="4" l="1"/>
  <c r="A107" i="3" s="1"/>
  <c r="Q106" i="4"/>
  <c r="R106" i="3" s="1"/>
  <c r="Q107" i="4" l="1"/>
  <c r="R107" i="3" s="1"/>
  <c r="A108" i="4"/>
  <c r="A108" i="3" s="1"/>
  <c r="A109" i="4" l="1"/>
  <c r="A109" i="3" s="1"/>
  <c r="Q108" i="4"/>
  <c r="R108" i="3" s="1"/>
  <c r="Q109" i="4" l="1"/>
  <c r="R109" i="3" s="1"/>
  <c r="A110" i="4"/>
  <c r="A110" i="3" s="1"/>
  <c r="A111" i="4" l="1"/>
  <c r="A111" i="3" s="1"/>
  <c r="Q110" i="4"/>
  <c r="R110" i="3" s="1"/>
  <c r="Q111" i="4" l="1"/>
  <c r="R111" i="3" s="1"/>
  <c r="A112" i="4"/>
  <c r="A112" i="3" s="1"/>
  <c r="Q112" i="4" l="1"/>
  <c r="R112" i="3" s="1"/>
  <c r="A113" i="4"/>
  <c r="A113" i="3" s="1"/>
  <c r="Q113" i="4" l="1"/>
  <c r="R113" i="3" s="1"/>
  <c r="A114" i="4"/>
  <c r="A114" i="3" s="1"/>
  <c r="A115" i="4" l="1"/>
  <c r="A115" i="3" s="1"/>
  <c r="Q114" i="4"/>
  <c r="R114" i="3" s="1"/>
  <c r="Q115" i="4" l="1"/>
  <c r="R115" i="3" s="1"/>
  <c r="A116" i="4"/>
  <c r="A116" i="3" s="1"/>
  <c r="A117" i="4" l="1"/>
  <c r="A117" i="3" s="1"/>
  <c r="Q116" i="4"/>
  <c r="R116" i="3" s="1"/>
  <c r="Q117" i="4" l="1"/>
  <c r="R117" i="3" s="1"/>
  <c r="A118" i="4"/>
  <c r="A118" i="3" s="1"/>
  <c r="Q118" i="4" l="1"/>
  <c r="R118" i="3" s="1"/>
  <c r="A119" i="4"/>
  <c r="A119" i="3" s="1"/>
  <c r="Q119" i="4" l="1"/>
  <c r="R119" i="3" s="1"/>
  <c r="A120" i="4"/>
  <c r="A120" i="3" s="1"/>
  <c r="A121" i="4" l="1"/>
  <c r="A121" i="3" s="1"/>
  <c r="Q120" i="4"/>
  <c r="R120" i="3" s="1"/>
  <c r="Q121" i="4" l="1"/>
  <c r="R121" i="3" s="1"/>
  <c r="A122" i="4"/>
  <c r="A122" i="3" s="1"/>
  <c r="A123" i="4" l="1"/>
  <c r="A123" i="3" s="1"/>
  <c r="Q122" i="4"/>
  <c r="R122" i="3" s="1"/>
  <c r="Q123" i="4" l="1"/>
  <c r="R123" i="3" s="1"/>
  <c r="A124" i="4"/>
  <c r="A124" i="3" s="1"/>
  <c r="A125" i="4" l="1"/>
  <c r="A125" i="3" s="1"/>
  <c r="Q124" i="4"/>
  <c r="R124" i="3" s="1"/>
  <c r="Q125" i="4" l="1"/>
  <c r="R125" i="3" s="1"/>
  <c r="A126" i="4"/>
  <c r="A126" i="3" s="1"/>
  <c r="A127" i="4" l="1"/>
  <c r="A127" i="3" s="1"/>
  <c r="Q126" i="4"/>
  <c r="R126" i="3" s="1"/>
  <c r="Q127" i="4" l="1"/>
  <c r="R127" i="3" s="1"/>
  <c r="A128" i="4"/>
  <c r="A128" i="3" s="1"/>
  <c r="Q128" i="4" l="1"/>
  <c r="R128" i="3" s="1"/>
  <c r="A129" i="4"/>
  <c r="A129" i="3" s="1"/>
  <c r="Q129" i="4" l="1"/>
  <c r="R129" i="3" s="1"/>
  <c r="A130" i="4"/>
  <c r="A130" i="3" s="1"/>
  <c r="A131" i="4" l="1"/>
  <c r="A131" i="3" s="1"/>
  <c r="Q130" i="4"/>
  <c r="R130" i="3" s="1"/>
  <c r="Q131" i="4" l="1"/>
  <c r="R131" i="3" s="1"/>
  <c r="A132" i="4"/>
  <c r="A132" i="3" s="1"/>
  <c r="A133" i="4" l="1"/>
  <c r="A133" i="3" s="1"/>
  <c r="Q132" i="4"/>
  <c r="R132" i="3" s="1"/>
  <c r="Q133" i="4" l="1"/>
  <c r="R133" i="3" s="1"/>
  <c r="A134" i="4"/>
  <c r="A134" i="3" s="1"/>
  <c r="Q134" i="4" l="1"/>
  <c r="R134" i="3" s="1"/>
  <c r="A135" i="4"/>
  <c r="A135" i="3" s="1"/>
  <c r="Q135" i="4" l="1"/>
  <c r="R135" i="3" s="1"/>
  <c r="A136" i="4"/>
  <c r="A136" i="3" s="1"/>
  <c r="A137" i="4" l="1"/>
  <c r="A137" i="3" s="1"/>
  <c r="Q136" i="4"/>
  <c r="R136" i="3" s="1"/>
  <c r="Q137" i="4" l="1"/>
  <c r="R137" i="3" s="1"/>
  <c r="A138" i="4"/>
  <c r="A138" i="3" s="1"/>
  <c r="A139" i="4" l="1"/>
  <c r="A139" i="3" s="1"/>
  <c r="Q138" i="4"/>
  <c r="R138" i="3" s="1"/>
  <c r="Q139" i="4" l="1"/>
  <c r="R139" i="3" s="1"/>
  <c r="A140" i="4"/>
  <c r="A140" i="3" s="1"/>
  <c r="Q140" i="4" l="1"/>
  <c r="R140" i="3" s="1"/>
  <c r="A141" i="4"/>
  <c r="A141" i="3" s="1"/>
  <c r="Q141" i="4" l="1"/>
  <c r="R141" i="3" s="1"/>
  <c r="A142" i="4"/>
  <c r="A142" i="3" s="1"/>
  <c r="Q142" i="4" l="1"/>
  <c r="R142" i="3" s="1"/>
  <c r="A143" i="4"/>
  <c r="A143" i="3" s="1"/>
  <c r="Q143" i="4" l="1"/>
  <c r="R143" i="3" s="1"/>
  <c r="A144" i="4"/>
  <c r="A144" i="3" s="1"/>
  <c r="Q144" i="4" l="1"/>
  <c r="R144" i="3" s="1"/>
  <c r="A145" i="4"/>
  <c r="A145" i="3" s="1"/>
  <c r="Q145" i="4" l="1"/>
  <c r="R145" i="3" s="1"/>
  <c r="A146" i="4"/>
  <c r="A146" i="3" s="1"/>
  <c r="Q146" i="4" l="1"/>
  <c r="R146" i="3" s="1"/>
  <c r="A147" i="4"/>
  <c r="A147" i="3" s="1"/>
  <c r="Q147" i="4" l="1"/>
  <c r="R147" i="3" s="1"/>
  <c r="A148" i="4"/>
  <c r="A148" i="3" s="1"/>
  <c r="Q148" i="4" l="1"/>
  <c r="R148" i="3" s="1"/>
  <c r="A149" i="4"/>
  <c r="A149" i="3" s="1"/>
  <c r="Q149" i="4" l="1"/>
  <c r="R149" i="3" s="1"/>
  <c r="A150" i="4"/>
  <c r="A150" i="3" s="1"/>
  <c r="Q150" i="4" l="1"/>
  <c r="R150" i="3" s="1"/>
  <c r="A151" i="4"/>
  <c r="A151" i="3" s="1"/>
  <c r="Q151" i="4" l="1"/>
  <c r="R151" i="3" s="1"/>
  <c r="A152" i="4"/>
  <c r="A152" i="3" s="1"/>
  <c r="Q152" i="4" l="1"/>
  <c r="R152" i="3" s="1"/>
  <c r="A153" i="4"/>
  <c r="A153" i="3" s="1"/>
  <c r="Q153" i="4" l="1"/>
  <c r="R153" i="3" s="1"/>
  <c r="A154" i="4"/>
  <c r="A154" i="3" s="1"/>
  <c r="Q154" i="4" l="1"/>
  <c r="R154" i="3" s="1"/>
  <c r="A155" i="4"/>
  <c r="A155" i="3" s="1"/>
  <c r="Q155" i="4" l="1"/>
  <c r="R155" i="3" s="1"/>
  <c r="A156" i="4"/>
  <c r="A156" i="3" s="1"/>
  <c r="Q156" i="4" l="1"/>
  <c r="R156" i="3" s="1"/>
  <c r="A157" i="4"/>
  <c r="A157" i="3" s="1"/>
  <c r="Q157" i="4" l="1"/>
  <c r="R157" i="3" s="1"/>
  <c r="A158" i="4"/>
  <c r="A158" i="3" s="1"/>
  <c r="Q158" i="4" l="1"/>
  <c r="R158" i="3" s="1"/>
  <c r="A159" i="4"/>
  <c r="A159" i="3" s="1"/>
  <c r="Q159" i="4" l="1"/>
  <c r="R159" i="3" s="1"/>
  <c r="A160" i="4"/>
  <c r="A160" i="3" s="1"/>
  <c r="Q160" i="4" l="1"/>
  <c r="R160" i="3" s="1"/>
  <c r="A161" i="4"/>
  <c r="A161" i="3" s="1"/>
  <c r="Q161" i="4" l="1"/>
  <c r="R161" i="3" s="1"/>
  <c r="A162" i="4"/>
  <c r="A162" i="3" s="1"/>
  <c r="Q162" i="4" l="1"/>
  <c r="R162" i="3" s="1"/>
  <c r="A163" i="4"/>
  <c r="A163" i="3" s="1"/>
  <c r="Q163" i="4" l="1"/>
  <c r="R163" i="3" s="1"/>
  <c r="A164" i="4"/>
  <c r="A164" i="3" s="1"/>
  <c r="Q164" i="4" l="1"/>
  <c r="R164" i="3" s="1"/>
  <c r="A165" i="4"/>
  <c r="A165" i="3" s="1"/>
  <c r="Q165" i="4" l="1"/>
  <c r="R165" i="3" s="1"/>
  <c r="A166" i="4"/>
  <c r="A166" i="3" s="1"/>
  <c r="Q166" i="4" l="1"/>
  <c r="R166" i="3" s="1"/>
  <c r="A167" i="4"/>
  <c r="A167" i="3" s="1"/>
  <c r="Q167" i="4" l="1"/>
  <c r="R167" i="3" s="1"/>
  <c r="A168" i="4"/>
  <c r="A168" i="3" s="1"/>
  <c r="Q168" i="4" l="1"/>
  <c r="R168" i="3" s="1"/>
  <c r="A169" i="4"/>
  <c r="A169" i="3" s="1"/>
  <c r="Q169" i="4" l="1"/>
  <c r="R169" i="3" s="1"/>
  <c r="A170" i="4"/>
  <c r="A170" i="3" s="1"/>
  <c r="Q170" i="4" l="1"/>
  <c r="R170" i="3" s="1"/>
  <c r="A171" i="4"/>
  <c r="A171" i="3" s="1"/>
  <c r="Q171" i="4" l="1"/>
  <c r="R171" i="3" s="1"/>
  <c r="A172" i="4"/>
  <c r="A172" i="3" s="1"/>
  <c r="Q172" i="4" l="1"/>
  <c r="R172" i="3" s="1"/>
  <c r="A173" i="4"/>
  <c r="A173" i="3" s="1"/>
  <c r="Q173" i="4" l="1"/>
  <c r="R173" i="3" s="1"/>
  <c r="A174" i="4"/>
  <c r="A174" i="3" s="1"/>
  <c r="Q174" i="4" l="1"/>
  <c r="R174" i="3" s="1"/>
  <c r="A175" i="4"/>
  <c r="A175" i="3" s="1"/>
  <c r="Q175" i="4" l="1"/>
  <c r="R175" i="3" s="1"/>
  <c r="A176" i="4"/>
  <c r="A176" i="3" s="1"/>
  <c r="Q176" i="4" l="1"/>
  <c r="R176" i="3" s="1"/>
  <c r="A177" i="4"/>
  <c r="A177" i="3" s="1"/>
  <c r="Q177" i="4" l="1"/>
  <c r="R177" i="3" s="1"/>
  <c r="A178" i="4"/>
  <c r="A178" i="3" s="1"/>
  <c r="Q178" i="4" l="1"/>
  <c r="R178" i="3" s="1"/>
  <c r="A179" i="4"/>
  <c r="A179" i="3" s="1"/>
  <c r="Q179" i="4" l="1"/>
  <c r="R179" i="3" s="1"/>
  <c r="A180" i="4"/>
  <c r="A180" i="3" s="1"/>
  <c r="Q180" i="4" l="1"/>
  <c r="R180" i="3" s="1"/>
  <c r="A181" i="4"/>
  <c r="A181" i="3" s="1"/>
  <c r="Q181" i="4" l="1"/>
  <c r="R181" i="3" s="1"/>
  <c r="A182" i="4"/>
  <c r="A182" i="3" s="1"/>
  <c r="Q182" i="4" l="1"/>
  <c r="R182" i="3" s="1"/>
  <c r="A183" i="4"/>
  <c r="A183" i="3" s="1"/>
  <c r="Q183" i="4" l="1"/>
  <c r="R183" i="3" s="1"/>
  <c r="A184" i="4"/>
  <c r="A184" i="3" s="1"/>
  <c r="Q184" i="4" l="1"/>
  <c r="R184" i="3" s="1"/>
  <c r="A185" i="4"/>
  <c r="A185" i="3" s="1"/>
  <c r="Q185" i="4" l="1"/>
  <c r="R185" i="3" s="1"/>
  <c r="A186" i="4"/>
  <c r="A186" i="3" s="1"/>
  <c r="Q186" i="4" l="1"/>
  <c r="R186" i="3" s="1"/>
  <c r="A187" i="4"/>
  <c r="A187" i="3" s="1"/>
  <c r="Q187" i="4" l="1"/>
  <c r="R187" i="3" s="1"/>
  <c r="A188" i="4"/>
  <c r="A188" i="3" s="1"/>
  <c r="Q188" i="4" l="1"/>
  <c r="R188" i="3" s="1"/>
  <c r="A189" i="4"/>
  <c r="A189" i="3" s="1"/>
  <c r="Q189" i="4" l="1"/>
  <c r="R189" i="3" s="1"/>
  <c r="A190" i="4"/>
  <c r="A190" i="3" s="1"/>
  <c r="Q190" i="4" l="1"/>
  <c r="R190" i="3" s="1"/>
  <c r="A191" i="4"/>
  <c r="A191" i="3" s="1"/>
  <c r="Q191" i="4" l="1"/>
  <c r="R191" i="3" s="1"/>
  <c r="A192" i="4"/>
  <c r="A192" i="3" s="1"/>
  <c r="A193" i="4" l="1"/>
  <c r="A193" i="3" s="1"/>
  <c r="Q192" i="4"/>
  <c r="R192" i="3" s="1"/>
  <c r="Q193" i="4" l="1"/>
  <c r="R193" i="3" s="1"/>
  <c r="A194" i="4"/>
  <c r="A194" i="3" s="1"/>
  <c r="Q194" i="4" l="1"/>
  <c r="R194" i="3" s="1"/>
  <c r="A195" i="4"/>
  <c r="A195" i="3" s="1"/>
  <c r="Q195" i="4" l="1"/>
  <c r="R195" i="3" s="1"/>
  <c r="A196" i="4"/>
  <c r="A196" i="3" s="1"/>
  <c r="A197" i="4" l="1"/>
  <c r="A197" i="3" s="1"/>
  <c r="Q196" i="4"/>
  <c r="R196" i="3" s="1"/>
  <c r="Q197" i="4" l="1"/>
  <c r="R197" i="3" s="1"/>
  <c r="A198" i="4"/>
  <c r="A198" i="3" s="1"/>
  <c r="Q198" i="4" l="1"/>
  <c r="R198" i="3" s="1"/>
  <c r="A199" i="4"/>
  <c r="A199" i="3" s="1"/>
  <c r="Q199" i="4" l="1"/>
  <c r="R199" i="3" s="1"/>
  <c r="A200" i="4"/>
  <c r="A200" i="3" s="1"/>
  <c r="A201" i="4" l="1"/>
  <c r="A201" i="3" s="1"/>
  <c r="Q200" i="4"/>
  <c r="R200" i="3" s="1"/>
  <c r="A202" i="4" l="1"/>
  <c r="A202" i="3" s="1"/>
  <c r="Q201" i="4"/>
  <c r="R201" i="3" s="1"/>
  <c r="A203" i="4" l="1"/>
  <c r="A203" i="3" s="1"/>
  <c r="Q202" i="4"/>
  <c r="R202" i="3" s="1"/>
  <c r="Q203" i="4" l="1"/>
  <c r="R203" i="3" s="1"/>
  <c r="A204" i="4"/>
  <c r="A204" i="3" s="1"/>
  <c r="A205" i="4" l="1"/>
  <c r="A205" i="3" s="1"/>
  <c r="Q204" i="4"/>
  <c r="R204" i="3" s="1"/>
  <c r="A206" i="4" l="1"/>
  <c r="A206" i="3" s="1"/>
  <c r="Q205" i="4"/>
  <c r="R205" i="3" s="1"/>
  <c r="A207" i="4" l="1"/>
  <c r="A207" i="3" s="1"/>
  <c r="Q206" i="4"/>
  <c r="R206" i="3" s="1"/>
  <c r="Q207" i="4" l="1"/>
  <c r="R207" i="3" s="1"/>
  <c r="A208" i="4"/>
  <c r="A208" i="3" s="1"/>
  <c r="A209" i="4" l="1"/>
  <c r="A209" i="3" s="1"/>
  <c r="Q208" i="4"/>
  <c r="R208" i="3" s="1"/>
  <c r="A210" i="4" l="1"/>
  <c r="A210" i="3" s="1"/>
  <c r="Q209" i="4"/>
  <c r="R209" i="3" s="1"/>
  <c r="A211" i="4" l="1"/>
  <c r="A211" i="3" s="1"/>
  <c r="Q210" i="4"/>
  <c r="R210" i="3" s="1"/>
  <c r="Q211" i="4" l="1"/>
  <c r="R211" i="3" s="1"/>
  <c r="A212" i="4"/>
  <c r="A212" i="3" s="1"/>
  <c r="A213" i="4" l="1"/>
  <c r="A213" i="3" s="1"/>
  <c r="Q212" i="4"/>
  <c r="R212" i="3" s="1"/>
  <c r="A214" i="4" l="1"/>
  <c r="A214" i="3" s="1"/>
  <c r="Q213" i="4"/>
  <c r="R213" i="3" s="1"/>
  <c r="A215" i="4" l="1"/>
  <c r="A215" i="3" s="1"/>
  <c r="Q214" i="4"/>
  <c r="R214" i="3" s="1"/>
  <c r="Q215" i="4" l="1"/>
  <c r="R215" i="3" s="1"/>
  <c r="A216" i="4"/>
  <c r="A216" i="3" s="1"/>
  <c r="A217" i="4" l="1"/>
  <c r="A217" i="3" s="1"/>
  <c r="Q216" i="4"/>
  <c r="R216" i="3" s="1"/>
  <c r="A218" i="4" l="1"/>
  <c r="A218" i="3" s="1"/>
  <c r="Q217" i="4"/>
  <c r="R217" i="3" s="1"/>
  <c r="A219" i="4" l="1"/>
  <c r="A219" i="3" s="1"/>
  <c r="Q218" i="4"/>
  <c r="R218" i="3" s="1"/>
  <c r="Q219" i="4" l="1"/>
  <c r="R219" i="3" s="1"/>
  <c r="A220" i="4"/>
  <c r="A220" i="3" s="1"/>
  <c r="A221" i="4" l="1"/>
  <c r="A221" i="3" s="1"/>
  <c r="Q220" i="4"/>
  <c r="R220" i="3" s="1"/>
  <c r="A222" i="4" l="1"/>
  <c r="A222" i="3" s="1"/>
  <c r="Q221" i="4"/>
  <c r="R221" i="3" s="1"/>
  <c r="A223" i="4" l="1"/>
  <c r="A223" i="3" s="1"/>
  <c r="Q222" i="4"/>
  <c r="R222" i="3" s="1"/>
  <c r="Q223" i="4" l="1"/>
  <c r="R223" i="3" s="1"/>
  <c r="A224" i="4"/>
  <c r="A224" i="3" s="1"/>
  <c r="A225" i="4" l="1"/>
  <c r="A225" i="3" s="1"/>
  <c r="Q224" i="4"/>
  <c r="R224" i="3" s="1"/>
  <c r="A226" i="4" l="1"/>
  <c r="A226" i="3" s="1"/>
  <c r="Q225" i="4"/>
  <c r="R225" i="3" s="1"/>
  <c r="A227" i="4" l="1"/>
  <c r="A227" i="3" s="1"/>
  <c r="Q226" i="4"/>
  <c r="R226" i="3" s="1"/>
  <c r="Q227" i="4" l="1"/>
  <c r="R227" i="3" s="1"/>
  <c r="A228" i="4"/>
  <c r="A228" i="3" s="1"/>
  <c r="A229" i="4" l="1"/>
  <c r="A229" i="3" s="1"/>
  <c r="Q228" i="4"/>
  <c r="R228" i="3" s="1"/>
  <c r="A230" i="4" l="1"/>
  <c r="A230" i="3" s="1"/>
  <c r="Q229" i="4"/>
  <c r="R229" i="3" s="1"/>
  <c r="A231" i="4" l="1"/>
  <c r="A231" i="3" s="1"/>
  <c r="Q230" i="4"/>
  <c r="R230" i="3" s="1"/>
  <c r="Q231" i="4" l="1"/>
  <c r="R231" i="3" s="1"/>
  <c r="A232" i="4"/>
  <c r="A232" i="3" s="1"/>
  <c r="A233" i="4" l="1"/>
  <c r="A233" i="3" s="1"/>
  <c r="Q232" i="4"/>
  <c r="R232" i="3" s="1"/>
  <c r="A234" i="4" l="1"/>
  <c r="A234" i="3" s="1"/>
  <c r="Q233" i="4"/>
  <c r="R233" i="3" s="1"/>
  <c r="A235" i="4" l="1"/>
  <c r="A235" i="3" s="1"/>
  <c r="Q234" i="4"/>
  <c r="R234" i="3" s="1"/>
  <c r="Q235" i="4" l="1"/>
  <c r="R235" i="3" s="1"/>
  <c r="A236" i="4"/>
  <c r="A236" i="3" s="1"/>
  <c r="A237" i="4" l="1"/>
  <c r="A237" i="3" s="1"/>
  <c r="Q236" i="4"/>
  <c r="R236" i="3" s="1"/>
  <c r="A238" i="4" l="1"/>
  <c r="A238" i="3" s="1"/>
  <c r="Q237" i="4"/>
  <c r="R237" i="3" s="1"/>
  <c r="A239" i="4" l="1"/>
  <c r="A239" i="3" s="1"/>
  <c r="Q238" i="4"/>
  <c r="R238" i="3" s="1"/>
  <c r="Q239" i="4" l="1"/>
  <c r="R239" i="3" s="1"/>
  <c r="A240" i="4"/>
  <c r="A240" i="3" s="1"/>
  <c r="A241" i="4" l="1"/>
  <c r="A241" i="3" s="1"/>
  <c r="Q240" i="4"/>
  <c r="R240" i="3" s="1"/>
  <c r="A242" i="4" l="1"/>
  <c r="A242" i="3" s="1"/>
  <c r="Q241" i="4"/>
  <c r="R241" i="3" s="1"/>
  <c r="A243" i="4" l="1"/>
  <c r="A243" i="3" s="1"/>
  <c r="Q242" i="4"/>
  <c r="R242" i="3" s="1"/>
  <c r="Q243" i="4" l="1"/>
  <c r="R243" i="3" s="1"/>
  <c r="A244" i="4"/>
  <c r="A244" i="3" s="1"/>
  <c r="A245" i="4" l="1"/>
  <c r="A245" i="3" s="1"/>
  <c r="Q244" i="4"/>
  <c r="R244" i="3" s="1"/>
  <c r="A246" i="4" l="1"/>
  <c r="A246" i="3" s="1"/>
  <c r="Q245" i="4"/>
  <c r="R245" i="3" s="1"/>
  <c r="A247" i="4" l="1"/>
  <c r="A247" i="3" s="1"/>
  <c r="Q246" i="4"/>
  <c r="R246" i="3" s="1"/>
  <c r="Q247" i="4" l="1"/>
  <c r="R247" i="3" s="1"/>
  <c r="A248" i="4"/>
  <c r="A248" i="3" s="1"/>
  <c r="A249" i="4" l="1"/>
  <c r="A249" i="3" s="1"/>
  <c r="Q248" i="4"/>
  <c r="R248" i="3" s="1"/>
  <c r="A250" i="4" l="1"/>
  <c r="A250" i="3" s="1"/>
  <c r="Q249" i="4"/>
  <c r="R249" i="3" s="1"/>
  <c r="A251" i="4" l="1"/>
  <c r="A251" i="3" s="1"/>
  <c r="Q250" i="4"/>
  <c r="R250" i="3" s="1"/>
  <c r="Q251" i="4" l="1"/>
  <c r="R251" i="3" s="1"/>
  <c r="A252" i="4"/>
  <c r="A252" i="3" s="1"/>
  <c r="A253" i="4" l="1"/>
  <c r="A253" i="3" s="1"/>
  <c r="Q252" i="4"/>
  <c r="R252" i="3" s="1"/>
  <c r="A254" i="4" l="1"/>
  <c r="A254" i="3" s="1"/>
  <c r="Q253" i="4"/>
  <c r="R253" i="3" s="1"/>
  <c r="A255" i="4" l="1"/>
  <c r="A255" i="3" s="1"/>
  <c r="Q254" i="4"/>
  <c r="R254" i="3" s="1"/>
  <c r="Q255" i="4" l="1"/>
  <c r="R255" i="3" s="1"/>
  <c r="A256" i="4"/>
  <c r="A256" i="3" s="1"/>
  <c r="A257" i="4" l="1"/>
  <c r="A257" i="3" s="1"/>
  <c r="Q256" i="4"/>
  <c r="R256" i="3" s="1"/>
  <c r="A258" i="4" l="1"/>
  <c r="A258" i="3" s="1"/>
  <c r="Q257" i="4"/>
  <c r="R257" i="3" s="1"/>
  <c r="A259" i="4" l="1"/>
  <c r="A259" i="3" s="1"/>
  <c r="Q258" i="4"/>
  <c r="R258" i="3" s="1"/>
  <c r="Q259" i="4" l="1"/>
  <c r="R259" i="3" s="1"/>
  <c r="A260" i="4"/>
  <c r="A260" i="3" s="1"/>
  <c r="A261" i="4" l="1"/>
  <c r="A261" i="3" s="1"/>
  <c r="Q260" i="4"/>
  <c r="R260" i="3" s="1"/>
  <c r="A262" i="4" l="1"/>
  <c r="A262" i="3" s="1"/>
  <c r="Q261" i="4"/>
  <c r="R261" i="3" s="1"/>
  <c r="A263" i="4" l="1"/>
  <c r="A263" i="3" s="1"/>
  <c r="Q262" i="4"/>
  <c r="R262" i="3" s="1"/>
  <c r="Q263" i="4" l="1"/>
  <c r="R263" i="3" s="1"/>
  <c r="A264" i="4"/>
  <c r="A264" i="3" s="1"/>
  <c r="A265" i="4" l="1"/>
  <c r="A265" i="3" s="1"/>
  <c r="Q264" i="4"/>
  <c r="R264" i="3" s="1"/>
  <c r="A266" i="4" l="1"/>
  <c r="A266" i="3" s="1"/>
  <c r="Q265" i="4"/>
  <c r="R265" i="3" s="1"/>
  <c r="A267" i="4" l="1"/>
  <c r="A267" i="3" s="1"/>
  <c r="Q266" i="4"/>
  <c r="R266" i="3" s="1"/>
  <c r="Q267" i="4" l="1"/>
  <c r="R267" i="3" s="1"/>
  <c r="A268" i="4"/>
  <c r="A268" i="3" s="1"/>
  <c r="A269" i="4" l="1"/>
  <c r="A269" i="3" s="1"/>
  <c r="Q268" i="4"/>
  <c r="R268" i="3" s="1"/>
  <c r="A270" i="4" l="1"/>
  <c r="A270" i="3" s="1"/>
  <c r="Q269" i="4"/>
  <c r="R269" i="3" s="1"/>
  <c r="A271" i="4" l="1"/>
  <c r="A271" i="3" s="1"/>
  <c r="Q270" i="4"/>
  <c r="R270" i="3" s="1"/>
  <c r="Q271" i="4" l="1"/>
  <c r="R271" i="3" s="1"/>
  <c r="A272" i="4"/>
  <c r="A272" i="3" s="1"/>
  <c r="A273" i="4" l="1"/>
  <c r="A273" i="3" s="1"/>
  <c r="Q272" i="4"/>
  <c r="R272" i="3" s="1"/>
  <c r="A274" i="4" l="1"/>
  <c r="A274" i="3" s="1"/>
  <c r="Q273" i="4"/>
  <c r="R273" i="3" s="1"/>
  <c r="A275" i="4" l="1"/>
  <c r="A275" i="3" s="1"/>
  <c r="Q274" i="4"/>
  <c r="R274" i="3" s="1"/>
  <c r="Q275" i="4" l="1"/>
  <c r="R275" i="3" s="1"/>
  <c r="A276" i="4"/>
  <c r="A276" i="3" s="1"/>
  <c r="A277" i="4" l="1"/>
  <c r="A277" i="3" s="1"/>
  <c r="Q276" i="4"/>
  <c r="R276" i="3" s="1"/>
  <c r="A278" i="4" l="1"/>
  <c r="A278" i="3" s="1"/>
  <c r="Q277" i="4"/>
  <c r="R277" i="3" s="1"/>
  <c r="A279" i="4" l="1"/>
  <c r="A279" i="3" s="1"/>
  <c r="Q278" i="4"/>
  <c r="R278" i="3" s="1"/>
  <c r="Q279" i="4" l="1"/>
  <c r="R279" i="3" s="1"/>
  <c r="A280" i="4"/>
  <c r="A280" i="3" s="1"/>
  <c r="A281" i="4" l="1"/>
  <c r="A281" i="3" s="1"/>
  <c r="Q280" i="4"/>
  <c r="R280" i="3" s="1"/>
  <c r="A282" i="4" l="1"/>
  <c r="A282" i="3" s="1"/>
  <c r="Q281" i="4"/>
  <c r="R281" i="3" s="1"/>
  <c r="A283" i="4" l="1"/>
  <c r="A283" i="3" s="1"/>
  <c r="Q282" i="4"/>
  <c r="R282" i="3" s="1"/>
  <c r="Q283" i="4" l="1"/>
  <c r="R283" i="3" s="1"/>
  <c r="A284" i="4"/>
  <c r="A284" i="3" s="1"/>
  <c r="A285" i="4" l="1"/>
  <c r="A285" i="3" s="1"/>
  <c r="Q284" i="4"/>
  <c r="R284" i="3" s="1"/>
  <c r="A286" i="4" l="1"/>
  <c r="A286" i="3" s="1"/>
  <c r="Q285" i="4"/>
  <c r="R285" i="3" s="1"/>
  <c r="A287" i="4" l="1"/>
  <c r="A287" i="3" s="1"/>
  <c r="Q286" i="4"/>
  <c r="R286" i="3" s="1"/>
  <c r="Q287" i="4" l="1"/>
  <c r="R287" i="3" s="1"/>
  <c r="A288" i="4"/>
  <c r="A288" i="3" s="1"/>
  <c r="A289" i="4" l="1"/>
  <c r="A289" i="3" s="1"/>
  <c r="Q288" i="4"/>
  <c r="R288" i="3" s="1"/>
  <c r="A290" i="4" l="1"/>
  <c r="A290" i="3" s="1"/>
  <c r="Q289" i="4"/>
  <c r="R289" i="3" s="1"/>
  <c r="A291" i="4" l="1"/>
  <c r="A291" i="3" s="1"/>
  <c r="Q290" i="4"/>
  <c r="R290" i="3" s="1"/>
  <c r="Q291" i="4" l="1"/>
  <c r="R291" i="3" s="1"/>
  <c r="A292" i="4"/>
  <c r="A292" i="3" s="1"/>
  <c r="A293" i="4" l="1"/>
  <c r="A293" i="3" s="1"/>
  <c r="Q292" i="4"/>
  <c r="R292" i="3" s="1"/>
  <c r="A294" i="4" l="1"/>
  <c r="A294" i="3" s="1"/>
  <c r="Q293" i="4"/>
  <c r="R293" i="3" s="1"/>
  <c r="A295" i="4" l="1"/>
  <c r="A295" i="3" s="1"/>
  <c r="Q294" i="4"/>
  <c r="R294" i="3" s="1"/>
  <c r="Q295" i="4" l="1"/>
  <c r="R295" i="3" s="1"/>
  <c r="A296" i="4"/>
  <c r="A296" i="3" s="1"/>
  <c r="A297" i="4" l="1"/>
  <c r="A297" i="3" s="1"/>
  <c r="Q296" i="4"/>
  <c r="R296" i="3" s="1"/>
  <c r="A298" i="4" l="1"/>
  <c r="A298" i="3" s="1"/>
  <c r="Q297" i="4"/>
  <c r="R297" i="3" s="1"/>
  <c r="A299" i="4" l="1"/>
  <c r="A299" i="3" s="1"/>
  <c r="Q298" i="4"/>
  <c r="R298" i="3" s="1"/>
  <c r="Q299" i="4" l="1"/>
  <c r="R299" i="3" s="1"/>
  <c r="A300" i="4"/>
  <c r="A300" i="3" s="1"/>
  <c r="A301" i="4" l="1"/>
  <c r="A301" i="3" s="1"/>
  <c r="Q300" i="4"/>
  <c r="R300" i="3" s="1"/>
  <c r="A302" i="4" l="1"/>
  <c r="A302" i="3" s="1"/>
  <c r="Q301" i="4"/>
  <c r="R301" i="3" s="1"/>
  <c r="A303" i="4" l="1"/>
  <c r="A303" i="3" s="1"/>
  <c r="Q302" i="4"/>
  <c r="R302" i="3" s="1"/>
  <c r="Q303" i="4" l="1"/>
  <c r="R303" i="3" s="1"/>
  <c r="A304" i="4"/>
  <c r="A304" i="3" s="1"/>
  <c r="A305" i="4" l="1"/>
  <c r="A305" i="3" s="1"/>
  <c r="Q304" i="4"/>
  <c r="R304" i="3" s="1"/>
  <c r="A306" i="4" l="1"/>
  <c r="A306" i="3" s="1"/>
  <c r="Q305" i="4"/>
  <c r="R305" i="3" s="1"/>
  <c r="A307" i="4" l="1"/>
  <c r="A307" i="3" s="1"/>
  <c r="Q306" i="4"/>
  <c r="R306" i="3" s="1"/>
  <c r="Q307" i="4" l="1"/>
  <c r="R307" i="3" s="1"/>
  <c r="A308" i="4"/>
  <c r="A308" i="3" s="1"/>
  <c r="A309" i="4" l="1"/>
  <c r="A309" i="3" s="1"/>
  <c r="Q308" i="4"/>
  <c r="R308" i="3" s="1"/>
  <c r="A310" i="4" l="1"/>
  <c r="A310" i="3" s="1"/>
  <c r="Q309" i="4"/>
  <c r="R309" i="3" s="1"/>
  <c r="A311" i="4" l="1"/>
  <c r="A311" i="3" s="1"/>
  <c r="Q310" i="4"/>
  <c r="R310" i="3" s="1"/>
  <c r="Q311" i="4" l="1"/>
  <c r="R311" i="3" s="1"/>
  <c r="A312" i="4"/>
  <c r="A312" i="3" s="1"/>
  <c r="A313" i="4" l="1"/>
  <c r="A313" i="3" s="1"/>
  <c r="Q312" i="4"/>
  <c r="R312" i="3" s="1"/>
  <c r="A314" i="4" l="1"/>
  <c r="A314" i="3" s="1"/>
  <c r="Q313" i="4"/>
  <c r="R313" i="3" s="1"/>
  <c r="A315" i="4" l="1"/>
  <c r="A315" i="3" s="1"/>
  <c r="Q314" i="4"/>
  <c r="R314" i="3" s="1"/>
  <c r="Q315" i="4" l="1"/>
  <c r="R315" i="3" s="1"/>
  <c r="A316" i="4"/>
  <c r="A316" i="3" s="1"/>
  <c r="A317" i="4" l="1"/>
  <c r="A317" i="3" s="1"/>
  <c r="Q316" i="4"/>
  <c r="R316" i="3" s="1"/>
  <c r="A318" i="4" l="1"/>
  <c r="A318" i="3" s="1"/>
  <c r="Q317" i="4"/>
  <c r="R317" i="3" s="1"/>
  <c r="A319" i="4" l="1"/>
  <c r="A319" i="3" s="1"/>
  <c r="Q318" i="4"/>
  <c r="R318" i="3" s="1"/>
  <c r="Q319" i="4" l="1"/>
  <c r="R319" i="3" s="1"/>
  <c r="A320" i="4"/>
  <c r="A320" i="3" s="1"/>
  <c r="A321" i="4" l="1"/>
  <c r="A321" i="3" s="1"/>
  <c r="Q320" i="4"/>
  <c r="R320" i="3" s="1"/>
  <c r="A322" i="4" l="1"/>
  <c r="A322" i="3" s="1"/>
  <c r="Q321" i="4"/>
  <c r="R321" i="3" s="1"/>
  <c r="A323" i="4" l="1"/>
  <c r="A323" i="3" s="1"/>
  <c r="Q322" i="4"/>
  <c r="R322" i="3" s="1"/>
  <c r="Q323" i="4" l="1"/>
  <c r="R323" i="3" s="1"/>
  <c r="A324" i="4"/>
  <c r="A324" i="3" s="1"/>
  <c r="A325" i="4" l="1"/>
  <c r="A325" i="3" s="1"/>
  <c r="Q324" i="4"/>
  <c r="R324" i="3" s="1"/>
  <c r="A326" i="4" l="1"/>
  <c r="A326" i="3" s="1"/>
  <c r="Q325" i="4"/>
  <c r="R325" i="3" s="1"/>
  <c r="A327" i="4" l="1"/>
  <c r="A327" i="3" s="1"/>
  <c r="Q326" i="4"/>
  <c r="R326" i="3" s="1"/>
  <c r="Q327" i="4" l="1"/>
  <c r="R327" i="3" s="1"/>
  <c r="A328" i="4"/>
  <c r="A328" i="3" s="1"/>
  <c r="Q328" i="4" l="1"/>
  <c r="R328" i="3" s="1"/>
  <c r="A329" i="4"/>
  <c r="A329" i="3" s="1"/>
  <c r="Q329" i="4" l="1"/>
  <c r="R329" i="3" s="1"/>
  <c r="A330" i="4"/>
  <c r="A330" i="3" s="1"/>
  <c r="A331" i="4" l="1"/>
  <c r="A331" i="3" s="1"/>
  <c r="Q330" i="4"/>
  <c r="R330" i="3" s="1"/>
  <c r="A332" i="4" l="1"/>
  <c r="A332" i="3" s="1"/>
  <c r="Q331" i="4"/>
  <c r="R331" i="3" s="1"/>
  <c r="Q332" i="4" l="1"/>
  <c r="R332" i="3" s="1"/>
  <c r="A333" i="4"/>
  <c r="A333" i="3" s="1"/>
  <c r="Q333" i="4" l="1"/>
  <c r="R333" i="3" s="1"/>
  <c r="A334" i="4"/>
  <c r="A334" i="3" s="1"/>
  <c r="A335" i="4" l="1"/>
  <c r="A335" i="3" s="1"/>
  <c r="Q334" i="4"/>
  <c r="R334" i="3" s="1"/>
  <c r="A336" i="4" l="1"/>
  <c r="A336" i="3" s="1"/>
  <c r="Q335" i="4"/>
  <c r="R335" i="3" s="1"/>
  <c r="Q336" i="4" l="1"/>
  <c r="R336" i="3" s="1"/>
  <c r="A337" i="4"/>
  <c r="A337" i="3" s="1"/>
  <c r="Q337" i="4" l="1"/>
  <c r="R337" i="3" s="1"/>
  <c r="A338" i="4"/>
  <c r="A338" i="3" s="1"/>
  <c r="Q338" i="4" l="1"/>
  <c r="R338" i="3" s="1"/>
  <c r="A339" i="4"/>
  <c r="A339" i="3" s="1"/>
  <c r="A340" i="4" l="1"/>
  <c r="A340" i="3" s="1"/>
  <c r="Q339" i="4"/>
  <c r="R339" i="3" s="1"/>
  <c r="Q340" i="4" l="1"/>
  <c r="R340" i="3" s="1"/>
  <c r="A341" i="4"/>
  <c r="A341" i="3" s="1"/>
  <c r="Q341" i="4" l="1"/>
  <c r="R341" i="3" s="1"/>
  <c r="A342" i="4"/>
  <c r="A342" i="3" s="1"/>
  <c r="A343" i="4" l="1"/>
  <c r="A343" i="3" s="1"/>
  <c r="Q342" i="4"/>
  <c r="R342" i="3" s="1"/>
  <c r="Q343" i="4" l="1"/>
  <c r="R343" i="3" s="1"/>
  <c r="A344" i="4"/>
  <c r="A344" i="3" s="1"/>
  <c r="Q344" i="4" l="1"/>
  <c r="R344" i="3" s="1"/>
  <c r="A345" i="4"/>
  <c r="A345" i="3" s="1"/>
  <c r="Q345" i="4" l="1"/>
  <c r="R345" i="3" s="1"/>
  <c r="A346" i="4"/>
  <c r="A346" i="3" s="1"/>
  <c r="A347" i="4" l="1"/>
  <c r="A347" i="3" s="1"/>
  <c r="Q346" i="4"/>
  <c r="R346" i="3" s="1"/>
  <c r="A348" i="4" l="1"/>
  <c r="A348" i="3" s="1"/>
  <c r="Q347" i="4"/>
  <c r="R347" i="3" s="1"/>
  <c r="Q348" i="4" l="1"/>
  <c r="R348" i="3" s="1"/>
  <c r="A349" i="4"/>
  <c r="A349" i="3" s="1"/>
  <c r="Q349" i="4" l="1"/>
  <c r="R349" i="3" s="1"/>
  <c r="A350" i="4"/>
  <c r="A350" i="3" s="1"/>
  <c r="Q350" i="4" l="1"/>
  <c r="R350" i="3" s="1"/>
  <c r="A351" i="4"/>
  <c r="A351" i="3" s="1"/>
  <c r="Q351" i="4" l="1"/>
  <c r="R351" i="3" s="1"/>
  <c r="A352" i="4"/>
  <c r="A352" i="3" s="1"/>
  <c r="Q352" i="4" l="1"/>
  <c r="R352" i="3" s="1"/>
  <c r="A353" i="4"/>
  <c r="A353" i="3" s="1"/>
  <c r="Q353" i="4" l="1"/>
  <c r="R353" i="3" s="1"/>
  <c r="A354" i="4"/>
  <c r="A354" i="3" s="1"/>
  <c r="Q354" i="4" l="1"/>
  <c r="R354" i="3" s="1"/>
  <c r="A355" i="4"/>
  <c r="A355" i="3" s="1"/>
  <c r="Q355" i="4" l="1"/>
  <c r="R355" i="3" s="1"/>
  <c r="A356" i="4"/>
  <c r="A356" i="3" s="1"/>
  <c r="Q356" i="4" l="1"/>
  <c r="R356" i="3" s="1"/>
  <c r="A357" i="4"/>
  <c r="A357" i="3" s="1"/>
  <c r="Q357" i="4" l="1"/>
  <c r="R357" i="3" s="1"/>
  <c r="A358" i="4"/>
  <c r="A358" i="3" s="1"/>
  <c r="Q358" i="4" l="1"/>
  <c r="R358" i="3" s="1"/>
  <c r="A359" i="4"/>
  <c r="A359" i="3" s="1"/>
  <c r="Q359" i="4" l="1"/>
  <c r="R359" i="3" s="1"/>
  <c r="A360" i="4"/>
  <c r="A360" i="3" s="1"/>
  <c r="Q360" i="4" l="1"/>
  <c r="R360" i="3" s="1"/>
  <c r="A361" i="4"/>
  <c r="A361" i="3" s="1"/>
  <c r="Q361" i="4" l="1"/>
  <c r="R361" i="3" s="1"/>
  <c r="A362" i="4"/>
  <c r="A362" i="3" s="1"/>
  <c r="Q362" i="4" l="1"/>
  <c r="R362" i="3" s="1"/>
  <c r="A363" i="4"/>
  <c r="A363" i="3" s="1"/>
  <c r="Q363" i="4" l="1"/>
  <c r="R363" i="3" s="1"/>
  <c r="A364" i="4"/>
  <c r="A364" i="3" s="1"/>
  <c r="Q364" i="4" l="1"/>
  <c r="R364" i="3" s="1"/>
  <c r="A365" i="4"/>
  <c r="A365" i="3" s="1"/>
  <c r="Q365" i="4" l="1"/>
  <c r="R365" i="3" s="1"/>
  <c r="A366" i="4"/>
  <c r="A366" i="3" s="1"/>
  <c r="Q366" i="4" l="1"/>
  <c r="R366" i="3" s="1"/>
  <c r="A367" i="4"/>
  <c r="A367" i="3" s="1"/>
  <c r="Q367" i="4" l="1"/>
  <c r="R367" i="3" s="1"/>
  <c r="A368" i="4"/>
  <c r="A368" i="3" s="1"/>
  <c r="Q368" i="4" l="1"/>
  <c r="R368" i="3" s="1"/>
  <c r="A369" i="4"/>
  <c r="A369" i="3" s="1"/>
  <c r="Q369" i="4" l="1"/>
  <c r="R369" i="3" s="1"/>
  <c r="A370" i="4"/>
  <c r="A370" i="3" s="1"/>
  <c r="Q370" i="4" l="1"/>
  <c r="R370" i="3" s="1"/>
  <c r="A371" i="4"/>
  <c r="A371" i="3" s="1"/>
  <c r="Q371" i="4" l="1"/>
  <c r="R371" i="3" s="1"/>
  <c r="A372" i="4"/>
  <c r="A372" i="3" s="1"/>
  <c r="Q372" i="4" l="1"/>
  <c r="R372" i="3" s="1"/>
  <c r="A373" i="4"/>
  <c r="A373" i="3" s="1"/>
  <c r="Q373" i="4" l="1"/>
  <c r="R373" i="3" s="1"/>
  <c r="A374" i="4"/>
  <c r="A374" i="3" s="1"/>
  <c r="Q374" i="4" l="1"/>
  <c r="R374" i="3" s="1"/>
  <c r="A375" i="4"/>
  <c r="A375" i="3" s="1"/>
  <c r="Q375" i="4" l="1"/>
  <c r="R375" i="3" s="1"/>
  <c r="A376" i="4"/>
  <c r="A376" i="3" s="1"/>
  <c r="Q376" i="4" l="1"/>
  <c r="R376" i="3" s="1"/>
  <c r="A377" i="4"/>
  <c r="A377" i="3" s="1"/>
  <c r="Q377" i="4" l="1"/>
  <c r="R377" i="3" s="1"/>
  <c r="A378" i="4"/>
  <c r="A378" i="3" s="1"/>
  <c r="Q378" i="4" l="1"/>
  <c r="R378" i="3" s="1"/>
  <c r="A379" i="4"/>
  <c r="A379" i="3" s="1"/>
  <c r="Q379" i="4" l="1"/>
  <c r="R379" i="3" s="1"/>
  <c r="A380" i="4"/>
  <c r="A380" i="3" s="1"/>
  <c r="Q380" i="4" l="1"/>
  <c r="R380" i="3" s="1"/>
  <c r="A381" i="4"/>
  <c r="A381" i="3" s="1"/>
  <c r="Q381" i="4" l="1"/>
  <c r="R381" i="3" s="1"/>
  <c r="A382" i="4"/>
  <c r="A382" i="3" s="1"/>
  <c r="Q382" i="4" l="1"/>
  <c r="R382" i="3" s="1"/>
  <c r="A383" i="4"/>
  <c r="A383" i="3" s="1"/>
  <c r="Q383" i="4" l="1"/>
  <c r="R383" i="3" s="1"/>
  <c r="A384" i="4"/>
  <c r="A384" i="3" s="1"/>
  <c r="Q384" i="4" l="1"/>
  <c r="R384" i="3" s="1"/>
  <c r="A385" i="4"/>
  <c r="A385" i="3" s="1"/>
  <c r="Q385" i="4" l="1"/>
  <c r="R385" i="3" s="1"/>
  <c r="A386" i="4"/>
  <c r="A386" i="3" s="1"/>
  <c r="Q386" i="4" l="1"/>
  <c r="R386" i="3" s="1"/>
  <c r="A387" i="4"/>
  <c r="A387" i="3" s="1"/>
  <c r="Q387" i="4" l="1"/>
  <c r="R387" i="3" s="1"/>
  <c r="A388" i="4"/>
  <c r="A388" i="3" s="1"/>
  <c r="Q388" i="4" l="1"/>
  <c r="R388" i="3" s="1"/>
  <c r="A389" i="4"/>
  <c r="A389" i="3" s="1"/>
  <c r="Q389" i="4" l="1"/>
  <c r="R389" i="3" s="1"/>
  <c r="A390" i="4"/>
  <c r="A390" i="3" s="1"/>
  <c r="Q390" i="4" l="1"/>
  <c r="R390" i="3" s="1"/>
  <c r="A391" i="4"/>
  <c r="A391" i="3" s="1"/>
  <c r="Q391" i="4" l="1"/>
  <c r="R391" i="3" s="1"/>
  <c r="A392" i="4"/>
  <c r="A392" i="3" s="1"/>
  <c r="Q392" i="4" l="1"/>
  <c r="R392" i="3" s="1"/>
  <c r="A393" i="4"/>
  <c r="A393" i="3" s="1"/>
  <c r="Q393" i="4" l="1"/>
  <c r="R393" i="3" s="1"/>
  <c r="A394" i="4"/>
  <c r="A394" i="3" s="1"/>
  <c r="Q394" i="4" l="1"/>
  <c r="R394" i="3" s="1"/>
  <c r="A395" i="4"/>
  <c r="A395" i="3" s="1"/>
  <c r="Q395" i="4" l="1"/>
  <c r="R395" i="3" s="1"/>
  <c r="A396" i="4"/>
  <c r="A396" i="3" s="1"/>
  <c r="Q396" i="4" l="1"/>
  <c r="R396" i="3" s="1"/>
  <c r="A397" i="4"/>
  <c r="A397" i="3" s="1"/>
  <c r="Q397" i="4" l="1"/>
  <c r="R397" i="3" s="1"/>
  <c r="A398" i="4"/>
  <c r="A398" i="3" s="1"/>
  <c r="Q398" i="4" l="1"/>
  <c r="R398" i="3" s="1"/>
  <c r="A399" i="4"/>
  <c r="A399" i="3" s="1"/>
  <c r="Q399" i="4" l="1"/>
  <c r="R399" i="3" s="1"/>
  <c r="A400" i="4"/>
  <c r="A400" i="3" s="1"/>
  <c r="Q400" i="4" l="1"/>
  <c r="R400" i="3" s="1"/>
  <c r="A401" i="4"/>
  <c r="A401" i="3" s="1"/>
  <c r="Q401" i="4" l="1"/>
  <c r="R401" i="3" s="1"/>
  <c r="A402" i="4"/>
  <c r="A402" i="3" s="1"/>
  <c r="Q402" i="4" l="1"/>
  <c r="R402" i="3" s="1"/>
  <c r="A403" i="4"/>
  <c r="A403" i="3" s="1"/>
  <c r="Q403" i="4" l="1"/>
  <c r="R403" i="3" s="1"/>
  <c r="A404" i="4"/>
  <c r="A404" i="3" s="1"/>
  <c r="Q404" i="4" l="1"/>
  <c r="R404" i="3" s="1"/>
  <c r="A405" i="4"/>
  <c r="A405" i="3" s="1"/>
  <c r="Q405" i="4" l="1"/>
  <c r="R405" i="3" s="1"/>
  <c r="A406" i="4"/>
  <c r="A406" i="3" s="1"/>
  <c r="Q406" i="4" l="1"/>
  <c r="R406" i="3" s="1"/>
  <c r="A407" i="4"/>
  <c r="A407" i="3" s="1"/>
  <c r="Q407" i="4" l="1"/>
  <c r="R407" i="3" s="1"/>
  <c r="A408" i="4"/>
  <c r="A408" i="3" s="1"/>
  <c r="Q408" i="4" l="1"/>
  <c r="R408" i="3" s="1"/>
  <c r="A409" i="4"/>
  <c r="A409" i="3" s="1"/>
  <c r="Q409" i="4" l="1"/>
  <c r="R409" i="3" s="1"/>
  <c r="A410" i="4"/>
  <c r="A410" i="3" s="1"/>
  <c r="Q410" i="4" l="1"/>
  <c r="R410" i="3" s="1"/>
  <c r="A411" i="4"/>
  <c r="A411" i="3" s="1"/>
  <c r="Q411" i="4" l="1"/>
  <c r="R411" i="3" s="1"/>
  <c r="A412" i="4"/>
  <c r="A412" i="3" s="1"/>
  <c r="Q412" i="4" l="1"/>
  <c r="R412" i="3" s="1"/>
  <c r="A413" i="4"/>
  <c r="A413" i="3" s="1"/>
  <c r="Q413" i="4" l="1"/>
  <c r="R413" i="3" s="1"/>
  <c r="A414" i="4"/>
  <c r="A414" i="3" s="1"/>
  <c r="Q414" i="4" l="1"/>
  <c r="R414" i="3" s="1"/>
  <c r="A415" i="4"/>
  <c r="A415" i="3" s="1"/>
  <c r="Q415" i="4" l="1"/>
  <c r="R415" i="3" s="1"/>
  <c r="A416" i="4"/>
  <c r="A416" i="3" s="1"/>
  <c r="Q416" i="4" l="1"/>
  <c r="R416" i="3" s="1"/>
  <c r="A417" i="4"/>
  <c r="A417" i="3" s="1"/>
  <c r="Q417" i="4" l="1"/>
  <c r="R417" i="3" s="1"/>
  <c r="A418" i="4"/>
  <c r="A418" i="3" s="1"/>
  <c r="Q418" i="4" l="1"/>
  <c r="R418" i="3" s="1"/>
  <c r="A419" i="4"/>
  <c r="A419" i="3" s="1"/>
  <c r="Q419" i="4" l="1"/>
  <c r="R419" i="3" s="1"/>
  <c r="A420" i="4"/>
  <c r="A420" i="3" s="1"/>
  <c r="Q420" i="4" l="1"/>
  <c r="R420" i="3" s="1"/>
  <c r="A421" i="4"/>
  <c r="A421" i="3" s="1"/>
  <c r="Q421" i="4" l="1"/>
  <c r="R421" i="3" s="1"/>
  <c r="A422" i="4"/>
  <c r="A422" i="3" s="1"/>
  <c r="Q422" i="4" l="1"/>
  <c r="R422" i="3" s="1"/>
  <c r="A423" i="4"/>
  <c r="A423" i="3" s="1"/>
  <c r="Q423" i="4" l="1"/>
  <c r="R423" i="3" s="1"/>
  <c r="A424" i="4"/>
  <c r="A424" i="3" s="1"/>
  <c r="Q424" i="4" l="1"/>
  <c r="R424" i="3" s="1"/>
  <c r="A425" i="4"/>
  <c r="A425" i="3" s="1"/>
  <c r="Q425" i="4" l="1"/>
  <c r="R425" i="3" s="1"/>
  <c r="A426" i="4"/>
  <c r="A426" i="3" s="1"/>
  <c r="Q426" i="4" l="1"/>
  <c r="R426" i="3" s="1"/>
  <c r="A427" i="4"/>
  <c r="A427" i="3" s="1"/>
  <c r="Q427" i="4" l="1"/>
  <c r="R427" i="3" s="1"/>
  <c r="A428" i="4"/>
  <c r="A428" i="3" s="1"/>
  <c r="Q428" i="4" l="1"/>
  <c r="R428" i="3" s="1"/>
  <c r="A429" i="4"/>
  <c r="A429" i="3" s="1"/>
  <c r="Q429" i="4" l="1"/>
  <c r="R429" i="3" s="1"/>
  <c r="A430" i="4"/>
  <c r="A430" i="3" s="1"/>
  <c r="A431" i="4" l="1"/>
  <c r="A431" i="3" s="1"/>
  <c r="Q430" i="4"/>
  <c r="R430" i="3" s="1"/>
  <c r="Q431" i="4" l="1"/>
  <c r="R431" i="3" s="1"/>
  <c r="A432" i="4"/>
  <c r="A432" i="3" s="1"/>
  <c r="Q432" i="4" l="1"/>
  <c r="R432" i="3" s="1"/>
  <c r="A433" i="4"/>
  <c r="A433" i="3" s="1"/>
  <c r="Q433" i="4" l="1"/>
  <c r="R433" i="3" s="1"/>
  <c r="A434" i="4"/>
  <c r="A434" i="3" s="1"/>
  <c r="A435" i="4" l="1"/>
  <c r="A435" i="3" s="1"/>
  <c r="Q434" i="4"/>
  <c r="R434" i="3" s="1"/>
  <c r="Q435" i="4" l="1"/>
  <c r="R435" i="3" s="1"/>
  <c r="A436" i="4"/>
  <c r="A436" i="3" s="1"/>
  <c r="Q436" i="4" l="1"/>
  <c r="R436" i="3" s="1"/>
  <c r="A437" i="4"/>
  <c r="A437" i="3" s="1"/>
  <c r="Q437" i="4" l="1"/>
  <c r="R437" i="3" s="1"/>
  <c r="A438" i="4"/>
  <c r="A438" i="3" s="1"/>
  <c r="A439" i="4" l="1"/>
  <c r="A439" i="3" s="1"/>
  <c r="Q438" i="4"/>
  <c r="R438" i="3" s="1"/>
  <c r="Q439" i="4" l="1"/>
  <c r="R439" i="3" s="1"/>
  <c r="A440" i="4"/>
  <c r="A440" i="3" s="1"/>
  <c r="A441" i="4" l="1"/>
  <c r="A441" i="3" s="1"/>
  <c r="Q440" i="4"/>
  <c r="R440" i="3" s="1"/>
  <c r="Q441" i="4" l="1"/>
  <c r="R441" i="3" s="1"/>
  <c r="A442" i="4"/>
  <c r="A442" i="3" s="1"/>
  <c r="A443" i="4" l="1"/>
  <c r="A443" i="3" s="1"/>
  <c r="Q442" i="4"/>
  <c r="R442" i="3" s="1"/>
  <c r="A444" i="4" l="1"/>
  <c r="A444" i="3" s="1"/>
  <c r="Q443" i="4"/>
  <c r="R443" i="3" s="1"/>
  <c r="A445" i="4" l="1"/>
  <c r="A445" i="3" s="1"/>
  <c r="Q444" i="4"/>
  <c r="R444" i="3" s="1"/>
  <c r="Q445" i="4" l="1"/>
  <c r="R445" i="3" s="1"/>
  <c r="A446" i="4"/>
  <c r="A446" i="3" s="1"/>
  <c r="A447" i="4" l="1"/>
  <c r="A447" i="3" s="1"/>
  <c r="Q446" i="4"/>
  <c r="R446" i="3" s="1"/>
  <c r="A448" i="4" l="1"/>
  <c r="A448" i="3" s="1"/>
  <c r="Q447" i="4"/>
  <c r="R447" i="3" s="1"/>
  <c r="A449" i="4" l="1"/>
  <c r="A449" i="3" s="1"/>
  <c r="Q448" i="4"/>
  <c r="R448" i="3" s="1"/>
  <c r="Q449" i="4" l="1"/>
  <c r="R449" i="3" s="1"/>
  <c r="A450" i="4"/>
  <c r="A450" i="3" s="1"/>
  <c r="A451" i="4" l="1"/>
  <c r="A451" i="3" s="1"/>
  <c r="Q450" i="4"/>
  <c r="R450" i="3" s="1"/>
  <c r="A452" i="4" l="1"/>
  <c r="A452" i="3" s="1"/>
  <c r="Q451" i="4"/>
  <c r="R451" i="3" s="1"/>
  <c r="A453" i="4" l="1"/>
  <c r="A453" i="3" s="1"/>
  <c r="Q452" i="4"/>
  <c r="R452" i="3" s="1"/>
  <c r="Q453" i="4" l="1"/>
  <c r="R453" i="3" s="1"/>
  <c r="A454" i="4"/>
  <c r="A454" i="3" s="1"/>
  <c r="A455" i="4" l="1"/>
  <c r="A455" i="3" s="1"/>
  <c r="Q454" i="4"/>
  <c r="R454" i="3" s="1"/>
  <c r="A456" i="4" l="1"/>
  <c r="A456" i="3" s="1"/>
  <c r="Q455" i="4"/>
  <c r="R455" i="3" s="1"/>
  <c r="A457" i="4" l="1"/>
  <c r="A457" i="3" s="1"/>
  <c r="Q456" i="4"/>
  <c r="R456" i="3" s="1"/>
  <c r="Q457" i="4" l="1"/>
  <c r="R457" i="3" s="1"/>
  <c r="A458" i="4"/>
  <c r="A458" i="3" s="1"/>
  <c r="A459" i="4" l="1"/>
  <c r="A459" i="3" s="1"/>
  <c r="Q458" i="4"/>
  <c r="R458" i="3" s="1"/>
  <c r="A460" i="4" l="1"/>
  <c r="A460" i="3" s="1"/>
  <c r="Q459" i="4"/>
  <c r="R459" i="3" s="1"/>
  <c r="A461" i="4" l="1"/>
  <c r="A461" i="3" s="1"/>
  <c r="Q460" i="4"/>
  <c r="R460" i="3" s="1"/>
  <c r="Q461" i="4" l="1"/>
  <c r="R461" i="3" s="1"/>
  <c r="A462" i="4"/>
  <c r="A462" i="3" s="1"/>
  <c r="A463" i="4" l="1"/>
  <c r="A463" i="3" s="1"/>
  <c r="Q462" i="4"/>
  <c r="R462" i="3" s="1"/>
  <c r="A464" i="4" l="1"/>
  <c r="A464" i="3" s="1"/>
  <c r="Q463" i="4"/>
  <c r="R463" i="3" s="1"/>
  <c r="A465" i="4" l="1"/>
  <c r="A465" i="3" s="1"/>
  <c r="Q464" i="4"/>
  <c r="R464" i="3" s="1"/>
  <c r="Q465" i="4" l="1"/>
  <c r="R465" i="3" s="1"/>
  <c r="A466" i="4"/>
  <c r="A466" i="3" s="1"/>
  <c r="A467" i="4" l="1"/>
  <c r="A467" i="3" s="1"/>
  <c r="Q466" i="4"/>
  <c r="R466" i="3" s="1"/>
  <c r="A468" i="4" l="1"/>
  <c r="A468" i="3" s="1"/>
  <c r="Q467" i="4"/>
  <c r="R467" i="3" s="1"/>
  <c r="A469" i="4" l="1"/>
  <c r="A469" i="3" s="1"/>
  <c r="Q468" i="4"/>
  <c r="R468" i="3" s="1"/>
  <c r="Q469" i="4" l="1"/>
  <c r="R469" i="3" s="1"/>
  <c r="A470" i="4"/>
  <c r="A470" i="3" s="1"/>
  <c r="A471" i="4" l="1"/>
  <c r="A471" i="3" s="1"/>
  <c r="Q470" i="4"/>
  <c r="R470" i="3" s="1"/>
  <c r="A472" i="4" l="1"/>
  <c r="A472" i="3" s="1"/>
  <c r="Q471" i="4"/>
  <c r="R471" i="3" s="1"/>
  <c r="A473" i="4" l="1"/>
  <c r="A473" i="3" s="1"/>
  <c r="Q472" i="4"/>
  <c r="R472" i="3" s="1"/>
  <c r="Q473" i="4" l="1"/>
  <c r="R473" i="3" s="1"/>
  <c r="A474" i="4"/>
  <c r="A474" i="3" s="1"/>
  <c r="A475" i="4" l="1"/>
  <c r="A475" i="3" s="1"/>
  <c r="Q474" i="4"/>
  <c r="R474" i="3" s="1"/>
  <c r="A476" i="4" l="1"/>
  <c r="A476" i="3" s="1"/>
  <c r="Q475" i="4"/>
  <c r="R475" i="3" s="1"/>
  <c r="A477" i="4" l="1"/>
  <c r="A477" i="3" s="1"/>
  <c r="Q476" i="4"/>
  <c r="R476" i="3" s="1"/>
  <c r="Q477" i="4" l="1"/>
  <c r="R477" i="3" s="1"/>
  <c r="A478" i="4"/>
  <c r="A478" i="3" s="1"/>
  <c r="A479" i="4" l="1"/>
  <c r="A479" i="3" s="1"/>
  <c r="Q478" i="4"/>
  <c r="R478" i="3" s="1"/>
  <c r="A480" i="4" l="1"/>
  <c r="A480" i="3" s="1"/>
  <c r="Q479" i="4"/>
  <c r="R479" i="3" s="1"/>
  <c r="A481" i="4" l="1"/>
  <c r="A481" i="3" s="1"/>
  <c r="Q480" i="4"/>
  <c r="R480" i="3" s="1"/>
  <c r="Q481" i="4" l="1"/>
  <c r="R481" i="3" s="1"/>
  <c r="A482" i="4"/>
  <c r="A482" i="3" s="1"/>
  <c r="A483" i="4" l="1"/>
  <c r="A483" i="3" s="1"/>
  <c r="Q482" i="4"/>
  <c r="R482" i="3" s="1"/>
  <c r="A484" i="4" l="1"/>
  <c r="A484" i="3" s="1"/>
  <c r="Q483" i="4"/>
  <c r="R483" i="3" s="1"/>
  <c r="A485" i="4" l="1"/>
  <c r="A485" i="3" s="1"/>
  <c r="Q484" i="4"/>
  <c r="R484" i="3" s="1"/>
  <c r="Q485" i="4" l="1"/>
  <c r="R485" i="3" s="1"/>
  <c r="A486" i="4"/>
  <c r="A486" i="3" s="1"/>
  <c r="A487" i="4" l="1"/>
  <c r="A487" i="3" s="1"/>
  <c r="Q486" i="4"/>
  <c r="R486" i="3" s="1"/>
  <c r="A488" i="4" l="1"/>
  <c r="A488" i="3" s="1"/>
  <c r="Q487" i="4"/>
  <c r="R487" i="3" s="1"/>
  <c r="A489" i="4" l="1"/>
  <c r="A489" i="3" s="1"/>
  <c r="Q488" i="4"/>
  <c r="R488" i="3" s="1"/>
  <c r="Q489" i="4" l="1"/>
  <c r="R489" i="3" s="1"/>
  <c r="A490" i="4"/>
  <c r="A490" i="3" s="1"/>
  <c r="A491" i="4" l="1"/>
  <c r="A491" i="3" s="1"/>
  <c r="Q490" i="4"/>
  <c r="R490" i="3" s="1"/>
  <c r="A492" i="4" l="1"/>
  <c r="A492" i="3" s="1"/>
  <c r="Q491" i="4"/>
  <c r="R491" i="3" s="1"/>
  <c r="A493" i="4" l="1"/>
  <c r="A493" i="3" s="1"/>
  <c r="Q492" i="4"/>
  <c r="R492" i="3" s="1"/>
  <c r="Q493" i="4" l="1"/>
  <c r="R493" i="3" s="1"/>
  <c r="A494" i="4"/>
  <c r="A494" i="3" s="1"/>
  <c r="A495" i="4" l="1"/>
  <c r="A495" i="3" s="1"/>
  <c r="Q494" i="4"/>
  <c r="R494" i="3" s="1"/>
  <c r="A496" i="4" l="1"/>
  <c r="A496" i="3" s="1"/>
  <c r="Q495" i="4"/>
  <c r="R495" i="3" s="1"/>
  <c r="A497" i="4" l="1"/>
  <c r="A497" i="3" s="1"/>
  <c r="Q496" i="4"/>
  <c r="R496" i="3" s="1"/>
  <c r="Q497" i="4" l="1"/>
  <c r="R497" i="3" s="1"/>
  <c r="A498" i="4"/>
  <c r="A498" i="3" s="1"/>
  <c r="A499" i="4" l="1"/>
  <c r="A499" i="3" s="1"/>
  <c r="Q498" i="4"/>
  <c r="R498" i="3" s="1"/>
  <c r="A500" i="4" l="1"/>
  <c r="A500" i="3" s="1"/>
  <c r="Q499" i="4"/>
  <c r="R499" i="3" s="1"/>
  <c r="A501" i="4" l="1"/>
  <c r="A501" i="3" s="1"/>
  <c r="Q500" i="4"/>
  <c r="R500" i="3" s="1"/>
  <c r="Q501" i="4" l="1"/>
  <c r="R501" i="3" s="1"/>
  <c r="A502" i="4"/>
  <c r="A502" i="3" s="1"/>
  <c r="A503" i="4" l="1"/>
  <c r="A503" i="3" s="1"/>
  <c r="Q502" i="4"/>
  <c r="R502" i="3" s="1"/>
  <c r="A504" i="4" l="1"/>
  <c r="A504" i="3" s="1"/>
  <c r="Q503" i="4"/>
  <c r="R503" i="3" s="1"/>
  <c r="A505" i="4" l="1"/>
  <c r="A505" i="3" s="1"/>
  <c r="Q504" i="4"/>
  <c r="R504" i="3" s="1"/>
  <c r="Q505" i="4" l="1"/>
  <c r="R505" i="3" s="1"/>
  <c r="A506" i="4"/>
  <c r="A506" i="3" s="1"/>
  <c r="A507" i="4" l="1"/>
  <c r="A507" i="3" s="1"/>
  <c r="Q506" i="4"/>
  <c r="R506" i="3" s="1"/>
  <c r="A508" i="4" l="1"/>
  <c r="A508" i="3" s="1"/>
  <c r="Q507" i="4"/>
  <c r="R507" i="3" s="1"/>
  <c r="A509" i="4" l="1"/>
  <c r="A509" i="3" s="1"/>
  <c r="Q508" i="4"/>
  <c r="R508" i="3" s="1"/>
  <c r="Q509" i="4" l="1"/>
  <c r="R509" i="3" s="1"/>
  <c r="A510" i="4"/>
  <c r="A510" i="3" s="1"/>
  <c r="A511" i="4" l="1"/>
  <c r="A511" i="3" s="1"/>
  <c r="Q510" i="4"/>
  <c r="R510" i="3" s="1"/>
  <c r="A512" i="4" l="1"/>
  <c r="A512" i="3" s="1"/>
  <c r="Q511" i="4"/>
  <c r="R511" i="3" s="1"/>
  <c r="A513" i="4" l="1"/>
  <c r="A513" i="3" s="1"/>
  <c r="Q512" i="4"/>
  <c r="R512" i="3" s="1"/>
  <c r="Q513" i="4" l="1"/>
  <c r="R513" i="3" s="1"/>
  <c r="A514" i="4"/>
  <c r="A514" i="3" s="1"/>
  <c r="A515" i="4" l="1"/>
  <c r="A515" i="3" s="1"/>
  <c r="Q514" i="4"/>
  <c r="R514" i="3" s="1"/>
  <c r="A516" i="4" l="1"/>
  <c r="A516" i="3" s="1"/>
  <c r="Q515" i="4"/>
  <c r="R515" i="3" s="1"/>
  <c r="A517" i="4" l="1"/>
  <c r="A517" i="3" s="1"/>
  <c r="Q516" i="4"/>
  <c r="R516" i="3" s="1"/>
  <c r="Q517" i="4" l="1"/>
  <c r="R517" i="3" s="1"/>
  <c r="A518" i="4"/>
  <c r="A518" i="3" s="1"/>
  <c r="A519" i="4" l="1"/>
  <c r="A519" i="3" s="1"/>
  <c r="Q518" i="4"/>
  <c r="R518" i="3" s="1"/>
  <c r="A520" i="4" l="1"/>
  <c r="A520" i="3" s="1"/>
  <c r="Q519" i="4"/>
  <c r="R519" i="3" s="1"/>
  <c r="A521" i="4" l="1"/>
  <c r="A521" i="3" s="1"/>
  <c r="Q520" i="4"/>
  <c r="R520" i="3" s="1"/>
  <c r="Q521" i="4" l="1"/>
  <c r="R521" i="3" s="1"/>
  <c r="A522" i="4"/>
  <c r="A522" i="3" s="1"/>
  <c r="A523" i="4" l="1"/>
  <c r="A523" i="3" s="1"/>
  <c r="Q522" i="4"/>
  <c r="R522" i="3" s="1"/>
  <c r="A524" i="4" l="1"/>
  <c r="A524" i="3" s="1"/>
  <c r="Q523" i="4"/>
  <c r="R523" i="3" s="1"/>
  <c r="A525" i="4" l="1"/>
  <c r="A525" i="3" s="1"/>
  <c r="Q524" i="4"/>
  <c r="R524" i="3" s="1"/>
  <c r="Q525" i="4" l="1"/>
  <c r="R525" i="3" s="1"/>
  <c r="A526" i="4"/>
  <c r="A526" i="3" s="1"/>
  <c r="A527" i="4" l="1"/>
  <c r="A527" i="3" s="1"/>
  <c r="Q526" i="4"/>
  <c r="R526" i="3" s="1"/>
  <c r="A528" i="4" l="1"/>
  <c r="A528" i="3" s="1"/>
  <c r="Q527" i="4"/>
  <c r="R527" i="3" s="1"/>
  <c r="A529" i="4" l="1"/>
  <c r="A529" i="3" s="1"/>
  <c r="Q528" i="4"/>
  <c r="R528" i="3" s="1"/>
  <c r="Q529" i="4" l="1"/>
  <c r="R529" i="3" s="1"/>
  <c r="A530" i="4"/>
  <c r="A530" i="3" s="1"/>
  <c r="A531" i="4" l="1"/>
  <c r="A531" i="3" s="1"/>
  <c r="Q530" i="4"/>
  <c r="R530" i="3" s="1"/>
  <c r="A532" i="4" l="1"/>
  <c r="A532" i="3" s="1"/>
  <c r="Q531" i="4"/>
  <c r="R531" i="3" s="1"/>
  <c r="A533" i="4" l="1"/>
  <c r="A533" i="3" s="1"/>
  <c r="Q532" i="4"/>
  <c r="R532" i="3" s="1"/>
  <c r="Q533" i="4" l="1"/>
  <c r="R533" i="3" s="1"/>
  <c r="A534" i="4"/>
  <c r="A534" i="3" s="1"/>
  <c r="A535" i="4" l="1"/>
  <c r="A535" i="3" s="1"/>
  <c r="Q534" i="4"/>
  <c r="R534" i="3" s="1"/>
  <c r="A536" i="4" l="1"/>
  <c r="A536" i="3" s="1"/>
  <c r="Q535" i="4"/>
  <c r="R535" i="3" s="1"/>
  <c r="A537" i="4" l="1"/>
  <c r="A537" i="3" s="1"/>
  <c r="Q536" i="4"/>
  <c r="R536" i="3" s="1"/>
  <c r="Q537" i="4" l="1"/>
  <c r="R537" i="3" s="1"/>
  <c r="A538" i="4"/>
  <c r="A538" i="3" s="1"/>
  <c r="A539" i="4" l="1"/>
  <c r="A539" i="3" s="1"/>
  <c r="Q538" i="4"/>
  <c r="R538" i="3" s="1"/>
  <c r="A540" i="4" l="1"/>
  <c r="A540" i="3" s="1"/>
  <c r="Q539" i="4"/>
  <c r="R539" i="3" s="1"/>
  <c r="A541" i="4" l="1"/>
  <c r="A541" i="3" s="1"/>
  <c r="Q540" i="4"/>
  <c r="R540" i="3" s="1"/>
  <c r="Q541" i="4" l="1"/>
  <c r="R541" i="3" s="1"/>
  <c r="A542" i="4"/>
  <c r="A542" i="3" s="1"/>
  <c r="A543" i="4" l="1"/>
  <c r="A543" i="3" s="1"/>
  <c r="Q542" i="4"/>
  <c r="R542" i="3" s="1"/>
  <c r="A544" i="4" l="1"/>
  <c r="A544" i="3" s="1"/>
  <c r="Q543" i="4"/>
  <c r="R543" i="3" s="1"/>
  <c r="A545" i="4" l="1"/>
  <c r="A545" i="3" s="1"/>
  <c r="Q544" i="4"/>
  <c r="R544" i="3" s="1"/>
  <c r="Q545" i="4" l="1"/>
  <c r="R545" i="3" s="1"/>
  <c r="A546" i="4"/>
  <c r="A546" i="3" s="1"/>
  <c r="A547" i="4" l="1"/>
  <c r="A547" i="3" s="1"/>
  <c r="Q546" i="4"/>
  <c r="R546" i="3" s="1"/>
  <c r="A548" i="4" l="1"/>
  <c r="A548" i="3" s="1"/>
  <c r="Q547" i="4"/>
  <c r="R547" i="3" s="1"/>
  <c r="A549" i="4" l="1"/>
  <c r="A549" i="3" s="1"/>
  <c r="Q548" i="4"/>
  <c r="R548" i="3" s="1"/>
  <c r="Q549" i="4" l="1"/>
  <c r="R549" i="3" s="1"/>
  <c r="A550" i="4"/>
  <c r="A550" i="3" s="1"/>
  <c r="A551" i="4" l="1"/>
  <c r="A551" i="3" s="1"/>
  <c r="Q550" i="4"/>
  <c r="R550" i="3" s="1"/>
  <c r="A552" i="4" l="1"/>
  <c r="A552" i="3" s="1"/>
  <c r="Q551" i="4"/>
  <c r="R551" i="3" s="1"/>
  <c r="A553" i="4" l="1"/>
  <c r="A553" i="3" s="1"/>
  <c r="Q552" i="4"/>
  <c r="R552" i="3" s="1"/>
  <c r="Q553" i="4" l="1"/>
  <c r="R553" i="3" s="1"/>
  <c r="A554" i="4"/>
  <c r="A554" i="3" s="1"/>
  <c r="A555" i="4" l="1"/>
  <c r="A555" i="3" s="1"/>
  <c r="Q554" i="4"/>
  <c r="R554" i="3" s="1"/>
  <c r="A556" i="4" l="1"/>
  <c r="A556" i="3" s="1"/>
  <c r="Q555" i="4"/>
  <c r="R555" i="3" s="1"/>
  <c r="A557" i="4" l="1"/>
  <c r="A557" i="3" s="1"/>
  <c r="Q556" i="4"/>
  <c r="R556" i="3" s="1"/>
  <c r="Q557" i="4" l="1"/>
  <c r="R557" i="3" s="1"/>
  <c r="A558" i="4"/>
  <c r="A558" i="3" s="1"/>
  <c r="A559" i="4" l="1"/>
  <c r="A559" i="3" s="1"/>
  <c r="Q558" i="4"/>
  <c r="R558" i="3" s="1"/>
  <c r="A560" i="4" l="1"/>
  <c r="A560" i="3" s="1"/>
  <c r="Q559" i="4"/>
  <c r="R559" i="3" s="1"/>
  <c r="A561" i="4" l="1"/>
  <c r="A561" i="3" s="1"/>
  <c r="Q560" i="4"/>
  <c r="R560" i="3" s="1"/>
  <c r="Q561" i="4" l="1"/>
  <c r="R561" i="3" s="1"/>
  <c r="A562" i="4"/>
  <c r="A562" i="3" s="1"/>
  <c r="A563" i="4" l="1"/>
  <c r="A563" i="3" s="1"/>
  <c r="Q562" i="4"/>
  <c r="R562" i="3" s="1"/>
  <c r="A564" i="4" l="1"/>
  <c r="A564" i="3" s="1"/>
  <c r="Q563" i="4"/>
  <c r="R563" i="3" s="1"/>
  <c r="A565" i="4" l="1"/>
  <c r="A565" i="3" s="1"/>
  <c r="Q564" i="4"/>
  <c r="R564" i="3" s="1"/>
  <c r="Q565" i="4" l="1"/>
  <c r="R565" i="3" s="1"/>
  <c r="A566" i="4"/>
  <c r="A566" i="3" s="1"/>
  <c r="A567" i="4" l="1"/>
  <c r="A567" i="3" s="1"/>
  <c r="Q566" i="4"/>
  <c r="R566" i="3" s="1"/>
  <c r="A568" i="4" l="1"/>
  <c r="A568" i="3" s="1"/>
  <c r="Q567" i="4"/>
  <c r="R567" i="3" s="1"/>
  <c r="A569" i="4" l="1"/>
  <c r="A569" i="3" s="1"/>
  <c r="Q568" i="4"/>
  <c r="R568" i="3" s="1"/>
  <c r="Q569" i="4" l="1"/>
  <c r="R569" i="3" s="1"/>
  <c r="A570" i="4"/>
  <c r="A570" i="3" s="1"/>
  <c r="A571" i="4" l="1"/>
  <c r="A571" i="3" s="1"/>
  <c r="Q570" i="4"/>
  <c r="R570" i="3" s="1"/>
  <c r="A572" i="4" l="1"/>
  <c r="A572" i="3" s="1"/>
  <c r="Q571" i="4"/>
  <c r="R571" i="3" s="1"/>
  <c r="A573" i="4" l="1"/>
  <c r="A573" i="3" s="1"/>
  <c r="Q572" i="4"/>
  <c r="R572" i="3" s="1"/>
  <c r="Q573" i="4" l="1"/>
  <c r="R573" i="3" s="1"/>
  <c r="A574" i="4"/>
  <c r="A574" i="3" s="1"/>
  <c r="A575" i="4" l="1"/>
  <c r="A575" i="3" s="1"/>
  <c r="Q574" i="4"/>
  <c r="R574" i="3" s="1"/>
  <c r="A576" i="4" l="1"/>
  <c r="A576" i="3" s="1"/>
  <c r="Q575" i="4"/>
  <c r="R575" i="3" s="1"/>
  <c r="A577" i="4" l="1"/>
  <c r="A577" i="3" s="1"/>
  <c r="Q576" i="4"/>
  <c r="R576" i="3" s="1"/>
  <c r="Q577" i="4" l="1"/>
  <c r="R577" i="3" s="1"/>
  <c r="A578" i="4"/>
  <c r="A578" i="3" s="1"/>
  <c r="A579" i="4" l="1"/>
  <c r="A579" i="3" s="1"/>
  <c r="Q578" i="4"/>
  <c r="R578" i="3" s="1"/>
  <c r="A580" i="4" l="1"/>
  <c r="A580" i="3" s="1"/>
  <c r="Q579" i="4"/>
  <c r="R579" i="3" s="1"/>
  <c r="A581" i="4" l="1"/>
  <c r="A581" i="3" s="1"/>
  <c r="Q580" i="4"/>
  <c r="R580" i="3" s="1"/>
  <c r="Q581" i="4" l="1"/>
  <c r="R581" i="3" s="1"/>
  <c r="A582" i="4"/>
  <c r="A582" i="3" s="1"/>
  <c r="A583" i="4" l="1"/>
  <c r="A583" i="3" s="1"/>
  <c r="Q582" i="4"/>
  <c r="R582" i="3" s="1"/>
  <c r="A584" i="4" l="1"/>
  <c r="A584" i="3" s="1"/>
  <c r="Q583" i="4"/>
  <c r="R583" i="3" s="1"/>
  <c r="A585" i="4" l="1"/>
  <c r="A585" i="3" s="1"/>
  <c r="Q584" i="4"/>
  <c r="R584" i="3" s="1"/>
  <c r="Q585" i="4" l="1"/>
  <c r="R585" i="3" s="1"/>
  <c r="A586" i="4"/>
  <c r="A586" i="3" s="1"/>
  <c r="A587" i="4" l="1"/>
  <c r="A587" i="3" s="1"/>
  <c r="Q586" i="4"/>
  <c r="R586" i="3" s="1"/>
  <c r="A588" i="4" l="1"/>
  <c r="A588" i="3" s="1"/>
  <c r="Q587" i="4"/>
  <c r="R587" i="3" s="1"/>
  <c r="A589" i="4" l="1"/>
  <c r="A589" i="3" s="1"/>
  <c r="Q588" i="4"/>
  <c r="R588" i="3" s="1"/>
  <c r="Q589" i="4" l="1"/>
  <c r="R589" i="3" s="1"/>
  <c r="A590" i="4"/>
  <c r="A590" i="3" s="1"/>
  <c r="A591" i="4" l="1"/>
  <c r="A591" i="3" s="1"/>
  <c r="Q590" i="4"/>
  <c r="R590" i="3" s="1"/>
  <c r="A592" i="4" l="1"/>
  <c r="A592" i="3" s="1"/>
  <c r="Q591" i="4"/>
  <c r="R591" i="3" s="1"/>
  <c r="A593" i="4" l="1"/>
  <c r="A593" i="3" s="1"/>
  <c r="Q592" i="4"/>
  <c r="R592" i="3" s="1"/>
  <c r="Q593" i="4" l="1"/>
  <c r="R593" i="3" s="1"/>
  <c r="A594" i="4"/>
  <c r="A594" i="3" s="1"/>
  <c r="A595" i="4" l="1"/>
  <c r="A595" i="3" s="1"/>
  <c r="Q594" i="4"/>
  <c r="R594" i="3" s="1"/>
  <c r="A596" i="4" l="1"/>
  <c r="A596" i="3" s="1"/>
  <c r="Q595" i="4"/>
  <c r="R595" i="3" s="1"/>
  <c r="A597" i="4" l="1"/>
  <c r="A597" i="3" s="1"/>
  <c r="Q596" i="4"/>
  <c r="R596" i="3" s="1"/>
  <c r="Q597" i="4" l="1"/>
  <c r="R597" i="3" s="1"/>
  <c r="A598" i="4"/>
  <c r="A598" i="3" s="1"/>
  <c r="A599" i="4" l="1"/>
  <c r="A599" i="3" s="1"/>
  <c r="Q598" i="4"/>
  <c r="R598" i="3" s="1"/>
  <c r="A600" i="4" l="1"/>
  <c r="A600" i="3" s="1"/>
  <c r="Q599" i="4"/>
  <c r="R599" i="3" s="1"/>
  <c r="A601" i="4" l="1"/>
  <c r="A601" i="3" s="1"/>
  <c r="Q600" i="4"/>
  <c r="R600" i="3" s="1"/>
  <c r="Q601" i="4" l="1"/>
  <c r="R601" i="3" s="1"/>
  <c r="A602" i="4"/>
  <c r="A602" i="3" s="1"/>
  <c r="A603" i="4" l="1"/>
  <c r="A603" i="3" s="1"/>
  <c r="Q602" i="4"/>
  <c r="R602" i="3" s="1"/>
  <c r="A604" i="4" l="1"/>
  <c r="A604" i="3" s="1"/>
  <c r="Q603" i="4"/>
  <c r="R603" i="3" s="1"/>
  <c r="A605" i="4" l="1"/>
  <c r="A605" i="3" s="1"/>
  <c r="Q604" i="4"/>
  <c r="R604" i="3" s="1"/>
  <c r="Q605" i="4" l="1"/>
  <c r="R605" i="3" s="1"/>
  <c r="A606" i="4"/>
  <c r="A606" i="3" s="1"/>
  <c r="A607" i="4" l="1"/>
  <c r="A607" i="3" s="1"/>
  <c r="Q606" i="4"/>
  <c r="R606" i="3" s="1"/>
  <c r="A608" i="4" l="1"/>
  <c r="A608" i="3" s="1"/>
  <c r="Q607" i="4"/>
  <c r="R607" i="3" s="1"/>
  <c r="A609" i="4" l="1"/>
  <c r="A609" i="3" s="1"/>
  <c r="Q608" i="4"/>
  <c r="R608" i="3" s="1"/>
  <c r="Q609" i="4" l="1"/>
  <c r="R609" i="3" s="1"/>
  <c r="A610" i="4"/>
  <c r="A610" i="3" s="1"/>
  <c r="A611" i="4" l="1"/>
  <c r="A611" i="3" s="1"/>
  <c r="Q610" i="4"/>
  <c r="R610" i="3" s="1"/>
  <c r="A612" i="4" l="1"/>
  <c r="A612" i="3" s="1"/>
  <c r="Q611" i="4"/>
  <c r="R611" i="3" s="1"/>
  <c r="A613" i="4" l="1"/>
  <c r="A613" i="3" s="1"/>
  <c r="Q612" i="4"/>
  <c r="R612" i="3" s="1"/>
  <c r="Q613" i="4" l="1"/>
  <c r="R613" i="3" s="1"/>
  <c r="A614" i="4"/>
  <c r="A614" i="3" s="1"/>
  <c r="A615" i="4" l="1"/>
  <c r="A615" i="3" s="1"/>
  <c r="Q614" i="4"/>
  <c r="R614" i="3" s="1"/>
  <c r="A616" i="4" l="1"/>
  <c r="A616" i="3" s="1"/>
  <c r="Q615" i="4"/>
  <c r="R615" i="3" s="1"/>
  <c r="A617" i="4" l="1"/>
  <c r="A617" i="3" s="1"/>
  <c r="Q616" i="4"/>
  <c r="R616" i="3" s="1"/>
  <c r="Q617" i="4" l="1"/>
  <c r="R617" i="3" s="1"/>
  <c r="A618" i="4"/>
  <c r="A618" i="3" s="1"/>
  <c r="A619" i="4" l="1"/>
  <c r="A619" i="3" s="1"/>
  <c r="Q618" i="4"/>
  <c r="R618" i="3" s="1"/>
  <c r="A620" i="4" l="1"/>
  <c r="A620" i="3" s="1"/>
  <c r="Q619" i="4"/>
  <c r="R619" i="3" s="1"/>
  <c r="A621" i="4" l="1"/>
  <c r="A621" i="3" s="1"/>
  <c r="Q620" i="4"/>
  <c r="R620" i="3" s="1"/>
  <c r="Q621" i="4" l="1"/>
  <c r="R621" i="3" s="1"/>
  <c r="A622" i="4"/>
  <c r="A622" i="3" s="1"/>
  <c r="A623" i="4" l="1"/>
  <c r="A623" i="3" s="1"/>
  <c r="Q622" i="4"/>
  <c r="R622" i="3" s="1"/>
  <c r="A624" i="4" l="1"/>
  <c r="A624" i="3" s="1"/>
  <c r="Q623" i="4"/>
  <c r="R623" i="3" s="1"/>
  <c r="A625" i="4" l="1"/>
  <c r="A625" i="3" s="1"/>
  <c r="Q624" i="4"/>
  <c r="R624" i="3" s="1"/>
  <c r="Q625" i="4" l="1"/>
  <c r="R625" i="3" s="1"/>
  <c r="A626" i="4"/>
  <c r="A626" i="3" s="1"/>
  <c r="A627" i="4" l="1"/>
  <c r="A627" i="3" s="1"/>
  <c r="Q626" i="4"/>
  <c r="R626" i="3" s="1"/>
  <c r="A628" i="4" l="1"/>
  <c r="A628" i="3" s="1"/>
  <c r="Q627" i="4"/>
  <c r="R627" i="3" s="1"/>
  <c r="A629" i="4" l="1"/>
  <c r="A629" i="3" s="1"/>
  <c r="Q628" i="4"/>
  <c r="R628" i="3" s="1"/>
  <c r="Q629" i="4" l="1"/>
  <c r="R629" i="3" s="1"/>
  <c r="A630" i="4"/>
  <c r="A630" i="3" s="1"/>
  <c r="A631" i="4" l="1"/>
  <c r="A631" i="3" s="1"/>
  <c r="Q630" i="4"/>
  <c r="R630" i="3" s="1"/>
  <c r="A632" i="4" l="1"/>
  <c r="A632" i="3" s="1"/>
  <c r="Q631" i="4"/>
  <c r="R631" i="3" s="1"/>
  <c r="A633" i="4" l="1"/>
  <c r="A633" i="3" s="1"/>
  <c r="Q632" i="4"/>
  <c r="R632" i="3" s="1"/>
  <c r="Q633" i="4" l="1"/>
  <c r="R633" i="3" s="1"/>
  <c r="A634" i="4"/>
  <c r="A634" i="3" s="1"/>
  <c r="A635" i="4" l="1"/>
  <c r="A635" i="3" s="1"/>
  <c r="Q634" i="4"/>
  <c r="R634" i="3" s="1"/>
  <c r="A636" i="4" l="1"/>
  <c r="A636" i="3" s="1"/>
  <c r="Q635" i="4"/>
  <c r="R635" i="3" s="1"/>
  <c r="A637" i="4" l="1"/>
  <c r="A637" i="3" s="1"/>
  <c r="Q636" i="4"/>
  <c r="R636" i="3" s="1"/>
  <c r="Q637" i="4" l="1"/>
  <c r="R637" i="3" s="1"/>
  <c r="A638" i="4"/>
  <c r="A638" i="3" s="1"/>
  <c r="A639" i="4" l="1"/>
  <c r="A639" i="3" s="1"/>
  <c r="Q638" i="4"/>
  <c r="R638" i="3" s="1"/>
  <c r="A640" i="4" l="1"/>
  <c r="A640" i="3" s="1"/>
  <c r="Q639" i="4"/>
  <c r="R639" i="3" s="1"/>
  <c r="A641" i="4" l="1"/>
  <c r="A641" i="3" s="1"/>
  <c r="Q640" i="4"/>
  <c r="R640" i="3" s="1"/>
  <c r="Q641" i="4" l="1"/>
  <c r="R641" i="3" s="1"/>
  <c r="A642" i="4"/>
  <c r="A642" i="3" s="1"/>
  <c r="A643" i="4" l="1"/>
  <c r="A643" i="3" s="1"/>
  <c r="Q642" i="4"/>
  <c r="R642" i="3" s="1"/>
  <c r="A644" i="4" l="1"/>
  <c r="A644" i="3" s="1"/>
  <c r="Q643" i="4"/>
  <c r="R643" i="3" s="1"/>
  <c r="A645" i="4" l="1"/>
  <c r="A645" i="3" s="1"/>
  <c r="Q644" i="4"/>
  <c r="R644" i="3" s="1"/>
  <c r="Q645" i="4" l="1"/>
  <c r="R645" i="3" s="1"/>
  <c r="A646" i="4"/>
  <c r="A646" i="3" s="1"/>
  <c r="A647" i="4" l="1"/>
  <c r="A647" i="3" s="1"/>
  <c r="Q646" i="4"/>
  <c r="R646" i="3" s="1"/>
  <c r="A648" i="4" l="1"/>
  <c r="A648" i="3" s="1"/>
  <c r="Q647" i="4"/>
  <c r="R647" i="3" s="1"/>
  <c r="A649" i="4" l="1"/>
  <c r="A649" i="3" s="1"/>
  <c r="Q648" i="4"/>
  <c r="R648" i="3" s="1"/>
  <c r="Q649" i="4" l="1"/>
  <c r="R649" i="3" s="1"/>
  <c r="A650" i="4"/>
  <c r="A650" i="3" s="1"/>
  <c r="A651" i="4" l="1"/>
  <c r="A651" i="3" s="1"/>
  <c r="Q650" i="4"/>
  <c r="R650" i="3" s="1"/>
  <c r="A652" i="4" l="1"/>
  <c r="A652" i="3" s="1"/>
  <c r="Q651" i="4"/>
  <c r="R651" i="3" s="1"/>
  <c r="A653" i="4" l="1"/>
  <c r="A653" i="3" s="1"/>
  <c r="Q652" i="4"/>
  <c r="R652" i="3" s="1"/>
  <c r="Q653" i="4" l="1"/>
  <c r="R653" i="3" s="1"/>
  <c r="A654" i="4"/>
  <c r="A654" i="3" s="1"/>
  <c r="A655" i="4" l="1"/>
  <c r="A655" i="3" s="1"/>
  <c r="Q654" i="4"/>
  <c r="R654" i="3" s="1"/>
  <c r="A656" i="4" l="1"/>
  <c r="A656" i="3" s="1"/>
  <c r="Q655" i="4"/>
  <c r="R655" i="3" s="1"/>
  <c r="A657" i="4" l="1"/>
  <c r="A657" i="3" s="1"/>
  <c r="Q656" i="4"/>
  <c r="R656" i="3" s="1"/>
  <c r="Q657" i="4" l="1"/>
  <c r="R657" i="3" s="1"/>
  <c r="A658" i="4"/>
  <c r="A658" i="3" s="1"/>
  <c r="A659" i="4" l="1"/>
  <c r="A659" i="3" s="1"/>
  <c r="Q658" i="4"/>
  <c r="R658" i="3" s="1"/>
  <c r="A660" i="4" l="1"/>
  <c r="A660" i="3" s="1"/>
  <c r="Q659" i="4"/>
  <c r="R659" i="3" s="1"/>
  <c r="A661" i="4" l="1"/>
  <c r="A661" i="3" s="1"/>
  <c r="Q660" i="4"/>
  <c r="R660" i="3" s="1"/>
  <c r="Q661" i="4" l="1"/>
  <c r="R661" i="3" s="1"/>
  <c r="A662" i="4"/>
  <c r="A662" i="3" s="1"/>
  <c r="A663" i="4" l="1"/>
  <c r="A663" i="3" s="1"/>
  <c r="Q662" i="4"/>
  <c r="R662" i="3" s="1"/>
  <c r="A664" i="4" l="1"/>
  <c r="A664" i="3" s="1"/>
  <c r="Q663" i="4"/>
  <c r="R663" i="3" s="1"/>
  <c r="A665" i="4" l="1"/>
  <c r="A666" i="4" s="1"/>
  <c r="Q664" i="4"/>
  <c r="R664" i="3" s="1"/>
  <c r="A667" i="4" l="1"/>
  <c r="Q667" i="4" s="1"/>
  <c r="R667" i="3" s="1"/>
  <c r="A666" i="3"/>
  <c r="Q665" i="4"/>
  <c r="R665" i="3" s="1"/>
  <c r="A665" i="3"/>
  <c r="A668" i="4" l="1"/>
  <c r="Q668" i="4" s="1"/>
  <c r="R668" i="3" s="1"/>
  <c r="A667" i="3"/>
  <c r="A669" i="4" l="1"/>
  <c r="Q669" i="4" s="1"/>
  <c r="R669" i="3" s="1"/>
  <c r="A668" i="3"/>
  <c r="A670" i="4" l="1"/>
  <c r="Q670" i="4" s="1"/>
  <c r="R670" i="3" s="1"/>
  <c r="A669" i="3"/>
  <c r="A671" i="4" l="1"/>
  <c r="Q671" i="4" s="1"/>
  <c r="R671" i="3" s="1"/>
  <c r="A670" i="3"/>
  <c r="A672" i="4" l="1"/>
  <c r="Q672" i="4" s="1"/>
  <c r="R672" i="3" s="1"/>
  <c r="A671" i="3"/>
  <c r="A673" i="4" l="1"/>
  <c r="Q673" i="4" s="1"/>
  <c r="R673" i="3" s="1"/>
  <c r="A672" i="3"/>
  <c r="A674" i="4" l="1"/>
  <c r="Q674" i="4" s="1"/>
  <c r="R674" i="3" s="1"/>
  <c r="A673" i="3"/>
  <c r="A675" i="4" l="1"/>
  <c r="Q675" i="4" s="1"/>
  <c r="R675" i="3" s="1"/>
  <c r="A674" i="3"/>
  <c r="A676" i="4" l="1"/>
  <c r="Q676" i="4" s="1"/>
  <c r="R676" i="3" s="1"/>
  <c r="A675" i="3"/>
  <c r="A677" i="4" l="1"/>
  <c r="Q677" i="4" s="1"/>
  <c r="R677" i="3" s="1"/>
  <c r="A676" i="3"/>
  <c r="A678" i="4" l="1"/>
  <c r="Q678" i="4" s="1"/>
  <c r="R678" i="3" s="1"/>
  <c r="A677" i="3"/>
  <c r="A679" i="4" l="1"/>
  <c r="Q679" i="4" s="1"/>
  <c r="R679" i="3" s="1"/>
  <c r="A678" i="3"/>
  <c r="A680" i="4" l="1"/>
  <c r="Q680" i="4" s="1"/>
  <c r="R680" i="3" s="1"/>
  <c r="A679" i="3"/>
  <c r="A681" i="4" l="1"/>
  <c r="Q681" i="4" s="1"/>
  <c r="R681" i="3" s="1"/>
  <c r="A680" i="3"/>
  <c r="A682" i="4" l="1"/>
  <c r="Q682" i="4" s="1"/>
  <c r="R682" i="3" s="1"/>
  <c r="A681" i="3"/>
  <c r="A683" i="4" l="1"/>
  <c r="Q683" i="4" s="1"/>
  <c r="R683" i="3" s="1"/>
  <c r="A682" i="3"/>
  <c r="A684" i="4" l="1"/>
  <c r="Q684" i="4" s="1"/>
  <c r="R684" i="3" s="1"/>
  <c r="A683" i="3"/>
  <c r="A685" i="4" l="1"/>
  <c r="Q685" i="4" s="1"/>
  <c r="R685" i="3" s="1"/>
  <c r="A684" i="3"/>
  <c r="A686" i="4" l="1"/>
  <c r="Q686" i="4" s="1"/>
  <c r="R686" i="3" s="1"/>
  <c r="A685" i="3"/>
  <c r="A687" i="4" l="1"/>
  <c r="Q687" i="4" s="1"/>
  <c r="R687" i="3" s="1"/>
  <c r="A686" i="3"/>
  <c r="A688" i="4" l="1"/>
  <c r="Q688" i="4" s="1"/>
  <c r="R688" i="3" s="1"/>
  <c r="A687" i="3"/>
  <c r="A689" i="4" l="1"/>
  <c r="Q689" i="4" s="1"/>
  <c r="R689" i="3" s="1"/>
  <c r="A688" i="3"/>
  <c r="A690" i="4" l="1"/>
  <c r="Q690" i="4" s="1"/>
  <c r="R690" i="3" s="1"/>
  <c r="A689" i="3"/>
  <c r="A691" i="4" l="1"/>
  <c r="Q691" i="4" s="1"/>
  <c r="R691" i="3" s="1"/>
  <c r="A690" i="3"/>
  <c r="A692" i="4" l="1"/>
  <c r="Q692" i="4" s="1"/>
  <c r="R692" i="3" s="1"/>
  <c r="A691" i="3"/>
  <c r="A693" i="4" l="1"/>
  <c r="Q693" i="4" s="1"/>
  <c r="R693" i="3" s="1"/>
  <c r="A692" i="3"/>
  <c r="A694" i="4" l="1"/>
  <c r="Q694" i="4" s="1"/>
  <c r="R694" i="3" s="1"/>
  <c r="A693" i="3"/>
  <c r="A695" i="4" l="1"/>
  <c r="Q695" i="4" s="1"/>
  <c r="R695" i="3" s="1"/>
  <c r="A694" i="3"/>
  <c r="A696" i="4" l="1"/>
  <c r="Q696" i="4" s="1"/>
  <c r="R696" i="3" s="1"/>
  <c r="A695" i="3"/>
  <c r="A697" i="4" l="1"/>
  <c r="Q697" i="4" s="1"/>
  <c r="R697" i="3" s="1"/>
  <c r="A696" i="3"/>
  <c r="A698" i="4" l="1"/>
  <c r="Q698" i="4" s="1"/>
  <c r="R698" i="3" s="1"/>
  <c r="A697" i="3"/>
  <c r="A699" i="4" l="1"/>
  <c r="Q699" i="4" s="1"/>
  <c r="R699" i="3" s="1"/>
  <c r="A698" i="3"/>
  <c r="A700" i="4" l="1"/>
  <c r="Q700" i="4" s="1"/>
  <c r="R700" i="3" s="1"/>
  <c r="A699" i="3"/>
  <c r="A701" i="4" l="1"/>
  <c r="A700" i="3"/>
  <c r="A15" i="2" s="1"/>
  <c r="A702" i="4" l="1"/>
  <c r="Q701" i="4"/>
  <c r="A703" i="4" l="1"/>
  <c r="Q702" i="4"/>
  <c r="A704" i="4" l="1"/>
  <c r="Q703" i="4"/>
  <c r="A705" i="4" l="1"/>
  <c r="Q704" i="4"/>
  <c r="A706" i="4" l="1"/>
  <c r="Q705" i="4"/>
  <c r="A707" i="4" l="1"/>
  <c r="Q706" i="4"/>
  <c r="A708" i="4" l="1"/>
  <c r="Q707" i="4"/>
  <c r="A709" i="4" l="1"/>
  <c r="Q708" i="4"/>
  <c r="A710" i="4" l="1"/>
  <c r="Q709" i="4"/>
  <c r="A711" i="4" l="1"/>
  <c r="Q710" i="4"/>
  <c r="A712" i="4" l="1"/>
  <c r="Q711" i="4"/>
  <c r="A713" i="4" l="1"/>
  <c r="Q712" i="4"/>
  <c r="A714" i="4" l="1"/>
  <c r="Q713" i="4"/>
  <c r="A715" i="4" l="1"/>
  <c r="Q714" i="4"/>
  <c r="A716" i="4" l="1"/>
  <c r="Q715" i="4"/>
  <c r="A717" i="4" l="1"/>
  <c r="Q716" i="4"/>
  <c r="A718" i="4" l="1"/>
  <c r="Q717" i="4"/>
  <c r="A719" i="4" l="1"/>
  <c r="Q718" i="4"/>
  <c r="A720" i="4" l="1"/>
  <c r="Q719" i="4"/>
  <c r="A721" i="4" l="1"/>
  <c r="Q720" i="4"/>
  <c r="A722" i="4" l="1"/>
  <c r="Q721" i="4"/>
  <c r="A723" i="4" l="1"/>
  <c r="Q722" i="4"/>
  <c r="A724" i="4" l="1"/>
  <c r="Q723" i="4"/>
  <c r="A725" i="4" l="1"/>
  <c r="Q724" i="4"/>
  <c r="A726" i="4" l="1"/>
  <c r="Q725" i="4"/>
  <c r="A727" i="4" l="1"/>
  <c r="Q726" i="4"/>
  <c r="A728" i="4" l="1"/>
  <c r="Q727" i="4"/>
  <c r="A729" i="4" l="1"/>
  <c r="Q728" i="4"/>
  <c r="A730" i="4" l="1"/>
  <c r="Q729" i="4"/>
  <c r="A731" i="4" l="1"/>
  <c r="Q730" i="4"/>
  <c r="A732" i="4" l="1"/>
  <c r="Q731" i="4"/>
  <c r="A733" i="4" l="1"/>
  <c r="Q732" i="4"/>
  <c r="A734" i="4" l="1"/>
  <c r="Q733" i="4"/>
  <c r="A735" i="4" l="1"/>
  <c r="Q734" i="4"/>
  <c r="A736" i="4" l="1"/>
  <c r="Q735" i="4"/>
  <c r="A737" i="4" l="1"/>
  <c r="Q736" i="4"/>
  <c r="A738" i="4" l="1"/>
  <c r="Q737" i="4"/>
  <c r="A739" i="4" l="1"/>
  <c r="Q738" i="4"/>
  <c r="A740" i="4" l="1"/>
  <c r="Q739" i="4"/>
  <c r="A741" i="4" l="1"/>
  <c r="Q740" i="4"/>
  <c r="A742" i="4" l="1"/>
  <c r="Q741" i="4"/>
  <c r="A743" i="4" l="1"/>
  <c r="Q742" i="4"/>
  <c r="A744" i="4" l="1"/>
  <c r="Q743" i="4"/>
  <c r="A745" i="4" l="1"/>
  <c r="Q744" i="4"/>
  <c r="A746" i="4" l="1"/>
  <c r="Q745" i="4"/>
  <c r="A747" i="4" l="1"/>
  <c r="Q746" i="4"/>
  <c r="A748" i="4" l="1"/>
  <c r="Q747" i="4"/>
  <c r="A749" i="4" l="1"/>
  <c r="Q748" i="4"/>
  <c r="A750" i="4" l="1"/>
  <c r="Q749" i="4"/>
  <c r="A751" i="4" l="1"/>
  <c r="Q750" i="4"/>
  <c r="A752" i="4" l="1"/>
  <c r="Q751" i="4"/>
  <c r="A753" i="4" l="1"/>
  <c r="Q752" i="4"/>
  <c r="A754" i="4" l="1"/>
  <c r="Q753" i="4"/>
  <c r="A755" i="4" l="1"/>
  <c r="Q754" i="4"/>
  <c r="A756" i="4" l="1"/>
  <c r="Q755" i="4"/>
  <c r="A757" i="4" l="1"/>
  <c r="Q756" i="4"/>
  <c r="A758" i="4" l="1"/>
  <c r="Q757" i="4"/>
  <c r="A759" i="4" l="1"/>
  <c r="Q758" i="4"/>
  <c r="A760" i="4" l="1"/>
  <c r="Q759" i="4"/>
  <c r="A761" i="4" l="1"/>
  <c r="Q760" i="4"/>
  <c r="A762" i="4" l="1"/>
  <c r="Q761" i="4"/>
  <c r="A763" i="4" l="1"/>
  <c r="Q762" i="4"/>
  <c r="A764" i="4" l="1"/>
  <c r="Q763" i="4"/>
  <c r="A765" i="4" l="1"/>
  <c r="Q764" i="4"/>
  <c r="A766" i="4" l="1"/>
  <c r="A766" i="3" s="1"/>
  <c r="Q765" i="4"/>
  <c r="A767" i="4" l="1"/>
  <c r="A767" i="3" s="1"/>
  <c r="Q766" i="4"/>
  <c r="R766" i="3" s="1"/>
  <c r="A768" i="4" l="1"/>
  <c r="A768" i="3" s="1"/>
  <c r="Q767" i="4"/>
  <c r="R767" i="3" s="1"/>
  <c r="A769" i="4" l="1"/>
  <c r="A769" i="3" s="1"/>
  <c r="Q768" i="4"/>
  <c r="R768" i="3" s="1"/>
  <c r="A770" i="4" l="1"/>
  <c r="A770" i="3" s="1"/>
  <c r="Q769" i="4"/>
  <c r="R769" i="3" s="1"/>
  <c r="A771" i="4" l="1"/>
  <c r="A771" i="3" s="1"/>
  <c r="Q770" i="4"/>
  <c r="R770" i="3" s="1"/>
  <c r="A772" i="4" l="1"/>
  <c r="A772" i="3" s="1"/>
  <c r="Q771" i="4"/>
  <c r="R771" i="3" s="1"/>
  <c r="A773" i="4" l="1"/>
  <c r="A773" i="3" s="1"/>
  <c r="Q772" i="4"/>
  <c r="R772" i="3" s="1"/>
  <c r="A774" i="4" l="1"/>
  <c r="A774" i="3" s="1"/>
  <c r="Q773" i="4"/>
  <c r="R773" i="3" s="1"/>
  <c r="A775" i="4" l="1"/>
  <c r="A775" i="3" s="1"/>
  <c r="Q774" i="4"/>
  <c r="R774" i="3" s="1"/>
  <c r="A776" i="4" l="1"/>
  <c r="A776" i="3" s="1"/>
  <c r="Q775" i="4"/>
  <c r="R775" i="3" s="1"/>
  <c r="A777" i="4" l="1"/>
  <c r="A777" i="3" s="1"/>
  <c r="Q776" i="4"/>
  <c r="R776" i="3" s="1"/>
  <c r="A778" i="4" l="1"/>
  <c r="A778" i="3" s="1"/>
  <c r="Q777" i="4"/>
  <c r="R777" i="3" s="1"/>
  <c r="A779" i="4" l="1"/>
  <c r="A779" i="3" s="1"/>
  <c r="Q778" i="4"/>
  <c r="R778" i="3" s="1"/>
  <c r="A780" i="4" l="1"/>
  <c r="A780" i="3" s="1"/>
  <c r="Q779" i="4"/>
  <c r="R779" i="3" s="1"/>
  <c r="A781" i="4" l="1"/>
  <c r="A781" i="3" s="1"/>
  <c r="Q780" i="4"/>
  <c r="R780" i="3" s="1"/>
  <c r="A782" i="4" l="1"/>
  <c r="A782" i="3" s="1"/>
  <c r="Q781" i="4"/>
  <c r="R781" i="3" s="1"/>
  <c r="A783" i="4" l="1"/>
  <c r="A783" i="3" s="1"/>
  <c r="Q782" i="4"/>
  <c r="R782" i="3" s="1"/>
  <c r="A784" i="4" l="1"/>
  <c r="A784" i="3" s="1"/>
  <c r="Q783" i="4"/>
  <c r="R783" i="3" s="1"/>
  <c r="A785" i="4" l="1"/>
  <c r="A785" i="3" s="1"/>
  <c r="Q784" i="4"/>
  <c r="R784" i="3" s="1"/>
  <c r="A786" i="4" l="1"/>
  <c r="A786" i="3" s="1"/>
  <c r="Q785" i="4"/>
  <c r="R785" i="3" s="1"/>
  <c r="A787" i="4" l="1"/>
  <c r="A787" i="3" s="1"/>
  <c r="Q786" i="4"/>
  <c r="R786" i="3" s="1"/>
  <c r="A788" i="4" l="1"/>
  <c r="A788" i="3" s="1"/>
  <c r="Q787" i="4"/>
  <c r="R787" i="3" s="1"/>
  <c r="A789" i="4" l="1"/>
  <c r="A789" i="3" s="1"/>
  <c r="Q788" i="4"/>
  <c r="R788" i="3" s="1"/>
  <c r="A790" i="4" l="1"/>
  <c r="A790" i="3" s="1"/>
  <c r="Q789" i="4"/>
  <c r="R789" i="3" s="1"/>
  <c r="A791" i="4" l="1"/>
  <c r="A791" i="3" s="1"/>
  <c r="Q790" i="4"/>
  <c r="R790" i="3" s="1"/>
  <c r="A792" i="4" l="1"/>
  <c r="A792" i="3" s="1"/>
  <c r="Q791" i="4"/>
  <c r="R791" i="3" s="1"/>
  <c r="A793" i="4" l="1"/>
  <c r="A793" i="3" s="1"/>
  <c r="Q792" i="4"/>
  <c r="R792" i="3" s="1"/>
  <c r="A794" i="4" l="1"/>
  <c r="A794" i="3" s="1"/>
  <c r="Q793" i="4"/>
  <c r="R793" i="3" s="1"/>
  <c r="A795" i="4" l="1"/>
  <c r="A795" i="3" s="1"/>
  <c r="Q794" i="4"/>
  <c r="R794" i="3" s="1"/>
  <c r="A796" i="4" l="1"/>
  <c r="A796" i="3" s="1"/>
  <c r="Q795" i="4"/>
  <c r="R795" i="3" s="1"/>
  <c r="A797" i="4" l="1"/>
  <c r="A797" i="3" s="1"/>
  <c r="Q796" i="4"/>
  <c r="R796" i="3" s="1"/>
  <c r="A798" i="4" l="1"/>
  <c r="A798" i="3" s="1"/>
  <c r="Q797" i="4"/>
  <c r="R797" i="3" s="1"/>
  <c r="A799" i="4" l="1"/>
  <c r="A799" i="3" s="1"/>
  <c r="Q798" i="4"/>
  <c r="R798" i="3" s="1"/>
  <c r="A800" i="4" l="1"/>
  <c r="A800" i="3" s="1"/>
  <c r="Q799" i="4"/>
  <c r="R799" i="3" s="1"/>
  <c r="A801" i="4" l="1"/>
  <c r="A801" i="3" s="1"/>
  <c r="Q800" i="4"/>
  <c r="R800" i="3" s="1"/>
  <c r="A802" i="4" l="1"/>
  <c r="A802" i="3" s="1"/>
  <c r="Q801" i="4"/>
  <c r="R801" i="3" s="1"/>
  <c r="A803" i="4" l="1"/>
  <c r="A803" i="3" s="1"/>
  <c r="Q802" i="4"/>
  <c r="R802" i="3" s="1"/>
  <c r="A804" i="4" l="1"/>
  <c r="A804" i="3" s="1"/>
  <c r="Q803" i="4"/>
  <c r="R803" i="3" s="1"/>
  <c r="A805" i="4" l="1"/>
  <c r="A805" i="3" s="1"/>
  <c r="Q804" i="4"/>
  <c r="R804" i="3" s="1"/>
  <c r="A806" i="4" l="1"/>
  <c r="A806" i="3" s="1"/>
  <c r="Q805" i="4"/>
  <c r="R805" i="3" s="1"/>
  <c r="A807" i="4" l="1"/>
  <c r="A807" i="3" s="1"/>
  <c r="Q806" i="4"/>
  <c r="R806" i="3" s="1"/>
  <c r="A808" i="4" l="1"/>
  <c r="A808" i="3" s="1"/>
  <c r="Q807" i="4"/>
  <c r="R807" i="3" s="1"/>
  <c r="A809" i="4" l="1"/>
  <c r="A809" i="3" s="1"/>
  <c r="Q808" i="4"/>
  <c r="R808" i="3" s="1"/>
  <c r="A810" i="4" l="1"/>
  <c r="A810" i="3" s="1"/>
  <c r="Q809" i="4"/>
  <c r="R809" i="3" s="1"/>
  <c r="A811" i="4" l="1"/>
  <c r="A811" i="3" s="1"/>
  <c r="Q810" i="4"/>
  <c r="R810" i="3" s="1"/>
  <c r="A812" i="4" l="1"/>
  <c r="A812" i="3" s="1"/>
  <c r="Q811" i="4"/>
  <c r="R811" i="3" s="1"/>
  <c r="A813" i="4" l="1"/>
  <c r="A813" i="3" s="1"/>
  <c r="Q812" i="4"/>
  <c r="R812" i="3" s="1"/>
  <c r="A814" i="4" l="1"/>
  <c r="A814" i="3" s="1"/>
  <c r="Q813" i="4"/>
  <c r="R813" i="3" s="1"/>
  <c r="A815" i="4" l="1"/>
  <c r="A815" i="3" s="1"/>
  <c r="Q814" i="4"/>
  <c r="R814" i="3" s="1"/>
  <c r="A816" i="4" l="1"/>
  <c r="A816" i="3" s="1"/>
  <c r="Q815" i="4"/>
  <c r="R815" i="3" s="1"/>
  <c r="A817" i="4" l="1"/>
  <c r="A817" i="3" s="1"/>
  <c r="Q816" i="4"/>
  <c r="R816" i="3" s="1"/>
  <c r="A818" i="4" l="1"/>
  <c r="A818" i="3" s="1"/>
  <c r="Q817" i="4"/>
  <c r="R817" i="3" s="1"/>
  <c r="A819" i="4" l="1"/>
  <c r="A819" i="3" s="1"/>
  <c r="Q818" i="4"/>
  <c r="R818" i="3" s="1"/>
  <c r="A820" i="4" l="1"/>
  <c r="A820" i="3" s="1"/>
  <c r="Q819" i="4"/>
  <c r="R819" i="3" s="1"/>
  <c r="A821" i="4" l="1"/>
  <c r="A821" i="3" s="1"/>
  <c r="Q820" i="4"/>
  <c r="R820" i="3" s="1"/>
  <c r="A822" i="4" l="1"/>
  <c r="A822" i="3" s="1"/>
  <c r="Q821" i="4"/>
  <c r="R821" i="3" s="1"/>
  <c r="A823" i="4" l="1"/>
  <c r="A823" i="3" s="1"/>
  <c r="Q822" i="4"/>
  <c r="R822" i="3" s="1"/>
  <c r="A824" i="4" l="1"/>
  <c r="A824" i="3" s="1"/>
  <c r="Q823" i="4"/>
  <c r="R823" i="3" s="1"/>
  <c r="A825" i="4" l="1"/>
  <c r="A825" i="3" s="1"/>
  <c r="Q824" i="4"/>
  <c r="R824" i="3" s="1"/>
  <c r="A826" i="4" l="1"/>
  <c r="A826" i="3" s="1"/>
  <c r="Q825" i="4"/>
  <c r="R825" i="3" s="1"/>
  <c r="A827" i="4" l="1"/>
  <c r="A827" i="3" s="1"/>
  <c r="Q826" i="4"/>
  <c r="R826" i="3" s="1"/>
  <c r="A828" i="4" l="1"/>
  <c r="A828" i="3" s="1"/>
  <c r="Q827" i="4"/>
  <c r="R827" i="3" s="1"/>
  <c r="A829" i="4" l="1"/>
  <c r="A829" i="3" s="1"/>
  <c r="Q828" i="4"/>
  <c r="R828" i="3" s="1"/>
  <c r="A830" i="4" l="1"/>
  <c r="A830" i="3" s="1"/>
  <c r="Q829" i="4"/>
  <c r="R829" i="3" s="1"/>
  <c r="A831" i="4" l="1"/>
  <c r="A831" i="3" s="1"/>
  <c r="Q830" i="4"/>
  <c r="R830" i="3" s="1"/>
  <c r="A832" i="4" l="1"/>
  <c r="A832" i="3" s="1"/>
  <c r="Q831" i="4"/>
  <c r="R831" i="3" s="1"/>
  <c r="A833" i="4" l="1"/>
  <c r="A833" i="3" s="1"/>
  <c r="Q832" i="4"/>
  <c r="R832" i="3" s="1"/>
  <c r="A834" i="4" l="1"/>
  <c r="A834" i="3" s="1"/>
  <c r="Q833" i="4"/>
  <c r="R833" i="3" s="1"/>
  <c r="A835" i="4" l="1"/>
  <c r="A835" i="3" s="1"/>
  <c r="Q834" i="4"/>
  <c r="R834" i="3" s="1"/>
  <c r="A836" i="4" l="1"/>
  <c r="A836" i="3" s="1"/>
  <c r="Q835" i="4"/>
  <c r="R835" i="3" s="1"/>
  <c r="A837" i="4" l="1"/>
  <c r="A837" i="3" s="1"/>
  <c r="Q836" i="4"/>
  <c r="R836" i="3" s="1"/>
  <c r="A838" i="4" l="1"/>
  <c r="A838" i="3" s="1"/>
  <c r="Q837" i="4"/>
  <c r="R837" i="3" s="1"/>
  <c r="A839" i="4" l="1"/>
  <c r="A839" i="3" s="1"/>
  <c r="Q838" i="4"/>
  <c r="R838" i="3" s="1"/>
  <c r="A840" i="4" l="1"/>
  <c r="A840" i="3" s="1"/>
  <c r="Q839" i="4"/>
  <c r="R839" i="3" s="1"/>
  <c r="A841" i="4" l="1"/>
  <c r="A841" i="3" s="1"/>
  <c r="Q840" i="4"/>
  <c r="R840" i="3" s="1"/>
  <c r="A842" i="4" l="1"/>
  <c r="A842" i="3" s="1"/>
  <c r="Q841" i="4"/>
  <c r="R841" i="3" s="1"/>
  <c r="A843" i="4" l="1"/>
  <c r="A843" i="3" s="1"/>
  <c r="Q842" i="4"/>
  <c r="R842" i="3" s="1"/>
  <c r="A844" i="4" l="1"/>
  <c r="A844" i="3" s="1"/>
  <c r="Q843" i="4"/>
  <c r="R843" i="3" s="1"/>
  <c r="A845" i="4" l="1"/>
  <c r="A845" i="3" s="1"/>
  <c r="Q844" i="4"/>
  <c r="R844" i="3" s="1"/>
  <c r="A846" i="4" l="1"/>
  <c r="A846" i="3" s="1"/>
  <c r="Q845" i="4"/>
  <c r="R845" i="3" s="1"/>
  <c r="A847" i="4" l="1"/>
  <c r="A847" i="3" s="1"/>
  <c r="Q846" i="4"/>
  <c r="R846" i="3" s="1"/>
  <c r="A848" i="4" l="1"/>
  <c r="A848" i="3" s="1"/>
  <c r="Q847" i="4"/>
  <c r="R847" i="3" s="1"/>
  <c r="A849" i="4" l="1"/>
  <c r="A849" i="3" s="1"/>
  <c r="Q848" i="4"/>
  <c r="R848" i="3" s="1"/>
  <c r="A850" i="4" l="1"/>
  <c r="A850" i="3" s="1"/>
  <c r="Q849" i="4"/>
  <c r="R849" i="3" s="1"/>
  <c r="A851" i="4" l="1"/>
  <c r="A851" i="3" s="1"/>
  <c r="Q850" i="4"/>
  <c r="R850" i="3" s="1"/>
  <c r="A852" i="4" l="1"/>
  <c r="A852" i="3" s="1"/>
  <c r="Q851" i="4"/>
  <c r="R851" i="3" s="1"/>
  <c r="A853" i="4" l="1"/>
  <c r="A853" i="3" s="1"/>
  <c r="Q852" i="4"/>
  <c r="R852" i="3" s="1"/>
  <c r="A854" i="4" l="1"/>
  <c r="A854" i="3" s="1"/>
  <c r="Q853" i="4"/>
  <c r="R853" i="3" s="1"/>
  <c r="A855" i="4" l="1"/>
  <c r="A855" i="3" s="1"/>
  <c r="Q854" i="4"/>
  <c r="R854" i="3" s="1"/>
  <c r="A856" i="4" l="1"/>
  <c r="A856" i="3" s="1"/>
  <c r="Q855" i="4"/>
  <c r="R855" i="3" s="1"/>
  <c r="A857" i="4" l="1"/>
  <c r="A857" i="3" s="1"/>
  <c r="Q856" i="4"/>
  <c r="R856" i="3" s="1"/>
  <c r="A858" i="4" l="1"/>
  <c r="A858" i="3" s="1"/>
  <c r="Q857" i="4"/>
  <c r="R857" i="3" s="1"/>
  <c r="A859" i="4" l="1"/>
  <c r="A859" i="3" s="1"/>
  <c r="Q858" i="4"/>
  <c r="R858" i="3" s="1"/>
  <c r="A860" i="4" l="1"/>
  <c r="A860" i="3" s="1"/>
  <c r="Q859" i="4"/>
  <c r="R859" i="3" s="1"/>
  <c r="A861" i="4" l="1"/>
  <c r="A861" i="3" s="1"/>
  <c r="Q860" i="4"/>
  <c r="R860" i="3" s="1"/>
  <c r="A862" i="4" l="1"/>
  <c r="A862" i="3" s="1"/>
  <c r="Q861" i="4"/>
  <c r="R861" i="3" s="1"/>
  <c r="A863" i="4" l="1"/>
  <c r="A863" i="3" s="1"/>
  <c r="Q862" i="4"/>
  <c r="R862" i="3" s="1"/>
  <c r="A864" i="4" l="1"/>
  <c r="A864" i="3" s="1"/>
  <c r="Q863" i="4"/>
  <c r="R863" i="3" s="1"/>
  <c r="A865" i="4" l="1"/>
  <c r="A865" i="3" s="1"/>
  <c r="Q864" i="4"/>
  <c r="R864" i="3" s="1"/>
  <c r="A866" i="4" l="1"/>
  <c r="A866" i="3" s="1"/>
  <c r="Q865" i="4"/>
  <c r="R865" i="3" s="1"/>
  <c r="A867" i="4" l="1"/>
  <c r="A867" i="3" s="1"/>
  <c r="Q866" i="4"/>
  <c r="R866" i="3" s="1"/>
  <c r="A868" i="4" l="1"/>
  <c r="A868" i="3" s="1"/>
  <c r="Q867" i="4"/>
  <c r="R867" i="3" s="1"/>
  <c r="A869" i="4" l="1"/>
  <c r="A869" i="3" s="1"/>
  <c r="Q868" i="4"/>
  <c r="R868" i="3" s="1"/>
  <c r="A870" i="4" l="1"/>
  <c r="A870" i="3" s="1"/>
  <c r="Q869" i="4"/>
  <c r="R869" i="3" s="1"/>
  <c r="A871" i="4" l="1"/>
  <c r="A871" i="3" s="1"/>
  <c r="Q870" i="4"/>
  <c r="R870" i="3" s="1"/>
  <c r="A872" i="4" l="1"/>
  <c r="A872" i="3" s="1"/>
  <c r="Q871" i="4"/>
  <c r="R871" i="3" s="1"/>
  <c r="A873" i="4" l="1"/>
  <c r="A873" i="3" s="1"/>
  <c r="Q872" i="4"/>
  <c r="R872" i="3" s="1"/>
  <c r="A874" i="4" l="1"/>
  <c r="A874" i="3" s="1"/>
  <c r="Q873" i="4"/>
  <c r="R873" i="3" s="1"/>
  <c r="A875" i="4" l="1"/>
  <c r="A875" i="3" s="1"/>
  <c r="Q874" i="4"/>
  <c r="R874" i="3" s="1"/>
  <c r="A876" i="4" l="1"/>
  <c r="A876" i="3" s="1"/>
  <c r="Q875" i="4"/>
  <c r="R875" i="3" s="1"/>
  <c r="A877" i="4" l="1"/>
  <c r="A877" i="3" s="1"/>
  <c r="Q876" i="4"/>
  <c r="R876" i="3" s="1"/>
  <c r="A878" i="4" l="1"/>
  <c r="A878" i="3" s="1"/>
  <c r="Q877" i="4"/>
  <c r="R877" i="3" s="1"/>
  <c r="A879" i="4" l="1"/>
  <c r="A879" i="3" s="1"/>
  <c r="Q878" i="4"/>
  <c r="R878" i="3" s="1"/>
  <c r="A880" i="4" l="1"/>
  <c r="A880" i="3" s="1"/>
  <c r="Q879" i="4"/>
  <c r="R879" i="3" s="1"/>
  <c r="A881" i="4" l="1"/>
  <c r="A881" i="3" s="1"/>
  <c r="Q880" i="4"/>
  <c r="R880" i="3" s="1"/>
  <c r="A882" i="4" l="1"/>
  <c r="A882" i="3" s="1"/>
  <c r="Q881" i="4"/>
  <c r="R881" i="3" s="1"/>
  <c r="A883" i="4" l="1"/>
  <c r="A883" i="3" s="1"/>
  <c r="Q882" i="4"/>
  <c r="R882" i="3" s="1"/>
  <c r="A884" i="4" l="1"/>
  <c r="A884" i="3" s="1"/>
  <c r="Q883" i="4"/>
  <c r="R883" i="3" s="1"/>
  <c r="A885" i="4" l="1"/>
  <c r="A885" i="3" s="1"/>
  <c r="Q884" i="4"/>
  <c r="R884" i="3" s="1"/>
  <c r="A886" i="4" l="1"/>
  <c r="A886" i="3" s="1"/>
  <c r="Q885" i="4"/>
  <c r="R885" i="3" s="1"/>
  <c r="A887" i="4" l="1"/>
  <c r="A887" i="3" s="1"/>
  <c r="Q886" i="4"/>
  <c r="R886" i="3" s="1"/>
  <c r="A888" i="4" l="1"/>
  <c r="A888" i="3" s="1"/>
  <c r="Q887" i="4"/>
  <c r="R887" i="3" s="1"/>
  <c r="A889" i="4" l="1"/>
  <c r="A889" i="3" s="1"/>
  <c r="Q888" i="4"/>
  <c r="R888" i="3" s="1"/>
  <c r="A890" i="4" l="1"/>
  <c r="A890" i="3" s="1"/>
  <c r="Q889" i="4"/>
  <c r="R889" i="3" s="1"/>
  <c r="A891" i="4" l="1"/>
  <c r="A891" i="3" s="1"/>
  <c r="Q890" i="4"/>
  <c r="R890" i="3" s="1"/>
  <c r="A892" i="4" l="1"/>
  <c r="A892" i="3" s="1"/>
  <c r="Q891" i="4"/>
  <c r="R891" i="3" s="1"/>
  <c r="A893" i="4" l="1"/>
  <c r="A893" i="3" s="1"/>
  <c r="Q892" i="4"/>
  <c r="R892" i="3" s="1"/>
  <c r="A894" i="4" l="1"/>
  <c r="A894" i="3" s="1"/>
  <c r="Q893" i="4"/>
  <c r="R893" i="3" s="1"/>
  <c r="A895" i="4" l="1"/>
  <c r="A895" i="3" s="1"/>
  <c r="Q894" i="4"/>
  <c r="R894" i="3" s="1"/>
  <c r="A896" i="4" l="1"/>
  <c r="A896" i="3" s="1"/>
  <c r="Q895" i="4"/>
  <c r="R895" i="3" s="1"/>
  <c r="A897" i="4" l="1"/>
  <c r="A897" i="3" s="1"/>
  <c r="Q896" i="4"/>
  <c r="R896" i="3" s="1"/>
  <c r="A898" i="4" l="1"/>
  <c r="A898" i="3" s="1"/>
  <c r="Q897" i="4"/>
  <c r="R897" i="3" s="1"/>
  <c r="A899" i="4" l="1"/>
  <c r="A899" i="3" s="1"/>
  <c r="Q898" i="4"/>
  <c r="R898" i="3" s="1"/>
  <c r="A900" i="4" l="1"/>
  <c r="A900" i="3" s="1"/>
  <c r="Q899" i="4"/>
  <c r="R899" i="3" s="1"/>
  <c r="A901" i="4" l="1"/>
  <c r="A901" i="3" s="1"/>
  <c r="Q900" i="4"/>
  <c r="R900" i="3" s="1"/>
  <c r="A902" i="4" l="1"/>
  <c r="A902" i="3" s="1"/>
  <c r="Q901" i="4"/>
  <c r="R901" i="3" s="1"/>
  <c r="A903" i="4" l="1"/>
  <c r="A903" i="3" s="1"/>
  <c r="Q902" i="4"/>
  <c r="R902" i="3" s="1"/>
  <c r="A904" i="4" l="1"/>
  <c r="A904" i="3" s="1"/>
  <c r="Q903" i="4"/>
  <c r="R903" i="3" s="1"/>
  <c r="A905" i="4" l="1"/>
  <c r="A905" i="3" s="1"/>
  <c r="Q904" i="4"/>
  <c r="R904" i="3" s="1"/>
  <c r="A906" i="4" l="1"/>
  <c r="A906" i="3" s="1"/>
  <c r="Q905" i="4"/>
  <c r="R905" i="3" s="1"/>
  <c r="A907" i="4" l="1"/>
  <c r="A907" i="3" s="1"/>
  <c r="Q906" i="4"/>
  <c r="R906" i="3" s="1"/>
  <c r="A908" i="4" l="1"/>
  <c r="A908" i="3" s="1"/>
  <c r="Q907" i="4"/>
  <c r="R907" i="3" s="1"/>
  <c r="A909" i="4" l="1"/>
  <c r="A909" i="3" s="1"/>
  <c r="Q908" i="4"/>
  <c r="R908" i="3" s="1"/>
  <c r="A910" i="4" l="1"/>
  <c r="A910" i="3" s="1"/>
  <c r="Q909" i="4"/>
  <c r="R909" i="3" s="1"/>
  <c r="A911" i="4" l="1"/>
  <c r="A911" i="3" s="1"/>
  <c r="Q910" i="4"/>
  <c r="R910" i="3" s="1"/>
  <c r="A912" i="4" l="1"/>
  <c r="A912" i="3" s="1"/>
  <c r="Q911" i="4"/>
  <c r="R911" i="3" s="1"/>
  <c r="A913" i="4" l="1"/>
  <c r="A913" i="3" s="1"/>
  <c r="Q912" i="4"/>
  <c r="R912" i="3" s="1"/>
  <c r="A914" i="4" l="1"/>
  <c r="A914" i="3" s="1"/>
  <c r="Q913" i="4"/>
  <c r="R913" i="3" s="1"/>
  <c r="A915" i="4" l="1"/>
  <c r="A915" i="3" s="1"/>
  <c r="Q914" i="4"/>
  <c r="R914" i="3" s="1"/>
  <c r="A916" i="4" l="1"/>
  <c r="A916" i="3" s="1"/>
  <c r="Q915" i="4"/>
  <c r="R915" i="3" s="1"/>
  <c r="A917" i="4" l="1"/>
  <c r="A917" i="3" s="1"/>
  <c r="Q916" i="4"/>
  <c r="R916" i="3" s="1"/>
  <c r="A918" i="4" l="1"/>
  <c r="A918" i="3" s="1"/>
  <c r="Q917" i="4"/>
  <c r="R917" i="3" s="1"/>
  <c r="A919" i="4" l="1"/>
  <c r="A919" i="3" s="1"/>
  <c r="Q918" i="4"/>
  <c r="R918" i="3" s="1"/>
  <c r="A920" i="4" l="1"/>
  <c r="A920" i="3" s="1"/>
  <c r="Q919" i="4"/>
  <c r="R919" i="3" s="1"/>
  <c r="A921" i="4" l="1"/>
  <c r="A921" i="3" s="1"/>
  <c r="Q920" i="4"/>
  <c r="R920" i="3" s="1"/>
  <c r="A922" i="4" l="1"/>
  <c r="A922" i="3" s="1"/>
  <c r="Q921" i="4"/>
  <c r="R921" i="3" s="1"/>
  <c r="A923" i="4" l="1"/>
  <c r="A923" i="3" s="1"/>
  <c r="Q922" i="4"/>
  <c r="R922" i="3" s="1"/>
  <c r="A924" i="4" l="1"/>
  <c r="A924" i="3" s="1"/>
  <c r="Q923" i="4"/>
  <c r="R923" i="3" s="1"/>
  <c r="A925" i="4" l="1"/>
  <c r="A925" i="3" s="1"/>
  <c r="Q924" i="4"/>
  <c r="R924" i="3" s="1"/>
  <c r="A926" i="4" l="1"/>
  <c r="A926" i="3" s="1"/>
  <c r="Q925" i="4"/>
  <c r="R925" i="3" s="1"/>
  <c r="A927" i="4" l="1"/>
  <c r="A927" i="3" s="1"/>
  <c r="Q926" i="4"/>
  <c r="R926" i="3" s="1"/>
  <c r="A928" i="4" l="1"/>
  <c r="A928" i="3" s="1"/>
  <c r="Q927" i="4"/>
  <c r="R927" i="3" s="1"/>
  <c r="A929" i="4" l="1"/>
  <c r="A929" i="3" s="1"/>
  <c r="Q928" i="4"/>
  <c r="R928" i="3" s="1"/>
  <c r="A930" i="4" l="1"/>
  <c r="A930" i="3" s="1"/>
  <c r="Q929" i="4"/>
  <c r="R929" i="3" s="1"/>
  <c r="A931" i="4" l="1"/>
  <c r="A931" i="3" s="1"/>
  <c r="Q930" i="4"/>
  <c r="R930" i="3" s="1"/>
  <c r="A932" i="4" l="1"/>
  <c r="A932" i="3" s="1"/>
  <c r="Q931" i="4"/>
  <c r="R931" i="3" s="1"/>
  <c r="A933" i="4" l="1"/>
  <c r="A933" i="3" s="1"/>
  <c r="Q932" i="4"/>
  <c r="R932" i="3" s="1"/>
  <c r="A934" i="4" l="1"/>
  <c r="A934" i="3" s="1"/>
  <c r="Q933" i="4"/>
  <c r="R933" i="3" s="1"/>
  <c r="A935" i="4" l="1"/>
  <c r="A935" i="3" s="1"/>
  <c r="Q934" i="4"/>
  <c r="R934" i="3" s="1"/>
  <c r="A936" i="4" l="1"/>
  <c r="A936" i="3" s="1"/>
  <c r="Q935" i="4"/>
  <c r="R935" i="3" s="1"/>
  <c r="A937" i="4" l="1"/>
  <c r="A937" i="3" s="1"/>
  <c r="Q936" i="4"/>
  <c r="R936" i="3" s="1"/>
  <c r="A938" i="4" l="1"/>
  <c r="A938" i="3" s="1"/>
  <c r="Q937" i="4"/>
  <c r="R937" i="3" s="1"/>
  <c r="A939" i="4" l="1"/>
  <c r="A939" i="3" s="1"/>
  <c r="Q938" i="4"/>
  <c r="R938" i="3" s="1"/>
  <c r="A940" i="4" l="1"/>
  <c r="A940" i="3" s="1"/>
  <c r="Q939" i="4"/>
  <c r="R939" i="3" s="1"/>
  <c r="A941" i="4" l="1"/>
  <c r="A941" i="3" s="1"/>
  <c r="Q940" i="4"/>
  <c r="R940" i="3" s="1"/>
  <c r="A942" i="4" l="1"/>
  <c r="A942" i="3" s="1"/>
  <c r="Q941" i="4"/>
  <c r="R941" i="3" s="1"/>
  <c r="A943" i="4" l="1"/>
  <c r="A943" i="3" s="1"/>
  <c r="Q942" i="4"/>
  <c r="R942" i="3" s="1"/>
  <c r="A944" i="4" l="1"/>
  <c r="A944" i="3" s="1"/>
  <c r="Q943" i="4"/>
  <c r="R943" i="3" s="1"/>
  <c r="A945" i="4" l="1"/>
  <c r="A945" i="3" s="1"/>
  <c r="Q944" i="4"/>
  <c r="R944" i="3" s="1"/>
  <c r="A946" i="4" l="1"/>
  <c r="A946" i="3" s="1"/>
  <c r="Q945" i="4"/>
  <c r="R945" i="3" s="1"/>
  <c r="A947" i="4" l="1"/>
  <c r="A947" i="3" s="1"/>
  <c r="Q946" i="4"/>
  <c r="R946" i="3" s="1"/>
  <c r="A948" i="4" l="1"/>
  <c r="A948" i="3" s="1"/>
  <c r="Q947" i="4"/>
  <c r="R947" i="3" s="1"/>
  <c r="A949" i="4" l="1"/>
  <c r="A949" i="3" s="1"/>
  <c r="Q948" i="4"/>
  <c r="R948" i="3" s="1"/>
  <c r="A950" i="4" l="1"/>
  <c r="A950" i="3" s="1"/>
  <c r="Q949" i="4"/>
  <c r="R949" i="3" s="1"/>
  <c r="A951" i="4" l="1"/>
  <c r="A951" i="3" s="1"/>
  <c r="Q950" i="4"/>
  <c r="R950" i="3" s="1"/>
  <c r="A952" i="4" l="1"/>
  <c r="A952" i="3" s="1"/>
  <c r="Q951" i="4"/>
  <c r="R951" i="3" s="1"/>
  <c r="A953" i="4" l="1"/>
  <c r="A953" i="3" s="1"/>
  <c r="Q952" i="4"/>
  <c r="R952" i="3" s="1"/>
  <c r="A954" i="4" l="1"/>
  <c r="A954" i="3" s="1"/>
  <c r="Q953" i="4"/>
  <c r="R953" i="3" s="1"/>
  <c r="A955" i="4" l="1"/>
  <c r="A955" i="3" s="1"/>
  <c r="Q954" i="4"/>
  <c r="R954" i="3" s="1"/>
  <c r="A956" i="4" l="1"/>
  <c r="A956" i="3" s="1"/>
  <c r="Q955" i="4"/>
  <c r="R955" i="3" s="1"/>
  <c r="A957" i="4" l="1"/>
  <c r="A957" i="3" s="1"/>
  <c r="Q956" i="4"/>
  <c r="R956" i="3" s="1"/>
  <c r="A958" i="4" l="1"/>
  <c r="A958" i="3" s="1"/>
  <c r="Q957" i="4"/>
  <c r="R957" i="3" s="1"/>
  <c r="A959" i="4" l="1"/>
  <c r="A959" i="3" s="1"/>
  <c r="Q958" i="4"/>
  <c r="R958" i="3" s="1"/>
  <c r="A960" i="4" l="1"/>
  <c r="A960" i="3" s="1"/>
  <c r="Q959" i="4"/>
  <c r="R959" i="3" s="1"/>
  <c r="A961" i="4" l="1"/>
  <c r="A961" i="3" s="1"/>
  <c r="Q960" i="4"/>
  <c r="R960" i="3" s="1"/>
  <c r="A962" i="4" l="1"/>
  <c r="A962" i="3" s="1"/>
  <c r="Q961" i="4"/>
  <c r="R961" i="3" s="1"/>
  <c r="A963" i="4" l="1"/>
  <c r="A963" i="3" s="1"/>
  <c r="Q962" i="4"/>
  <c r="R962" i="3" s="1"/>
  <c r="A964" i="4" l="1"/>
  <c r="A964" i="3" s="1"/>
  <c r="Q963" i="4"/>
  <c r="R963" i="3" s="1"/>
  <c r="A965" i="4" l="1"/>
  <c r="A965" i="3" s="1"/>
  <c r="Q964" i="4"/>
  <c r="R964" i="3" s="1"/>
  <c r="A966" i="4" l="1"/>
  <c r="A966" i="3" s="1"/>
  <c r="Q965" i="4"/>
  <c r="R965" i="3" s="1"/>
  <c r="A967" i="4" l="1"/>
  <c r="A967" i="3" s="1"/>
  <c r="Q966" i="4"/>
  <c r="R966" i="3" s="1"/>
  <c r="A968" i="4" l="1"/>
  <c r="A968" i="3" s="1"/>
  <c r="Q967" i="4"/>
  <c r="R967" i="3" s="1"/>
  <c r="A969" i="4" l="1"/>
  <c r="A969" i="3" s="1"/>
  <c r="Q968" i="4"/>
  <c r="R968" i="3" s="1"/>
  <c r="A970" i="4" l="1"/>
  <c r="A970" i="3" s="1"/>
  <c r="Q969" i="4"/>
  <c r="R969" i="3" s="1"/>
  <c r="A971" i="4" l="1"/>
  <c r="A971" i="3" s="1"/>
  <c r="Q970" i="4"/>
  <c r="R970" i="3" s="1"/>
  <c r="A972" i="4" l="1"/>
  <c r="A972" i="3" s="1"/>
  <c r="Q971" i="4"/>
  <c r="R971" i="3" s="1"/>
  <c r="A973" i="4" l="1"/>
  <c r="A973" i="3" s="1"/>
  <c r="Q972" i="4"/>
  <c r="R972" i="3" s="1"/>
  <c r="A974" i="4" l="1"/>
  <c r="A974" i="3" s="1"/>
  <c r="Q973" i="4"/>
  <c r="R973" i="3" s="1"/>
  <c r="A975" i="4" l="1"/>
  <c r="A975" i="3" s="1"/>
  <c r="Q974" i="4"/>
  <c r="R974" i="3" s="1"/>
  <c r="A976" i="4" l="1"/>
  <c r="A976" i="3" s="1"/>
  <c r="Q975" i="4"/>
  <c r="R975" i="3" s="1"/>
  <c r="A977" i="4" l="1"/>
  <c r="A977" i="3" s="1"/>
  <c r="Q976" i="4"/>
  <c r="R976" i="3" s="1"/>
  <c r="A978" i="4" l="1"/>
  <c r="A978" i="3" s="1"/>
  <c r="Q977" i="4"/>
  <c r="R977" i="3" s="1"/>
  <c r="A979" i="4" l="1"/>
  <c r="A979" i="3" s="1"/>
  <c r="Q978" i="4"/>
  <c r="R978" i="3" s="1"/>
  <c r="A980" i="4" l="1"/>
  <c r="A980" i="3" s="1"/>
  <c r="Q979" i="4"/>
  <c r="R979" i="3" s="1"/>
  <c r="A981" i="4" l="1"/>
  <c r="A981" i="3" s="1"/>
  <c r="Q980" i="4"/>
  <c r="R980" i="3" s="1"/>
  <c r="A982" i="4" l="1"/>
  <c r="A982" i="3" s="1"/>
  <c r="Q981" i="4"/>
  <c r="R981" i="3" s="1"/>
  <c r="A983" i="4" l="1"/>
  <c r="A983" i="3" s="1"/>
  <c r="Q982" i="4"/>
  <c r="R982" i="3" s="1"/>
  <c r="A984" i="4" l="1"/>
  <c r="A984" i="3" s="1"/>
  <c r="Q983" i="4"/>
  <c r="R983" i="3" s="1"/>
  <c r="A985" i="4" l="1"/>
  <c r="A985" i="3" s="1"/>
  <c r="Q984" i="4"/>
  <c r="R984" i="3" s="1"/>
  <c r="A986" i="4" l="1"/>
  <c r="A986" i="3" s="1"/>
  <c r="Q985" i="4"/>
  <c r="R985" i="3" s="1"/>
  <c r="A987" i="4" l="1"/>
  <c r="A987" i="3" s="1"/>
  <c r="Q986" i="4"/>
  <c r="R986" i="3" s="1"/>
  <c r="A988" i="4" l="1"/>
  <c r="A988" i="3" s="1"/>
  <c r="Q987" i="4"/>
  <c r="R987" i="3" s="1"/>
  <c r="A989" i="4" l="1"/>
  <c r="A989" i="3" s="1"/>
  <c r="Q988" i="4"/>
  <c r="R988" i="3" s="1"/>
  <c r="A990" i="4" l="1"/>
  <c r="A990" i="3" s="1"/>
  <c r="Q989" i="4"/>
  <c r="R989" i="3" s="1"/>
  <c r="A991" i="4" l="1"/>
  <c r="A991" i="3" s="1"/>
  <c r="Q990" i="4"/>
  <c r="R990" i="3" s="1"/>
  <c r="A992" i="4" l="1"/>
  <c r="A992" i="3" s="1"/>
  <c r="Q991" i="4"/>
  <c r="R991" i="3" s="1"/>
  <c r="A993" i="4" l="1"/>
  <c r="A993" i="3" s="1"/>
  <c r="Q992" i="4"/>
  <c r="R992" i="3" s="1"/>
  <c r="A994" i="4" l="1"/>
  <c r="A994" i="3" s="1"/>
  <c r="Q993" i="4"/>
  <c r="R993" i="3" s="1"/>
  <c r="A995" i="4" l="1"/>
  <c r="A995" i="3" s="1"/>
  <c r="Q994" i="4"/>
  <c r="R994" i="3" s="1"/>
  <c r="A996" i="4" l="1"/>
  <c r="A996" i="3" s="1"/>
  <c r="Q995" i="4"/>
  <c r="R995" i="3" s="1"/>
  <c r="A997" i="4" l="1"/>
  <c r="A997" i="3" s="1"/>
  <c r="Q996" i="4"/>
  <c r="R996" i="3" s="1"/>
  <c r="A998" i="4" l="1"/>
  <c r="A998" i="3" s="1"/>
  <c r="Q997" i="4"/>
  <c r="R997" i="3" s="1"/>
  <c r="A999" i="4" l="1"/>
  <c r="Q998" i="4"/>
  <c r="R998" i="3" s="1"/>
  <c r="Q999" i="4" l="1"/>
  <c r="R999" i="3" s="1"/>
  <c r="A99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Herman Autore</author>
  </authors>
  <commentList>
    <comment ref="C4" authorId="0" shapeId="0" xr:uid="{9703F7E1-3E36-AC48-959D-F1AD231A0C8E}">
      <text>
        <r>
          <rPr>
            <b/>
            <sz val="10"/>
            <color rgb="FF000000"/>
            <rFont val="Tahoma"/>
            <family val="2"/>
          </rPr>
          <t>Herman Autore: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5 mg Oxycodone,
</t>
        </r>
        <r>
          <rPr>
            <sz val="10"/>
            <color rgb="FF000000"/>
            <rFont val="Tahoma"/>
            <family val="2"/>
          </rPr>
          <t>325 mg Tylenol</t>
        </r>
      </text>
    </comment>
  </commentList>
</comments>
</file>

<file path=xl/sharedStrings.xml><?xml version="1.0" encoding="utf-8"?>
<sst xmlns="http://schemas.openxmlformats.org/spreadsheetml/2006/main" count="7192" uniqueCount="1314">
  <si>
    <t>Patient ID</t>
  </si>
  <si>
    <t>Start Time and Date</t>
  </si>
  <si>
    <t>End Date and Time</t>
  </si>
  <si>
    <t>Age</t>
  </si>
  <si>
    <t>Race</t>
  </si>
  <si>
    <t>Type of Delivery</t>
  </si>
  <si>
    <t>Date and Time</t>
  </si>
  <si>
    <t>Pain Medication</t>
  </si>
  <si>
    <t>Dose</t>
  </si>
  <si>
    <t>Pain Intensity Rating (After Medication)</t>
  </si>
  <si>
    <t>Pain Intensity Rating (Before Medication)</t>
  </si>
  <si>
    <t>Frequency of Pain Medication Used</t>
  </si>
  <si>
    <t>CH001</t>
  </si>
  <si>
    <t>6/16/2018 1849</t>
  </si>
  <si>
    <t>White</t>
  </si>
  <si>
    <t>SVD</t>
  </si>
  <si>
    <t>6/15/18 2216</t>
  </si>
  <si>
    <t>Ibuprofen</t>
  </si>
  <si>
    <t>6/16/18 0510</t>
  </si>
  <si>
    <t>6/16/2018 1025</t>
  </si>
  <si>
    <t>6/16/18 1849</t>
  </si>
  <si>
    <t>KV002</t>
  </si>
  <si>
    <t>06/15/18 0100</t>
  </si>
  <si>
    <t>6/15/18 0538</t>
  </si>
  <si>
    <t>6/15/18 1533</t>
  </si>
  <si>
    <t>6/16/18 0220</t>
  </si>
  <si>
    <t>NA</t>
  </si>
  <si>
    <t>AK003</t>
  </si>
  <si>
    <t>6/15/18 1500</t>
  </si>
  <si>
    <t>6/16/18 0942</t>
  </si>
  <si>
    <t>Caesarean</t>
  </si>
  <si>
    <t>6/15/18 1550</t>
  </si>
  <si>
    <t>No F/u</t>
  </si>
  <si>
    <t>6/16/18 0835</t>
  </si>
  <si>
    <t>JC004</t>
  </si>
  <si>
    <t>6/17/18 0702</t>
  </si>
  <si>
    <t>Black</t>
  </si>
  <si>
    <t>6/16/18 0910</t>
  </si>
  <si>
    <t>Tylenol</t>
  </si>
  <si>
    <t>6/16/18 1236</t>
  </si>
  <si>
    <t>06/16/18 1236</t>
  </si>
  <si>
    <t>1 tab</t>
  </si>
  <si>
    <t>6/16/18 2211</t>
  </si>
  <si>
    <t>Perocet</t>
  </si>
  <si>
    <t>Toradel</t>
  </si>
  <si>
    <t>Name</t>
  </si>
  <si>
    <t>Shortcut</t>
  </si>
  <si>
    <t>G5005</t>
  </si>
  <si>
    <t>6/15/18 1030</t>
  </si>
  <si>
    <t>6/16/18 0805</t>
  </si>
  <si>
    <t>6/15/18 1521</t>
  </si>
  <si>
    <t>6/15/18 2051</t>
  </si>
  <si>
    <t>6/16/18 0132</t>
  </si>
  <si>
    <t>6/16/18 0455</t>
  </si>
  <si>
    <t>2 tabs</t>
  </si>
  <si>
    <t>KK006</t>
  </si>
  <si>
    <t>6/16/18 0315</t>
  </si>
  <si>
    <t>6/17/18 0313</t>
  </si>
  <si>
    <t>6/16/18 1011</t>
  </si>
  <si>
    <t>6/16/18 2021</t>
  </si>
  <si>
    <t>JM007</t>
  </si>
  <si>
    <t>6/16/18 0802</t>
  </si>
  <si>
    <t>6/17/18 0555</t>
  </si>
  <si>
    <t>6/16/18 0827</t>
  </si>
  <si>
    <t>06/16/18 1433</t>
  </si>
  <si>
    <t>6/16/18 2003</t>
  </si>
  <si>
    <t>1 or 2</t>
  </si>
  <si>
    <t>2D008</t>
  </si>
  <si>
    <t>6/15/18 1936</t>
  </si>
  <si>
    <t>6/16/18 1724</t>
  </si>
  <si>
    <t>6/16/18 0750</t>
  </si>
  <si>
    <t>6/16/18 0804</t>
  </si>
  <si>
    <t>6/16/18 1245</t>
  </si>
  <si>
    <t>6/16/18 1414</t>
  </si>
  <si>
    <t>Question</t>
  </si>
  <si>
    <t>x</t>
  </si>
  <si>
    <t>MR009</t>
  </si>
  <si>
    <t>06/16/18 1445</t>
  </si>
  <si>
    <t>6/17/18 1336</t>
  </si>
  <si>
    <t>6/16/18 1235</t>
  </si>
  <si>
    <t>6/17/18 0035</t>
  </si>
  <si>
    <t>6/17/18 0726</t>
  </si>
  <si>
    <t>6/17/18 1058</t>
  </si>
  <si>
    <t>RL010</t>
  </si>
  <si>
    <t>6/16/18 0414</t>
  </si>
  <si>
    <t>6/16/18 2220</t>
  </si>
  <si>
    <t>6/16/18 0736</t>
  </si>
  <si>
    <t>6/16/18 1321</t>
  </si>
  <si>
    <t>RB011</t>
  </si>
  <si>
    <t>6/18/18 2100</t>
  </si>
  <si>
    <t>6/18/18 2156</t>
  </si>
  <si>
    <t>6/19/18 0430</t>
  </si>
  <si>
    <t>6/19/18 1003</t>
  </si>
  <si>
    <t>6/19/18 1338</t>
  </si>
  <si>
    <t>6/19/18 1651</t>
  </si>
  <si>
    <t>JL012</t>
  </si>
  <si>
    <t>6/16/18 1435</t>
  </si>
  <si>
    <t>6/17/18 1345</t>
  </si>
  <si>
    <t>6/16/18 1631</t>
  </si>
  <si>
    <t>6/16/18 2252</t>
  </si>
  <si>
    <t>6/17/18 0142</t>
  </si>
  <si>
    <t>6/17/18 0621</t>
  </si>
  <si>
    <t>06/17/18 0814</t>
  </si>
  <si>
    <t>BC013</t>
  </si>
  <si>
    <t>6/17/18 0140</t>
  </si>
  <si>
    <t>06/18/18 0100</t>
  </si>
  <si>
    <t>6/17/18 0829</t>
  </si>
  <si>
    <t>6/17/18 1201</t>
  </si>
  <si>
    <t>6/17/18 1414</t>
  </si>
  <si>
    <t>6/17/18 1610</t>
  </si>
  <si>
    <t>AV014</t>
  </si>
  <si>
    <t>6/17/18 1524</t>
  </si>
  <si>
    <t>6/18/18 1524</t>
  </si>
  <si>
    <t>Hispanic</t>
  </si>
  <si>
    <t>Comment</t>
  </si>
  <si>
    <t>Received no pain medications</t>
  </si>
  <si>
    <t>LZ015</t>
  </si>
  <si>
    <t>6/18/18 0345</t>
  </si>
  <si>
    <t>Asian</t>
  </si>
  <si>
    <t>JB016</t>
  </si>
  <si>
    <t>6/18/18 0230</t>
  </si>
  <si>
    <t>6/19/18 0251</t>
  </si>
  <si>
    <t>6/18/18 0700</t>
  </si>
  <si>
    <t>6/18/18 1500</t>
  </si>
  <si>
    <t>AE017</t>
  </si>
  <si>
    <t>6/17/18 0130</t>
  </si>
  <si>
    <t>6/18/18 2024</t>
  </si>
  <si>
    <t>6/17/18 0549</t>
  </si>
  <si>
    <t>6/17/18 1321</t>
  </si>
  <si>
    <t>6/17/18 2024</t>
  </si>
  <si>
    <t>SR018</t>
  </si>
  <si>
    <t>6/16/18 2320</t>
  </si>
  <si>
    <t>6/17/18 2252</t>
  </si>
  <si>
    <t>6/17/18 0350</t>
  </si>
  <si>
    <t>6/17/18 1016</t>
  </si>
  <si>
    <t>6/17/18 1613</t>
  </si>
  <si>
    <t>6/17/18 2112</t>
  </si>
  <si>
    <t>JM019</t>
  </si>
  <si>
    <t>6/22/18 1050</t>
  </si>
  <si>
    <t>6/23/18 0609</t>
  </si>
  <si>
    <t>6/22/18 1234</t>
  </si>
  <si>
    <t>6/22/18 1822</t>
  </si>
  <si>
    <t>6/23/18 0006</t>
  </si>
  <si>
    <t>CW020</t>
  </si>
  <si>
    <t>6/25/18 1815</t>
  </si>
  <si>
    <t>6/26/18 1534</t>
  </si>
  <si>
    <t>Other</t>
  </si>
  <si>
    <t>6/25/18 1921</t>
  </si>
  <si>
    <t>6/26/18 0125</t>
  </si>
  <si>
    <t>6/26/18 0750</t>
  </si>
  <si>
    <t>6/26/18 1236</t>
  </si>
  <si>
    <t>RE021</t>
  </si>
  <si>
    <t>6/18/18 2120</t>
  </si>
  <si>
    <t>6/19/18 2120</t>
  </si>
  <si>
    <t>6/19/18 0610</t>
  </si>
  <si>
    <t>6/19/18 1423</t>
  </si>
  <si>
    <t>MF022</t>
  </si>
  <si>
    <t>6/18/18 1550</t>
  </si>
  <si>
    <t>6/19/18 0307</t>
  </si>
  <si>
    <t>6/18/18 1942</t>
  </si>
  <si>
    <t>QH023</t>
  </si>
  <si>
    <t>6/18/18 0835</t>
  </si>
  <si>
    <t>6/19/18 0835</t>
  </si>
  <si>
    <t>DB024</t>
  </si>
  <si>
    <t>6/18/18 0425</t>
  </si>
  <si>
    <t>6/18/18 2043</t>
  </si>
  <si>
    <t>JA025</t>
  </si>
  <si>
    <t>6/19/18 0115</t>
  </si>
  <si>
    <t>6/20/18 0052</t>
  </si>
  <si>
    <t>6/19/18 1213</t>
  </si>
  <si>
    <t>6/19/18 1807</t>
  </si>
  <si>
    <t>MV026</t>
  </si>
  <si>
    <t>6/17/18 1400</t>
  </si>
  <si>
    <t>6/18/18 1022</t>
  </si>
  <si>
    <t>6/17/18 1401</t>
  </si>
  <si>
    <t>6/17/18 2129</t>
  </si>
  <si>
    <t>6/18/19 0451</t>
  </si>
  <si>
    <t>6/18/19 1022</t>
  </si>
  <si>
    <t>SN027</t>
  </si>
  <si>
    <t>6/17/18 1202</t>
  </si>
  <si>
    <t>6/18/18 1019</t>
  </si>
  <si>
    <t>6/18/18 0106</t>
  </si>
  <si>
    <t>6/18/19 1019</t>
  </si>
  <si>
    <t>KG028</t>
  </si>
  <si>
    <t>6/18/18 1230</t>
  </si>
  <si>
    <t>6/19/18 1017</t>
  </si>
  <si>
    <t>6/19/18 0801</t>
  </si>
  <si>
    <t>AC029</t>
  </si>
  <si>
    <t>6/21/18 0101</t>
  </si>
  <si>
    <t>6/21/18 2149</t>
  </si>
  <si>
    <t>6/21/18 0729</t>
  </si>
  <si>
    <t>6/21/18 1245</t>
  </si>
  <si>
    <t>6/21/18 0859</t>
  </si>
  <si>
    <t>6/21/18 1333</t>
  </si>
  <si>
    <t>6/21/18 1747</t>
  </si>
  <si>
    <t>AR030</t>
  </si>
  <si>
    <t>6/22/18 1229</t>
  </si>
  <si>
    <t>6/21/18 1422</t>
  </si>
  <si>
    <t>6/21/18 2144</t>
  </si>
  <si>
    <t>SS031</t>
  </si>
  <si>
    <t>6/22/18 0510</t>
  </si>
  <si>
    <t>Arrival time 0101 or 0132?</t>
  </si>
  <si>
    <t>6/23/18 0138</t>
  </si>
  <si>
    <t>BW - Black/White</t>
  </si>
  <si>
    <t>6/22/18 0614</t>
  </si>
  <si>
    <t>6/22/18 1225</t>
  </si>
  <si>
    <t>6/22/18 1836</t>
  </si>
  <si>
    <t>LT032</t>
  </si>
  <si>
    <t>6/21/18 0330</t>
  </si>
  <si>
    <t>6/22/18 0117</t>
  </si>
  <si>
    <t>6/21/18 0453</t>
  </si>
  <si>
    <t>6/21/18 2059</t>
  </si>
  <si>
    <t>6/22/18 0017</t>
  </si>
  <si>
    <t>LY033</t>
  </si>
  <si>
    <t>6/21/18 0300</t>
  </si>
  <si>
    <t>6/21/18 2211</t>
  </si>
  <si>
    <t>6/21/18 1009</t>
  </si>
  <si>
    <t>6/21/18 1556</t>
  </si>
  <si>
    <t>AM034</t>
  </si>
  <si>
    <t>6/22/18 0205</t>
  </si>
  <si>
    <t>6/22/18 2211</t>
  </si>
  <si>
    <t>6/22/18 1618</t>
  </si>
  <si>
    <t>SW035</t>
  </si>
  <si>
    <t>6/20/18 1035</t>
  </si>
  <si>
    <t>6/21/18 1035</t>
  </si>
  <si>
    <t>LS036</t>
  </si>
  <si>
    <t>6/21/18 0750</t>
  </si>
  <si>
    <t>6/22/18 0450</t>
  </si>
  <si>
    <t>6/21/18 1310</t>
  </si>
  <si>
    <t>6/21/18 1918</t>
  </si>
  <si>
    <t>KH037</t>
  </si>
  <si>
    <t>6/21/18 1655</t>
  </si>
  <si>
    <t>6/21/18 1657</t>
  </si>
  <si>
    <t>6/21/18 2037</t>
  </si>
  <si>
    <t>6/22/18 0952</t>
  </si>
  <si>
    <t>DD - Missing Data</t>
  </si>
  <si>
    <t>AH038</t>
  </si>
  <si>
    <t>6/22/18 0420</t>
  </si>
  <si>
    <t>6/22/18 2139</t>
  </si>
  <si>
    <t>6/22/18 0857</t>
  </si>
  <si>
    <t>6/22/18 1534</t>
  </si>
  <si>
    <t>NL039</t>
  </si>
  <si>
    <t>6/22/18 0530</t>
  </si>
  <si>
    <t>6/22/18 1820</t>
  </si>
  <si>
    <t>bb - Black</t>
  </si>
  <si>
    <t>bb - Ibuprofen</t>
  </si>
  <si>
    <t>VF040</t>
  </si>
  <si>
    <t>6/21/18 1200</t>
  </si>
  <si>
    <t>6/22/18 1200</t>
  </si>
  <si>
    <t>AN041</t>
  </si>
  <si>
    <t>6/21/18 0820</t>
  </si>
  <si>
    <t>6=22=18 0817</t>
  </si>
  <si>
    <t>6=21=18 0922</t>
  </si>
  <si>
    <t>6=21=18 1513</t>
  </si>
  <si>
    <t>6=21=18 2144</t>
  </si>
  <si>
    <t>6=22=18 0130</t>
  </si>
  <si>
    <t>tr - Toradol</t>
  </si>
  <si>
    <t>JV0424</t>
  </si>
  <si>
    <t>6=21=18 1234</t>
  </si>
  <si>
    <t>6=20=18 2221</t>
  </si>
  <si>
    <t>6=21=18 0209</t>
  </si>
  <si>
    <t>6=21=18 0751</t>
  </si>
  <si>
    <t>6=21=18 0818</t>
  </si>
  <si>
    <t>rr - Percocet</t>
  </si>
  <si>
    <t>KK043</t>
  </si>
  <si>
    <t>6=23=18 0248</t>
  </si>
  <si>
    <t>6=22=18 1234</t>
  </si>
  <si>
    <t>6=22=18 2031</t>
  </si>
  <si>
    <t>tt - Tylenol</t>
  </si>
  <si>
    <t>bb</t>
  </si>
  <si>
    <t>rr</t>
  </si>
  <si>
    <t>tt</t>
  </si>
  <si>
    <t>tr</t>
  </si>
  <si>
    <t>AS044</t>
  </si>
  <si>
    <t>6=22=18 0615</t>
  </si>
  <si>
    <t>6=23=18 0024</t>
  </si>
  <si>
    <t>6=22=18 1005</t>
  </si>
  <si>
    <t>6=22=18 1743</t>
  </si>
  <si>
    <t>dd - Missing Data</t>
  </si>
  <si>
    <t>CW045</t>
  </si>
  <si>
    <t>6=23=18 1521</t>
  </si>
  <si>
    <t>white</t>
  </si>
  <si>
    <t>6=23=18 0104</t>
  </si>
  <si>
    <t>MF046</t>
  </si>
  <si>
    <t>6=23=18 1943</t>
  </si>
  <si>
    <t>6=22=18 2025</t>
  </si>
  <si>
    <t>6=23=18 0136</t>
  </si>
  <si>
    <t>6=23=18 0546</t>
  </si>
  <si>
    <t>6=23=18 0857</t>
  </si>
  <si>
    <t>6=23=18 1015</t>
  </si>
  <si>
    <t>6=23=18 1547</t>
  </si>
  <si>
    <t>NF047</t>
  </si>
  <si>
    <t>6=24=18 2058</t>
  </si>
  <si>
    <t>6=24=18 0749</t>
  </si>
  <si>
    <t>6=24=18 1145</t>
  </si>
  <si>
    <t>6=24=18 1503</t>
  </si>
  <si>
    <t>6=24=18 1920</t>
  </si>
  <si>
    <t>Sa048</t>
  </si>
  <si>
    <t>6=20=18 0947</t>
  </si>
  <si>
    <t>6=19=18 1300</t>
  </si>
  <si>
    <t>6=19=18 1851</t>
  </si>
  <si>
    <t>6=19=18 2100</t>
  </si>
  <si>
    <t>6=20=18 0051</t>
  </si>
  <si>
    <t>6=20=18 0417</t>
  </si>
  <si>
    <t>6=20=18 0717</t>
  </si>
  <si>
    <t>TT049</t>
  </si>
  <si>
    <t>6=21=18 1319</t>
  </si>
  <si>
    <t>6=20=18 1627</t>
  </si>
  <si>
    <t>6=20=18 2225</t>
  </si>
  <si>
    <t>6=21=18 0510</t>
  </si>
  <si>
    <t>SM050</t>
  </si>
  <si>
    <t>6=22=18 0942</t>
  </si>
  <si>
    <t>6=22=18 0453</t>
  </si>
  <si>
    <t>SA051</t>
  </si>
  <si>
    <t>6=23=18 1323</t>
  </si>
  <si>
    <t>6=22=18 1833</t>
  </si>
  <si>
    <t>KS052</t>
  </si>
  <si>
    <t>6=22=18 1541</t>
  </si>
  <si>
    <t>6=21=18 2230</t>
  </si>
  <si>
    <t>6=22=18 0931</t>
  </si>
  <si>
    <t>6=22=18 1216</t>
  </si>
  <si>
    <t>CJ053</t>
  </si>
  <si>
    <t>6=23=18 1942</t>
  </si>
  <si>
    <t>6=23=18 0318</t>
  </si>
  <si>
    <t>6=23=18 1318</t>
  </si>
  <si>
    <t>AC054</t>
  </si>
  <si>
    <t>6=26=18 1730</t>
  </si>
  <si>
    <t>6=26=18 1006</t>
  </si>
  <si>
    <t>KS055</t>
  </si>
  <si>
    <t>6=25=18 1019</t>
  </si>
  <si>
    <t>6=24=18 1855</t>
  </si>
  <si>
    <t>6=25=18 0109</t>
  </si>
  <si>
    <t>KA056</t>
  </si>
  <si>
    <t>6=25=18 0506</t>
  </si>
  <si>
    <t>6=24=18 0746</t>
  </si>
  <si>
    <t>6=24=18 1447</t>
  </si>
  <si>
    <t>6=24=18 2144</t>
  </si>
  <si>
    <t>KB057</t>
  </si>
  <si>
    <t>6=24=18 2300</t>
  </si>
  <si>
    <t>6=24=18 0418</t>
  </si>
  <si>
    <t>6=24=18 0726</t>
  </si>
  <si>
    <t>6=24=18 1004</t>
  </si>
  <si>
    <t>6=24=18 1558</t>
  </si>
  <si>
    <t>YT 058</t>
  </si>
  <si>
    <t>6=24=18 0640</t>
  </si>
  <si>
    <t>6=23=18 0844</t>
  </si>
  <si>
    <t>6=23=18 1220</t>
  </si>
  <si>
    <t>6=23=18 1504</t>
  </si>
  <si>
    <t>6=23=18 2130</t>
  </si>
  <si>
    <t>6=24=18 0320</t>
  </si>
  <si>
    <t>ee - Morphine</t>
  </si>
  <si>
    <t>SH059</t>
  </si>
  <si>
    <t>6=25=18 0529</t>
  </si>
  <si>
    <t>6=25=18 1223</t>
  </si>
  <si>
    <t>TJ060</t>
  </si>
  <si>
    <t>6=21=18 2307</t>
  </si>
  <si>
    <t>6=22=18 0902</t>
  </si>
  <si>
    <t>Record Number</t>
  </si>
  <si>
    <t>JM061</t>
  </si>
  <si>
    <t>6=23=18 0609</t>
  </si>
  <si>
    <t>Color</t>
  </si>
  <si>
    <t>Notes</t>
  </si>
  <si>
    <t>"F/u"</t>
  </si>
  <si>
    <t>Follow up</t>
  </si>
  <si>
    <t>6=17=18 1144</t>
  </si>
  <si>
    <t>6=17=18 1345</t>
  </si>
  <si>
    <t>6=22=18 1822</t>
  </si>
  <si>
    <t>6=23=18 0000</t>
  </si>
  <si>
    <t>KL062</t>
  </si>
  <si>
    <t>MS063</t>
  </si>
  <si>
    <t>6=26=18 0622</t>
  </si>
  <si>
    <t>6=25=18 1822</t>
  </si>
  <si>
    <t>6=26=18 0030</t>
  </si>
  <si>
    <t>MG064</t>
  </si>
  <si>
    <t>6=26=18 1938</t>
  </si>
  <si>
    <t>6=27=18 0730</t>
  </si>
  <si>
    <t>AR065</t>
  </si>
  <si>
    <t>6=26=18 0130</t>
  </si>
  <si>
    <t>6=25=18 1942</t>
  </si>
  <si>
    <t>JP066</t>
  </si>
  <si>
    <t>6=26=18 0947</t>
  </si>
  <si>
    <t>6=25=18 1524</t>
  </si>
  <si>
    <t>6=25=18 2104</t>
  </si>
  <si>
    <t>6=26=18 0303</t>
  </si>
  <si>
    <t>6=26=18 0609</t>
  </si>
  <si>
    <t>cc - Norco</t>
  </si>
  <si>
    <t>LN067</t>
  </si>
  <si>
    <t>6=26=18 1108</t>
  </si>
  <si>
    <t>6=25=18 1329</t>
  </si>
  <si>
    <t>6=25=18 1919</t>
  </si>
  <si>
    <t>6=25=18 0349</t>
  </si>
  <si>
    <t>MD068</t>
  </si>
  <si>
    <t>6=28=18 0409</t>
  </si>
  <si>
    <t>6=27=18 2120</t>
  </si>
  <si>
    <t>JG069</t>
  </si>
  <si>
    <t>7=1=18 1129</t>
  </si>
  <si>
    <t>7=1=18 1744</t>
  </si>
  <si>
    <t>7=2=18 0915</t>
  </si>
  <si>
    <t>KP070</t>
  </si>
  <si>
    <t>6=26=18 2217</t>
  </si>
  <si>
    <t>6=26=18 0141</t>
  </si>
  <si>
    <t>6=26=18 0623</t>
  </si>
  <si>
    <t>6=26=18 1221</t>
  </si>
  <si>
    <t>6=26=18 1226</t>
  </si>
  <si>
    <t>6=26=18 1440</t>
  </si>
  <si>
    <t>6=26=18 1840</t>
  </si>
  <si>
    <t>LW071</t>
  </si>
  <si>
    <t>6=27=18 0633</t>
  </si>
  <si>
    <t>6=26=18 1812</t>
  </si>
  <si>
    <t>6=27=18 0127</t>
  </si>
  <si>
    <t>6=27=18 0548</t>
  </si>
  <si>
    <t>AM072</t>
  </si>
  <si>
    <t>ee - Other</t>
  </si>
  <si>
    <t>6=26=18 1028</t>
  </si>
  <si>
    <t>DB073</t>
  </si>
  <si>
    <t>6=27=18 0505</t>
  </si>
  <si>
    <t>6=26=18 2235</t>
  </si>
  <si>
    <t>MC074</t>
  </si>
  <si>
    <t>6=27=18 0604</t>
  </si>
  <si>
    <t>6=26=18 1716</t>
  </si>
  <si>
    <t>6=26=18 2237</t>
  </si>
  <si>
    <t>KH075</t>
  </si>
  <si>
    <t>6=27=18 0421</t>
  </si>
  <si>
    <t>6=26=18 1712</t>
  </si>
  <si>
    <t>6=26=18 2200</t>
  </si>
  <si>
    <t>TH076</t>
  </si>
  <si>
    <t>6=27=18 0135</t>
  </si>
  <si>
    <t>6=26=18 1010</t>
  </si>
  <si>
    <t>6=26=18 2253</t>
  </si>
  <si>
    <t>RL077</t>
  </si>
  <si>
    <t>NM078</t>
  </si>
  <si>
    <t>6=26=18 1507</t>
  </si>
  <si>
    <t>6=26=18 2148</t>
  </si>
  <si>
    <t>6=27=18 0411</t>
  </si>
  <si>
    <t>RP079</t>
  </si>
  <si>
    <t>6=27=18 2232</t>
  </si>
  <si>
    <t>6=28=18 0322</t>
  </si>
  <si>
    <t>6=28=18 0854</t>
  </si>
  <si>
    <t>800 mg</t>
  </si>
  <si>
    <t>30 mg</t>
  </si>
  <si>
    <t>te</t>
  </si>
  <si>
    <t>Tylenol (IV)</t>
  </si>
  <si>
    <t>1000 mg Dissolved in IV</t>
  </si>
  <si>
    <t>325 mg</t>
  </si>
  <si>
    <t>Quantity</t>
  </si>
  <si>
    <t>ee</t>
  </si>
  <si>
    <t>cc</t>
  </si>
  <si>
    <t>Norco</t>
  </si>
  <si>
    <t>Morphine</t>
  </si>
  <si>
    <t>5/325 mg</t>
  </si>
  <si>
    <t>PP080</t>
  </si>
  <si>
    <t>6=27=18 1156</t>
  </si>
  <si>
    <t>6=26=18 2300</t>
  </si>
  <si>
    <t>6=27=18 0444</t>
  </si>
  <si>
    <t>AC081</t>
  </si>
  <si>
    <t>6=28=18 0750</t>
  </si>
  <si>
    <t>6=27=18 2216</t>
  </si>
  <si>
    <t>SL082</t>
  </si>
  <si>
    <t>6=28=18 1404</t>
  </si>
  <si>
    <t>6=27=18 1821</t>
  </si>
  <si>
    <t>6=28=18 0134</t>
  </si>
  <si>
    <t>6=28=18 0615</t>
  </si>
  <si>
    <t>6=28=18 0822</t>
  </si>
  <si>
    <t>6=28=18 1251</t>
  </si>
  <si>
    <t>MR083</t>
  </si>
  <si>
    <t>6=28=18 1859</t>
  </si>
  <si>
    <t>6=28=18 0703</t>
  </si>
  <si>
    <t>6=28=18 1006</t>
  </si>
  <si>
    <t>6=28=18 1604</t>
  </si>
  <si>
    <t>ND084</t>
  </si>
  <si>
    <t>6=28=18 0113</t>
  </si>
  <si>
    <t>6=28=18 0510</t>
  </si>
  <si>
    <t>6=28=18 0717</t>
  </si>
  <si>
    <t>6=28=18 0906</t>
  </si>
  <si>
    <t>6=28=18 1641</t>
  </si>
  <si>
    <t>HG085</t>
  </si>
  <si>
    <t>6=28=18 1559</t>
  </si>
  <si>
    <t>6=27=18 1842</t>
  </si>
  <si>
    <t>6=28=18 0055</t>
  </si>
  <si>
    <t>6=28=16 0420</t>
  </si>
  <si>
    <t>BG086</t>
  </si>
  <si>
    <t>6=29=18 1756</t>
  </si>
  <si>
    <t>6=28=18 2124</t>
  </si>
  <si>
    <t>6=29=18 0415</t>
  </si>
  <si>
    <t>6=29=18 1207</t>
  </si>
  <si>
    <t>TT087</t>
  </si>
  <si>
    <t>6=30=18 0913</t>
  </si>
  <si>
    <t>6=29=18 2246</t>
  </si>
  <si>
    <t>BY088</t>
  </si>
  <si>
    <t>6=29=18 0129</t>
  </si>
  <si>
    <t>6=29=18 0705</t>
  </si>
  <si>
    <t>6=29=18 1102</t>
  </si>
  <si>
    <t>6=29=13 1333</t>
  </si>
  <si>
    <t>6=29=18 1555</t>
  </si>
  <si>
    <t>6=29=18 1728</t>
  </si>
  <si>
    <t>6=29=18 1938</t>
  </si>
  <si>
    <t>6=29=18 2123</t>
  </si>
  <si>
    <t>RT089</t>
  </si>
  <si>
    <t>6=29=18 1239</t>
  </si>
  <si>
    <t>6=28=18 1759</t>
  </si>
  <si>
    <t>6=28=18 2343</t>
  </si>
  <si>
    <t>6=29=18 0521</t>
  </si>
  <si>
    <t>6=29=18 1119</t>
  </si>
  <si>
    <t>CW090</t>
  </si>
  <si>
    <t>CR091</t>
  </si>
  <si>
    <t>6=29=18 1733</t>
  </si>
  <si>
    <t>6=28=18 1915</t>
  </si>
  <si>
    <t>6=28=18 1938</t>
  </si>
  <si>
    <t>6=28=18 2256</t>
  </si>
  <si>
    <t>6=29=18 0254</t>
  </si>
  <si>
    <t>6=29=18 0852</t>
  </si>
  <si>
    <t>6=29=18 1352</t>
  </si>
  <si>
    <t>Did they take it or not? Sum given for Percocet used is 8, but there are 12 Percocet on record as delivered to the patient</t>
  </si>
  <si>
    <t>JF092</t>
  </si>
  <si>
    <t>6=29=18 1752</t>
  </si>
  <si>
    <t>6=28=18 2233</t>
  </si>
  <si>
    <t>6=29=18 0531</t>
  </si>
  <si>
    <t>6=29=18 1223</t>
  </si>
  <si>
    <t>KM093</t>
  </si>
  <si>
    <t>6=30=18 0849</t>
  </si>
  <si>
    <t>6=29=18 1245</t>
  </si>
  <si>
    <t>6=29=18 2052</t>
  </si>
  <si>
    <t>6=30=18 0302</t>
  </si>
  <si>
    <t>JK094</t>
  </si>
  <si>
    <t>6=28=18 0842</t>
  </si>
  <si>
    <t>AB095</t>
  </si>
  <si>
    <t>6=29=18 1006</t>
  </si>
  <si>
    <t>6=29=18 1814</t>
  </si>
  <si>
    <t>JW096</t>
  </si>
  <si>
    <t>6=30=18 1131</t>
  </si>
  <si>
    <t>6=29=18 2200</t>
  </si>
  <si>
    <t>6=30=18 0402</t>
  </si>
  <si>
    <t>LB097</t>
  </si>
  <si>
    <t>6=29=18 1533</t>
  </si>
  <si>
    <t>6=29=18 1648</t>
  </si>
  <si>
    <t>6=30=18 0354</t>
  </si>
  <si>
    <t>6=30=18 0829</t>
  </si>
  <si>
    <t>6=30=18 1059</t>
  </si>
  <si>
    <t>6=30=18 1246</t>
  </si>
  <si>
    <t>KR098</t>
  </si>
  <si>
    <t>7=1=18 0401</t>
  </si>
  <si>
    <t>7=1=18 1753</t>
  </si>
  <si>
    <t>SD099</t>
  </si>
  <si>
    <t>6=30=18 1334</t>
  </si>
  <si>
    <t>6=30=18 0958</t>
  </si>
  <si>
    <t>KS100</t>
  </si>
  <si>
    <t>6=29=18 0044</t>
  </si>
  <si>
    <t>6=28=18 1011</t>
  </si>
  <si>
    <t>6=28=18 1825</t>
  </si>
  <si>
    <t>6=28=18 2338</t>
  </si>
  <si>
    <t>JN103</t>
  </si>
  <si>
    <t>7=1=18 1149</t>
  </si>
  <si>
    <t>6=30=18 1607</t>
  </si>
  <si>
    <t>7=1=18 0550</t>
  </si>
  <si>
    <t>JB101</t>
  </si>
  <si>
    <t>CJ102</t>
  </si>
  <si>
    <t>7=1=18 1158</t>
  </si>
  <si>
    <t>7=1=18 0437</t>
  </si>
  <si>
    <t>AM103</t>
  </si>
  <si>
    <t>7=3=18 0717</t>
  </si>
  <si>
    <t>7=2=18 2323</t>
  </si>
  <si>
    <t>MM104</t>
  </si>
  <si>
    <t>7=3=18 0934</t>
  </si>
  <si>
    <t>7=2=18 1654</t>
  </si>
  <si>
    <t>LE105</t>
  </si>
  <si>
    <t>7=2=18 0105</t>
  </si>
  <si>
    <t>7=2=18 0941</t>
  </si>
  <si>
    <t>SS106</t>
  </si>
  <si>
    <t>TC107</t>
  </si>
  <si>
    <t>7=3=18 0506</t>
  </si>
  <si>
    <t>7=2=18 0722</t>
  </si>
  <si>
    <t>7=2=18 1400</t>
  </si>
  <si>
    <t>7=2=18 2139</t>
  </si>
  <si>
    <t>7=2=18 2241</t>
  </si>
  <si>
    <t>Date and Time 0506 or 0510?</t>
  </si>
  <si>
    <t>PH108</t>
  </si>
  <si>
    <t>7=3=18 0033</t>
  </si>
  <si>
    <t>7=2=18 0551</t>
  </si>
  <si>
    <t>7=2=18 1238</t>
  </si>
  <si>
    <t>7=2=18 1856</t>
  </si>
  <si>
    <t>AE109</t>
  </si>
  <si>
    <t>7=3=18 1532</t>
  </si>
  <si>
    <t>7=3=18 0231</t>
  </si>
  <si>
    <t>7=3=18 0837</t>
  </si>
  <si>
    <t>LA110</t>
  </si>
  <si>
    <t>7=2=18 1543</t>
  </si>
  <si>
    <t>7=1=18 1846</t>
  </si>
  <si>
    <t>7=2=18 0031</t>
  </si>
  <si>
    <t>7=2=18 0604</t>
  </si>
  <si>
    <t>7=2=18 0919</t>
  </si>
  <si>
    <t>7=2=18 1233</t>
  </si>
  <si>
    <t>SH111</t>
  </si>
  <si>
    <t>LB112</t>
  </si>
  <si>
    <t>7=4=18 1715</t>
  </si>
  <si>
    <t>7=3=18 2233</t>
  </si>
  <si>
    <t>7=4=18 0418</t>
  </si>
  <si>
    <t>7=4=18 1243</t>
  </si>
  <si>
    <t>TB113</t>
  </si>
  <si>
    <t>7=3=18 1838</t>
  </si>
  <si>
    <t>7=3=18 1309</t>
  </si>
  <si>
    <t>AR114</t>
  </si>
  <si>
    <t>7=2=18 1714</t>
  </si>
  <si>
    <t>7=2=18 2104</t>
  </si>
  <si>
    <t>7=3=18 0108</t>
  </si>
  <si>
    <t>7=3=18 0447</t>
  </si>
  <si>
    <t>7=3=18 0859</t>
  </si>
  <si>
    <t>7=3=18 1353</t>
  </si>
  <si>
    <t>AJ115</t>
  </si>
  <si>
    <t>7=4=18 0828</t>
  </si>
  <si>
    <t>7=3=18 2305</t>
  </si>
  <si>
    <t>7=4=18 0003</t>
  </si>
  <si>
    <t>7=4=18 0656</t>
  </si>
  <si>
    <t>ST116</t>
  </si>
  <si>
    <t>7=3=18 1737</t>
  </si>
  <si>
    <t>7=3=18 1905</t>
  </si>
  <si>
    <t>7=3=18 2323</t>
  </si>
  <si>
    <t>7=4=18 0222</t>
  </si>
  <si>
    <t>7=4=18 0909</t>
  </si>
  <si>
    <t>RF117</t>
  </si>
  <si>
    <t>7=4=18 0337</t>
  </si>
  <si>
    <t>7=3=18 1549</t>
  </si>
  <si>
    <t>7=3=18 2149</t>
  </si>
  <si>
    <t>RD118</t>
  </si>
  <si>
    <t>7=4=18 0935</t>
  </si>
  <si>
    <t>7=3=18 1213</t>
  </si>
  <si>
    <t>7=3=18 1824</t>
  </si>
  <si>
    <t>7=3=18 2237</t>
  </si>
  <si>
    <t>7=4=18 0343</t>
  </si>
  <si>
    <t>7=4=18 0824</t>
  </si>
  <si>
    <t>MR119</t>
  </si>
  <si>
    <t>7=4=18 0129</t>
  </si>
  <si>
    <t>7=4=18 0517</t>
  </si>
  <si>
    <t>7=4=18 1047</t>
  </si>
  <si>
    <t>7=4=18 1623</t>
  </si>
  <si>
    <t>7=4=18 2106</t>
  </si>
  <si>
    <t>JA120</t>
  </si>
  <si>
    <t>7=5=18 0904</t>
  </si>
  <si>
    <t>7=4=18 1939</t>
  </si>
  <si>
    <t>IC121</t>
  </si>
  <si>
    <t>7=5=18 0900</t>
  </si>
  <si>
    <t>7=5=18 1806</t>
  </si>
  <si>
    <t>7=6=18 0010</t>
  </si>
  <si>
    <t>7=6=18 0607</t>
  </si>
  <si>
    <t>KB122</t>
  </si>
  <si>
    <t>7=5=18 0815</t>
  </si>
  <si>
    <t>7=4=18 1733</t>
  </si>
  <si>
    <t>7=4=18 1955</t>
  </si>
  <si>
    <t>7=4=18 2341</t>
  </si>
  <si>
    <t>7=6=18 1248</t>
  </si>
  <si>
    <t>KA123</t>
  </si>
  <si>
    <t>7=5=18 1811</t>
  </si>
  <si>
    <t>7=6=18 0057</t>
  </si>
  <si>
    <t>7=6=18 0640</t>
  </si>
  <si>
    <t>MT124</t>
  </si>
  <si>
    <t>7=5=18 0440</t>
  </si>
  <si>
    <t>7=4=18 0902</t>
  </si>
  <si>
    <t>7=4=18 1456</t>
  </si>
  <si>
    <t>7=4=18 2111</t>
  </si>
  <si>
    <t>JC125</t>
  </si>
  <si>
    <t>7=5=18 1325</t>
  </si>
  <si>
    <t>7=5=18 0552</t>
  </si>
  <si>
    <t>AR126</t>
  </si>
  <si>
    <t>7=6=18 0945</t>
  </si>
  <si>
    <t>7=5=18 1248</t>
  </si>
  <si>
    <t>7=5=18 2048</t>
  </si>
  <si>
    <t>7=6=18 0318</t>
  </si>
  <si>
    <t>KW127</t>
  </si>
  <si>
    <t>7=6=18 2202</t>
  </si>
  <si>
    <t>7=6=18 0429</t>
  </si>
  <si>
    <t>7=6=18 1002</t>
  </si>
  <si>
    <t>7=6=18 1211</t>
  </si>
  <si>
    <t>7=6=18 1617</t>
  </si>
  <si>
    <t>JH131</t>
  </si>
  <si>
    <t>7=14=18 1453</t>
  </si>
  <si>
    <t>7=14=18 2021</t>
  </si>
  <si>
    <t>7=14=18 0457</t>
  </si>
  <si>
    <t>MW132</t>
  </si>
  <si>
    <t>7=16=18 0359</t>
  </si>
  <si>
    <t>7=15=18 0803</t>
  </si>
  <si>
    <t>MK133</t>
  </si>
  <si>
    <t>7=15=18 0810</t>
  </si>
  <si>
    <t>7=14=18 1257</t>
  </si>
  <si>
    <t>7=14=18 1715</t>
  </si>
  <si>
    <t>7=14=18 1843</t>
  </si>
  <si>
    <t>7=15=18 0030</t>
  </si>
  <si>
    <t>CJ134</t>
  </si>
  <si>
    <t>7=13=18 1054</t>
  </si>
  <si>
    <t>7=13=18 1559</t>
  </si>
  <si>
    <t>7=13=18 2214</t>
  </si>
  <si>
    <t>7=14=18 0527</t>
  </si>
  <si>
    <t>7=14=18 1027</t>
  </si>
  <si>
    <t>AP135</t>
  </si>
  <si>
    <t>7=23=18 1407</t>
  </si>
  <si>
    <t>7=22=18 2316</t>
  </si>
  <si>
    <t>7=23=18 1002</t>
  </si>
  <si>
    <t>EH136</t>
  </si>
  <si>
    <t>7=14=18 0601</t>
  </si>
  <si>
    <t>7=13=18 1056</t>
  </si>
  <si>
    <t>7=13=18 1703</t>
  </si>
  <si>
    <t>7=13=18 2258</t>
  </si>
  <si>
    <t>7=14=18 0441</t>
  </si>
  <si>
    <t>MT137</t>
  </si>
  <si>
    <t>7=22=18 1832</t>
  </si>
  <si>
    <t>7=22=18 0520</t>
  </si>
  <si>
    <t>7=22=18 0930</t>
  </si>
  <si>
    <t>CM138</t>
  </si>
  <si>
    <t>7=21=18 0844</t>
  </si>
  <si>
    <t>7=21=18 1610</t>
  </si>
  <si>
    <t>7=21=18 2149</t>
  </si>
  <si>
    <t>JL139</t>
  </si>
  <si>
    <t>7=22=18 1753</t>
  </si>
  <si>
    <t>7=23=18 0620</t>
  </si>
  <si>
    <t>7=23=18 1021</t>
  </si>
  <si>
    <t>LS140</t>
  </si>
  <si>
    <t>7=22=18 0537</t>
  </si>
  <si>
    <t>7=22=18 1625</t>
  </si>
  <si>
    <t>7=23=18 0441</t>
  </si>
  <si>
    <t>AH141</t>
  </si>
  <si>
    <t>7=22=18 1754</t>
  </si>
  <si>
    <t>7=22=18 0110</t>
  </si>
  <si>
    <t>7=22=18 1025</t>
  </si>
  <si>
    <t>AH142</t>
  </si>
  <si>
    <t>7=23=18 1945</t>
  </si>
  <si>
    <t>7=23=18 1138</t>
  </si>
  <si>
    <t>ZC143</t>
  </si>
  <si>
    <t>7=24=18 1012</t>
  </si>
  <si>
    <t>7=24=18 1454</t>
  </si>
  <si>
    <t>7=24=18 1733</t>
  </si>
  <si>
    <t>7=24=18 0031</t>
  </si>
  <si>
    <t>AA144</t>
  </si>
  <si>
    <t>7=23=18 1133</t>
  </si>
  <si>
    <t>Double check crossed out entry</t>
  </si>
  <si>
    <t>BT145</t>
  </si>
  <si>
    <t>7=29=18 0435</t>
  </si>
  <si>
    <t>7=28=18 1052</t>
  </si>
  <si>
    <t>7=28=18 1631</t>
  </si>
  <si>
    <t>7=28=18 2200</t>
  </si>
  <si>
    <t>KW146</t>
  </si>
  <si>
    <t>7=28=18 1359</t>
  </si>
  <si>
    <t>7=27=18 2122</t>
  </si>
  <si>
    <t>7=27=18 0609</t>
  </si>
  <si>
    <t>7=28=18 0610</t>
  </si>
  <si>
    <t>7=27=18 2129</t>
  </si>
  <si>
    <t>KM147</t>
  </si>
  <si>
    <t>7=27=18 0547</t>
  </si>
  <si>
    <t>7=26=18 1216</t>
  </si>
  <si>
    <t>7=26=18 1805</t>
  </si>
  <si>
    <t>7=27=18 0021</t>
  </si>
  <si>
    <t>MM148</t>
  </si>
  <si>
    <t>7=28=18 1305</t>
  </si>
  <si>
    <t>7=27=18 1926</t>
  </si>
  <si>
    <t>7=28=18 0119</t>
  </si>
  <si>
    <t>7=28=18 0809</t>
  </si>
  <si>
    <t>JJ149</t>
  </si>
  <si>
    <t>7=28=18 2222</t>
  </si>
  <si>
    <t>7=27=18 2328</t>
  </si>
  <si>
    <t>7=28=18 0022</t>
  </si>
  <si>
    <t>7=28=18 1616</t>
  </si>
  <si>
    <t>TK150</t>
  </si>
  <si>
    <t>7=27=18 2200</t>
  </si>
  <si>
    <t>7=27=18 0310</t>
  </si>
  <si>
    <t>7=27=18 1159</t>
  </si>
  <si>
    <t>7=27=18 1419</t>
  </si>
  <si>
    <t>AS151</t>
  </si>
  <si>
    <t>7=28=18 0910</t>
  </si>
  <si>
    <t>7=29=18 0535</t>
  </si>
  <si>
    <t>SK152</t>
  </si>
  <si>
    <t>7=26=18 2243</t>
  </si>
  <si>
    <t>7=26=18 0342</t>
  </si>
  <si>
    <t>7=26=18 0928</t>
  </si>
  <si>
    <t>7=26=18 1550</t>
  </si>
  <si>
    <t>DR153</t>
  </si>
  <si>
    <t>7=28=18 0344</t>
  </si>
  <si>
    <t>7=27=18 0625</t>
  </si>
  <si>
    <t>7=27=18 1543</t>
  </si>
  <si>
    <t>7=27=18 2203</t>
  </si>
  <si>
    <t>7=28=18 0058</t>
  </si>
  <si>
    <t>AK154</t>
  </si>
  <si>
    <t>7=28=18 2246</t>
  </si>
  <si>
    <t>Arab</t>
  </si>
  <si>
    <t>7=28=18 0309</t>
  </si>
  <si>
    <t>7=28=18 0842</t>
  </si>
  <si>
    <t>7=28=18 1211</t>
  </si>
  <si>
    <t>7=28=18 1540</t>
  </si>
  <si>
    <t>7=28=18 1918</t>
  </si>
  <si>
    <t>DD155</t>
  </si>
  <si>
    <t>7=27=18 1427</t>
  </si>
  <si>
    <t>7=26=18 1807</t>
  </si>
  <si>
    <t>7=26=18 2356</t>
  </si>
  <si>
    <t>7=27=18 0037</t>
  </si>
  <si>
    <t>7=27=18 0448</t>
  </si>
  <si>
    <t>7=27=18 0537</t>
  </si>
  <si>
    <t>7=27=18 0913</t>
  </si>
  <si>
    <t>7=27=18 1217</t>
  </si>
  <si>
    <t>ES156</t>
  </si>
  <si>
    <t>7=26=18 1105</t>
  </si>
  <si>
    <t>7=26=18 0025</t>
  </si>
  <si>
    <t>TG157</t>
  </si>
  <si>
    <t>7=25=18 2139</t>
  </si>
  <si>
    <t>7=25=18 1531</t>
  </si>
  <si>
    <t>KK158</t>
  </si>
  <si>
    <t>7=24=18 1236</t>
  </si>
  <si>
    <t>7=24=18 1821</t>
  </si>
  <si>
    <t>7=25=18 0042</t>
  </si>
  <si>
    <t>7=25=18 0632</t>
  </si>
  <si>
    <t>VM159</t>
  </si>
  <si>
    <t>7=27=18 0503</t>
  </si>
  <si>
    <t>7=26=18 2255</t>
  </si>
  <si>
    <t>7=30=18 0528</t>
  </si>
  <si>
    <t>7=29=18 1641</t>
  </si>
  <si>
    <t>7=29=18 2106</t>
  </si>
  <si>
    <t>7=29=18 2145</t>
  </si>
  <si>
    <t>7=29=18 0235</t>
  </si>
  <si>
    <t>7=29=18 0239</t>
  </si>
  <si>
    <t>7=29=18 1711</t>
  </si>
  <si>
    <t>LL160</t>
  </si>
  <si>
    <t>SA161</t>
  </si>
  <si>
    <t>CS162</t>
  </si>
  <si>
    <t>7=29=18 1239</t>
  </si>
  <si>
    <t>7=28=18 1718</t>
  </si>
  <si>
    <t>7=28=18 2357</t>
  </si>
  <si>
    <t>Data Summary</t>
  </si>
  <si>
    <t>patients</t>
  </si>
  <si>
    <t>patients who didn't take pain medication</t>
  </si>
  <si>
    <t>te - Tylenol</t>
  </si>
  <si>
    <t>Data Quality Control</t>
  </si>
  <si>
    <t>Tylenol Pills</t>
  </si>
  <si>
    <t>Tylenol IVs</t>
  </si>
  <si>
    <t>Tylenol Pill Doses (multiples of 650)</t>
  </si>
  <si>
    <t>Tylenol IV Doses (multiples of 1000)</t>
  </si>
  <si>
    <t>QC Pass</t>
  </si>
  <si>
    <t>EB001</t>
  </si>
  <si>
    <t>8=15=18 1418</t>
  </si>
  <si>
    <t>8=13=18 1621</t>
  </si>
  <si>
    <t>8=13=18 2005</t>
  </si>
  <si>
    <t>8=13=18 2237</t>
  </si>
  <si>
    <t>8=14=18 0249</t>
  </si>
  <si>
    <t>8=14=18 0529</t>
  </si>
  <si>
    <t>8=14=18 0901</t>
  </si>
  <si>
    <t>8=14=18 1108</t>
  </si>
  <si>
    <t>8=14=18 1348</t>
  </si>
  <si>
    <t>8=14=18 1454</t>
  </si>
  <si>
    <t>8=14=18 1730</t>
  </si>
  <si>
    <t>8=14=18 1929</t>
  </si>
  <si>
    <t>8=14=18 2302</t>
  </si>
  <si>
    <t>8=15=18 0603</t>
  </si>
  <si>
    <t>8=15=18 1013</t>
  </si>
  <si>
    <t>8=15=18 1209</t>
  </si>
  <si>
    <t>QA002</t>
  </si>
  <si>
    <t>Date and Time of TT</t>
  </si>
  <si>
    <t>N/A</t>
  </si>
  <si>
    <t>8=14=18 1515</t>
  </si>
  <si>
    <t>8=14=18 1410</t>
  </si>
  <si>
    <t>8=13=18 1940</t>
  </si>
  <si>
    <t>8=13=18 2018</t>
  </si>
  <si>
    <t>8=14=18 0012</t>
  </si>
  <si>
    <t>8=14=18 0438</t>
  </si>
  <si>
    <t>8=14=18 0855</t>
  </si>
  <si>
    <t>8=14=18 1055</t>
  </si>
  <si>
    <t>8=14=18 1344</t>
  </si>
  <si>
    <t>8=14=18 1750</t>
  </si>
  <si>
    <t>8=14=18 2154</t>
  </si>
  <si>
    <t>8=15=18 0125</t>
  </si>
  <si>
    <t>8=15=18 0220</t>
  </si>
  <si>
    <t>8=15=18 0740</t>
  </si>
  <si>
    <t>8=15=18 1017</t>
  </si>
  <si>
    <t>RT003</t>
  </si>
  <si>
    <t>8=09=18 1515</t>
  </si>
  <si>
    <t>8=07=18 1642</t>
  </si>
  <si>
    <t>8=08=18 0013</t>
  </si>
  <si>
    <t>8=08=18 0820</t>
  </si>
  <si>
    <t>8=08=18 2001</t>
  </si>
  <si>
    <t>8=09=18 0713</t>
  </si>
  <si>
    <t>8=09=18 0716</t>
  </si>
  <si>
    <t>8=09=18 1314</t>
  </si>
  <si>
    <t>8=09=18 2140</t>
  </si>
  <si>
    <t>8=09=18 0504</t>
  </si>
  <si>
    <t>8=10=18 1137</t>
  </si>
  <si>
    <t>8=08=18 1404</t>
  </si>
  <si>
    <t>AH004</t>
  </si>
  <si>
    <t>8=15=18 0831</t>
  </si>
  <si>
    <t>8=14=18 1448</t>
  </si>
  <si>
    <t>8=13=18 0652</t>
  </si>
  <si>
    <t>8=13=18 0731</t>
  </si>
  <si>
    <t>8=13=18 1127</t>
  </si>
  <si>
    <t>8=13=18 1301</t>
  </si>
  <si>
    <t>8=13=18 1526</t>
  </si>
  <si>
    <t>8=13=18 1900</t>
  </si>
  <si>
    <t>8=14=18 0215</t>
  </si>
  <si>
    <t>8=14=18 0859</t>
  </si>
  <si>
    <t>8=14=18 1006</t>
  </si>
  <si>
    <t>8=14=18 1436</t>
  </si>
  <si>
    <t>8=14=18 2039</t>
  </si>
  <si>
    <t>8=15=18 0244</t>
  </si>
  <si>
    <t>Mom hyped p^(_) TT session very talkative + relaxed</t>
  </si>
  <si>
    <t>JQ005</t>
  </si>
  <si>
    <t>8=09=18 1313</t>
  </si>
  <si>
    <t>8=08=19 1025</t>
  </si>
  <si>
    <t>8=07=18 1810</t>
  </si>
  <si>
    <t>8=08=18 0604</t>
  </si>
  <si>
    <t>8=08=18 1234</t>
  </si>
  <si>
    <t>8=08=18 1804</t>
  </si>
  <si>
    <t>8=08=18 2204</t>
  </si>
  <si>
    <t>8=09=18 0002</t>
  </si>
  <si>
    <t>8=08=18 0500</t>
  </si>
  <si>
    <t>8=09=18 1110</t>
  </si>
  <si>
    <t>Breast-feeding feel more relaxed twins</t>
  </si>
  <si>
    <t>TT patients with no before or after</t>
  </si>
  <si>
    <t>..012</t>
  </si>
  <si>
    <t>..029</t>
  </si>
  <si>
    <t>LH006</t>
  </si>
  <si>
    <t>8=07=18 1243</t>
  </si>
  <si>
    <t>8=06=18 1432</t>
  </si>
  <si>
    <t>8=05=18 0847</t>
  </si>
  <si>
    <t>8=05=18 1124</t>
  </si>
  <si>
    <t>8=05=18 1818</t>
  </si>
  <si>
    <t>8=05=18 2201</t>
  </si>
  <si>
    <t>8=06=18 0007</t>
  </si>
  <si>
    <t>8=06=18 0530</t>
  </si>
  <si>
    <t>8=06=18 0617</t>
  </si>
  <si>
    <t>8=06=18 0917</t>
  </si>
  <si>
    <t>8=06=18 1258</t>
  </si>
  <si>
    <t>8=06=18 1635</t>
  </si>
  <si>
    <t>8=06=18 2039</t>
  </si>
  <si>
    <t>8=07=18 0018</t>
  </si>
  <si>
    <t>8=07=18 0212</t>
  </si>
  <si>
    <t>8=07=18 0435</t>
  </si>
  <si>
    <t>8=07=18 0839</t>
  </si>
  <si>
    <t>8=07=18 0911</t>
  </si>
  <si>
    <t>KB007</t>
  </si>
  <si>
    <t>8=10=18 1328</t>
  </si>
  <si>
    <t>8=09=18 1520</t>
  </si>
  <si>
    <t>8=08=18 1746</t>
  </si>
  <si>
    <t>8=09=18 0023</t>
  </si>
  <si>
    <t>8=09=18 0616</t>
  </si>
  <si>
    <t>8=09=18 0850</t>
  </si>
  <si>
    <t>8=09=18 1153</t>
  </si>
  <si>
    <t>8=09=18 1304</t>
  </si>
  <si>
    <t>8=09=18 1713</t>
  </si>
  <si>
    <t>8=09=18 2130</t>
  </si>
  <si>
    <t>8=10=18 0656</t>
  </si>
  <si>
    <t>8=10=18 1123</t>
  </si>
  <si>
    <t>JB008</t>
  </si>
  <si>
    <t>dd</t>
  </si>
  <si>
    <t>8=16=18 1531</t>
  </si>
  <si>
    <t>8=15=18 0724</t>
  </si>
  <si>
    <t>8=15=18 1031</t>
  </si>
  <si>
    <t>8=15=18 1601</t>
  </si>
  <si>
    <t>8=15=18 1959</t>
  </si>
  <si>
    <t>8=15=18 2038</t>
  </si>
  <si>
    <t>8=16=18 0028</t>
  </si>
  <si>
    <t>8=16=18 0204</t>
  </si>
  <si>
    <t>8=16=18 0557</t>
  </si>
  <si>
    <t>8=16=18 0733</t>
  </si>
  <si>
    <t>8=16=18 1409</t>
  </si>
  <si>
    <t>8=16=18 1410</t>
  </si>
  <si>
    <t>8=16=18 1414</t>
  </si>
  <si>
    <t>8=16=18 1954</t>
  </si>
  <si>
    <t>8=17=18 0229</t>
  </si>
  <si>
    <t>8=17=18 0831</t>
  </si>
  <si>
    <t>8=17=18 1438</t>
  </si>
  <si>
    <t>EE010</t>
  </si>
  <si>
    <t>8=02=18 1527</t>
  </si>
  <si>
    <t>8=01=18 1155</t>
  </si>
  <si>
    <t>8=01=18 1827</t>
  </si>
  <si>
    <t>8=02=18 0049</t>
  </si>
  <si>
    <t>8=02=18 0651</t>
  </si>
  <si>
    <t>8=02=18 0937</t>
  </si>
  <si>
    <t>8=02=18 1055</t>
  </si>
  <si>
    <t>8=02=18 1250</t>
  </si>
  <si>
    <t>8=02=18 1637</t>
  </si>
  <si>
    <t>8=02=18 1818</t>
  </si>
  <si>
    <t>8=02=18 2221</t>
  </si>
  <si>
    <t>8=03=18 0139</t>
  </si>
  <si>
    <t>8=03=18 0408</t>
  </si>
  <si>
    <t>8=03=18 1000</t>
  </si>
  <si>
    <t>dd - Dilaudid</t>
  </si>
  <si>
    <t>Dilaudid</t>
  </si>
  <si>
    <t>?</t>
  </si>
  <si>
    <t>? Mg</t>
  </si>
  <si>
    <t>Is pain rating after medication 0 or 1?</t>
  </si>
  <si>
    <t>Pt laying in bed in dark room 3 older children in room/ eyes closed + resting @ end of session</t>
  </si>
  <si>
    <t>8/08/18 1530</t>
  </si>
  <si>
    <t>6/15/18 1950</t>
  </si>
  <si>
    <t>6/20/18 1911</t>
  </si>
  <si>
    <t>6/22/18 0440</t>
  </si>
  <si>
    <t>6/22/18 0615</t>
  </si>
  <si>
    <t>6/22/18 2240</t>
  </si>
  <si>
    <t>6/22/18 2020</t>
  </si>
  <si>
    <t>6/23/18 2218</t>
  </si>
  <si>
    <t>6/19/18 1200</t>
  </si>
  <si>
    <t>6/20/18 1534</t>
  </si>
  <si>
    <t>6/21/18 2350</t>
  </si>
  <si>
    <t>6/22/18 1430</t>
  </si>
  <si>
    <t>6/21/18 1820</t>
  </si>
  <si>
    <t>6/22/18 2105</t>
  </si>
  <si>
    <t>6/26/18 0555</t>
  </si>
  <si>
    <t>6/24/18 1350</t>
  </si>
  <si>
    <t>6/24/18 0833</t>
  </si>
  <si>
    <t>6/24/18 0245</t>
  </si>
  <si>
    <t>6/23/18 0815</t>
  </si>
  <si>
    <t>6/24/18 1953</t>
  </si>
  <si>
    <t>6/21/18 1715</t>
  </si>
  <si>
    <t>6/25/18 0000</t>
  </si>
  <si>
    <t>6/25/18 1420</t>
  </si>
  <si>
    <t>6/26/18 1330</t>
  </si>
  <si>
    <t>6/25/18 1530</t>
  </si>
  <si>
    <t>6/25/18 1305</t>
  </si>
  <si>
    <t>6/25/18 1115</t>
  </si>
  <si>
    <t>6/27/18 1555</t>
  </si>
  <si>
    <t>7/1/18 0930</t>
  </si>
  <si>
    <t>6/25/18 2350</t>
  </si>
  <si>
    <t>6/26/18 1230</t>
  </si>
  <si>
    <t>6/26/18 0715</t>
  </si>
  <si>
    <t>6/26/18 1044</t>
  </si>
  <si>
    <t>6/26/18 1500</t>
  </si>
  <si>
    <t>6/26/18 1604</t>
  </si>
  <si>
    <t>6/26/18 0920</t>
  </si>
  <si>
    <t>6/26/18 1025</t>
  </si>
  <si>
    <t>6/27/18 1826</t>
  </si>
  <si>
    <t>6/26/18 1635</t>
  </si>
  <si>
    <t>6/27/18 1325</t>
  </si>
  <si>
    <t>6/27/18 1535</t>
  </si>
  <si>
    <t>6/28/18 0635</t>
  </si>
  <si>
    <t>6/28/18 0100</t>
  </si>
  <si>
    <t>6/27/18 1650</t>
  </si>
  <si>
    <t>6/28/18 1920</t>
  </si>
  <si>
    <t>6/29/18 1230</t>
  </si>
  <si>
    <t>6/28/18 2355</t>
  </si>
  <si>
    <t>6/28/18 1430</t>
  </si>
  <si>
    <t>6/28/18 0215</t>
  </si>
  <si>
    <t>6/28/18 1805</t>
  </si>
  <si>
    <t>6/28/18 1945</t>
  </si>
  <si>
    <t>6/29/18 0949</t>
  </si>
  <si>
    <t>6/27/18 1900</t>
  </si>
  <si>
    <t>6/28/18 2000</t>
  </si>
  <si>
    <t>6/29/18 1812</t>
  </si>
  <si>
    <t>6/29/18 1402</t>
  </si>
  <si>
    <t>6/30/18 2130</t>
  </si>
  <si>
    <t>6/29/18 1610</t>
  </si>
  <si>
    <t>6/28/18 0620</t>
  </si>
  <si>
    <t>6/30/18 1518</t>
  </si>
  <si>
    <t>6/30/18 1900</t>
  </si>
  <si>
    <t>6/30/18 1755</t>
  </si>
  <si>
    <t>7/2/18 1005</t>
  </si>
  <si>
    <t>7/2/18 1342</t>
  </si>
  <si>
    <t>7/2/18 0140</t>
  </si>
  <si>
    <t>7/2/18 0035</t>
  </si>
  <si>
    <t>7/2/18 0630</t>
  </si>
  <si>
    <t>7/2/18 0430</t>
  </si>
  <si>
    <t>7/2/18 1815</t>
  </si>
  <si>
    <t>7/1/18 1635</t>
  </si>
  <si>
    <t>7/2/18 2240</t>
  </si>
  <si>
    <t>7/3/18 1900</t>
  </si>
  <si>
    <t>7/3/18 0000</t>
  </si>
  <si>
    <t>7/2/18 1459</t>
  </si>
  <si>
    <t>7/3/18 1205</t>
  </si>
  <si>
    <t>7/3/18 1700</t>
  </si>
  <si>
    <t>7/3/18 0740</t>
  </si>
  <si>
    <t>7/3/18 1136</t>
  </si>
  <si>
    <t>7/3/18 2305</t>
  </si>
  <si>
    <t>7/4/18 1401</t>
  </si>
  <si>
    <t>7/5/18 0635</t>
  </si>
  <si>
    <t>7/4/18 11025</t>
  </si>
  <si>
    <t>7/5/18 1430</t>
  </si>
  <si>
    <t>7/4/18 0505</t>
  </si>
  <si>
    <t>7/4/18 1915</t>
  </si>
  <si>
    <t>7/5/18 1200</t>
  </si>
  <si>
    <t>7/6/18 0242</t>
  </si>
  <si>
    <t>7/14/18 1345</t>
  </si>
  <si>
    <t>7/15/18 0515</t>
  </si>
  <si>
    <t>7/14/18 1100</t>
  </si>
  <si>
    <t>7/16/18 1035</t>
  </si>
  <si>
    <t>7/22/18 1800</t>
  </si>
  <si>
    <t>7/13/18 1010</t>
  </si>
  <si>
    <t>7/21/18 2355</t>
  </si>
  <si>
    <t>7/21/18 0215</t>
  </si>
  <si>
    <t>7/22/18 1150</t>
  </si>
  <si>
    <t>7/22/18 0455</t>
  </si>
  <si>
    <t>7/21/18 2000</t>
  </si>
  <si>
    <t>7/23/18 0933</t>
  </si>
  <si>
    <t>7/24/18 0535</t>
  </si>
  <si>
    <t>7/2/18 0358</t>
  </si>
  <si>
    <t>7/28/18 0440</t>
  </si>
  <si>
    <t>7/27/18 1749</t>
  </si>
  <si>
    <t>7/26/18 0945</t>
  </si>
  <si>
    <t>7/27/18 1750</t>
  </si>
  <si>
    <t>7/27/18 2245</t>
  </si>
  <si>
    <t>7/27/18 0030</t>
  </si>
  <si>
    <t>7/28/18 0850</t>
  </si>
  <si>
    <t>7/27/18 0600</t>
  </si>
  <si>
    <t>7/28/18 0110</t>
  </si>
  <si>
    <t>7/26/18 1530</t>
  </si>
  <si>
    <t>7/25/18 2355</t>
  </si>
  <si>
    <t>7/25/18 1200</t>
  </si>
  <si>
    <t>7/24/18 1159</t>
  </si>
  <si>
    <t>7/26/18 1825</t>
  </si>
  <si>
    <t>7/29/18 1455</t>
  </si>
  <si>
    <t>7/28/18 2305</t>
  </si>
  <si>
    <t>7/28/18 1700</t>
  </si>
  <si>
    <t>8/13/18 1610</t>
  </si>
  <si>
    <t>8/13/18 1706</t>
  </si>
  <si>
    <t>8/07/18 0756</t>
  </si>
  <si>
    <t>8/13/18 0035</t>
  </si>
  <si>
    <t>8/07/18 1550</t>
  </si>
  <si>
    <t>8/05/18 0750</t>
  </si>
  <si>
    <t>8/15/18 0700</t>
  </si>
  <si>
    <t>8/01/18 1040</t>
  </si>
  <si>
    <t>Start Date</t>
  </si>
  <si>
    <t>Start Time</t>
  </si>
  <si>
    <t>End Date</t>
  </si>
  <si>
    <t>End Time</t>
  </si>
  <si>
    <t>6/17/18 0345</t>
  </si>
  <si>
    <t>6/22/18 0817</t>
  </si>
  <si>
    <t>6/21/18 1234</t>
  </si>
  <si>
    <t>6/23/18 0248</t>
  </si>
  <si>
    <t>6/23/18 0024</t>
  </si>
  <si>
    <t>6/23/18 1521</t>
  </si>
  <si>
    <t>6/23/18 1943</t>
  </si>
  <si>
    <t>6/24/18 2058</t>
  </si>
  <si>
    <t>6/20/18 0947</t>
  </si>
  <si>
    <t>6/21/18 1319</t>
  </si>
  <si>
    <t>6/22/18 0942</t>
  </si>
  <si>
    <t>6/23/18 1323</t>
  </si>
  <si>
    <t>6/22/18 1541</t>
  </si>
  <si>
    <t>6/23/18 1942</t>
  </si>
  <si>
    <t>6/26/18 1730</t>
  </si>
  <si>
    <t>6/25/18 1019</t>
  </si>
  <si>
    <t>6/25/18 0506</t>
  </si>
  <si>
    <t>6/24/18 2300</t>
  </si>
  <si>
    <t>6/24/18 0640</t>
  </si>
  <si>
    <t>6/22/18 0702</t>
  </si>
  <si>
    <t>6/26/18 0000</t>
  </si>
  <si>
    <t>6/26/18 0622</t>
  </si>
  <si>
    <t>6/27/18 0725</t>
  </si>
  <si>
    <t>6/26/18 0130</t>
  </si>
  <si>
    <t>6/26/18 0947</t>
  </si>
  <si>
    <t>6/26/18 1108</t>
  </si>
  <si>
    <t>6/28/18 0409</t>
  </si>
  <si>
    <t>7/02/18 0915</t>
  </si>
  <si>
    <t>6/26/18 2217</t>
  </si>
  <si>
    <t>6/27/18 0633</t>
  </si>
  <si>
    <t>6/27/18 0548</t>
  </si>
  <si>
    <t>6/27/18 0505</t>
  </si>
  <si>
    <t>6/27/18 0604</t>
  </si>
  <si>
    <t>6/27/18 0421</t>
  </si>
  <si>
    <t>6/27/18 0135</t>
  </si>
  <si>
    <t>6/27/18 1156</t>
  </si>
  <si>
    <t>6/28/18 0750</t>
  </si>
  <si>
    <t>6/28/18 1404</t>
  </si>
  <si>
    <t>6/28/18 1859</t>
  </si>
  <si>
    <t>6/28/18 1559</t>
  </si>
  <si>
    <t>6/29/18 1756</t>
  </si>
  <si>
    <t>6/30/18 0913</t>
  </si>
  <si>
    <t>6/29/18 1239</t>
  </si>
  <si>
    <t>6/29/18 0215</t>
  </si>
  <si>
    <t>6/29/18 1733</t>
  </si>
  <si>
    <t>6/29/18 1752</t>
  </si>
  <si>
    <t>6/30/18 0849</t>
  </si>
  <si>
    <t>6/28/18 1900</t>
  </si>
  <si>
    <t>6/30/18 1131</t>
  </si>
  <si>
    <t>7/1/18 2130</t>
  </si>
  <si>
    <t>6/30/18 1334</t>
  </si>
  <si>
    <t>6/29/18 0044</t>
  </si>
  <si>
    <t>7/1/18 1149</t>
  </si>
  <si>
    <t>7/1/18 1900</t>
  </si>
  <si>
    <t>7/1/18 1158</t>
  </si>
  <si>
    <t>7/3/18 0717</t>
  </si>
  <si>
    <t>7/3/18 0934</t>
  </si>
  <si>
    <t>7/3/18 0741</t>
  </si>
  <si>
    <t>7/3/18 0035</t>
  </si>
  <si>
    <t>7/3/18 0506</t>
  </si>
  <si>
    <t>7/3/18 0033</t>
  </si>
  <si>
    <t>7/3/18 1532</t>
  </si>
  <si>
    <t>7/2/18 1543</t>
  </si>
  <si>
    <t>7/4/18 1715</t>
  </si>
  <si>
    <t>7/3/18 1838</t>
  </si>
  <si>
    <t>7/4/18 0828</t>
  </si>
  <si>
    <t>7/4/18 0337</t>
  </si>
  <si>
    <t>7/4/18 0935</t>
  </si>
  <si>
    <t>7/5/18 0904</t>
  </si>
  <si>
    <t>7/5/18 0815</t>
  </si>
  <si>
    <t>7/6/18 1248</t>
  </si>
  <si>
    <t>7/5/18 0440</t>
  </si>
  <si>
    <t>7/5/18 1325</t>
  </si>
  <si>
    <t>7/6/18 0945</t>
  </si>
  <si>
    <t>7/6/18 2202</t>
  </si>
  <si>
    <t>7/16/18 0359</t>
  </si>
  <si>
    <t>7/15/18 0810</t>
  </si>
  <si>
    <t>7/23/18 1407</t>
  </si>
  <si>
    <t>7/14/18 0601</t>
  </si>
  <si>
    <t>7/22/18 1832</t>
  </si>
  <si>
    <t>7/21/18 2147</t>
  </si>
  <si>
    <t>7/22/18 1754</t>
  </si>
  <si>
    <t>7/23/18 1945</t>
  </si>
  <si>
    <t>7/23/18 1133</t>
  </si>
  <si>
    <t>7/29/18 0435</t>
  </si>
  <si>
    <t>7/28/18 1359</t>
  </si>
  <si>
    <t>7/27/18 0547</t>
  </si>
  <si>
    <t>7/28/18 1305</t>
  </si>
  <si>
    <t>7/28/18 2222</t>
  </si>
  <si>
    <t>7/27/18 2200</t>
  </si>
  <si>
    <t>7/26/18 2243</t>
  </si>
  <si>
    <t>7/28/18 0344</t>
  </si>
  <si>
    <t>7/28/18 2246</t>
  </si>
  <si>
    <t>7/27/18 1427</t>
  </si>
  <si>
    <t>7/26/18 1105</t>
  </si>
  <si>
    <t>7/25/18 2139</t>
  </si>
  <si>
    <t>7/26/18 0632</t>
  </si>
  <si>
    <t>7/27/18 0503</t>
  </si>
  <si>
    <t>7/30/18 0528</t>
  </si>
  <si>
    <t>7/29/18 2145</t>
  </si>
  <si>
    <t>7/29/18 1239</t>
  </si>
  <si>
    <t>8/15/18 1418</t>
  </si>
  <si>
    <t>8/15/18 1338</t>
  </si>
  <si>
    <t>08/10/18 1137</t>
  </si>
  <si>
    <t>8/15/18 0831</t>
  </si>
  <si>
    <t>8/09/18 1313</t>
  </si>
  <si>
    <t>8/07/18 1243</t>
  </si>
  <si>
    <t>8/10/18 1328</t>
  </si>
  <si>
    <t>7/26/18 0215</t>
  </si>
  <si>
    <t>LB011</t>
  </si>
  <si>
    <t>8=1=18 1800</t>
  </si>
  <si>
    <t>8=2=18 1045</t>
  </si>
  <si>
    <t>8=1=18 2053</t>
  </si>
  <si>
    <t>8=1=18 2259</t>
  </si>
  <si>
    <t>8=2=18 0549</t>
  </si>
  <si>
    <t>8=2=18 1130</t>
  </si>
  <si>
    <t>8=2=18 1202</t>
  </si>
  <si>
    <t>8=2=18 1806</t>
  </si>
  <si>
    <t>8=2=18 2211</t>
  </si>
  <si>
    <t>8=3=18 1418</t>
  </si>
  <si>
    <t>RB012</t>
  </si>
  <si>
    <t>8=4=18 0615</t>
  </si>
  <si>
    <t>8=7=18 1630</t>
  </si>
  <si>
    <t>8=6=18 1450</t>
  </si>
  <si>
    <t>8=4=18 0634</t>
  </si>
  <si>
    <t>8=4=18 1159</t>
  </si>
  <si>
    <t>8=4=18 2228</t>
  </si>
  <si>
    <t>8=4=18 2351</t>
  </si>
  <si>
    <t>8=5=18 0343</t>
  </si>
  <si>
    <t>8=5=13 0813</t>
  </si>
  <si>
    <t>8=5=13 1445</t>
  </si>
  <si>
    <t>8=5=13 2143</t>
  </si>
  <si>
    <t>8=6=18 0709</t>
  </si>
  <si>
    <t>8=6=18 1256</t>
  </si>
  <si>
    <t>8=4=18 1810</t>
  </si>
  <si>
    <t>AP013</t>
  </si>
  <si>
    <t>8=12=18 0930</t>
  </si>
  <si>
    <t>8=14=18 0800</t>
  </si>
  <si>
    <t>8=12=18 1158</t>
  </si>
  <si>
    <t>8=13=18 1421</t>
  </si>
  <si>
    <t>8=12=18 2144</t>
  </si>
  <si>
    <t>8=13=18 0425</t>
  </si>
  <si>
    <t>8=13=18 0758</t>
  </si>
  <si>
    <t>8=13=18 1200</t>
  </si>
  <si>
    <t>8=13=18 1408</t>
  </si>
  <si>
    <t>8=13=18 2302</t>
  </si>
  <si>
    <t>8=14=18 0804</t>
  </si>
  <si>
    <t>CH014</t>
  </si>
  <si>
    <t>8=13=18 1420</t>
  </si>
  <si>
    <t>8=15=18 1515</t>
  </si>
  <si>
    <t>8=14=18 1425</t>
  </si>
  <si>
    <t>8=13=18 1500</t>
  </si>
  <si>
    <t>8=13=18 1616</t>
  </si>
  <si>
    <t>8=13=18 1946</t>
  </si>
  <si>
    <t>8=14=18 0005</t>
  </si>
  <si>
    <t>8=14=18 0227</t>
  </si>
  <si>
    <t>8=14=18 0357</t>
  </si>
  <si>
    <t>8=14=18 0833</t>
  </si>
  <si>
    <t>8=14=18 1244</t>
  </si>
  <si>
    <t>8=14=18 1629</t>
  </si>
  <si>
    <t>8=14=18 2030</t>
  </si>
  <si>
    <t>8=15=18 0003</t>
  </si>
  <si>
    <t>8=15=18 0425</t>
  </si>
  <si>
    <t>8=15=18 0807</t>
  </si>
  <si>
    <t>8=15=18 1301</t>
  </si>
  <si>
    <t>RU015</t>
  </si>
  <si>
    <t>8=19=18 0045</t>
  </si>
  <si>
    <t>8=20=18 1347</t>
  </si>
  <si>
    <t>8=19=18 0445</t>
  </si>
  <si>
    <t>8=19=18 0758</t>
  </si>
  <si>
    <t>8=19=18 0823</t>
  </si>
  <si>
    <t>8=19=18 1209</t>
  </si>
  <si>
    <t>8=19=18 1403</t>
  </si>
  <si>
    <t>8=19=18 1612</t>
  </si>
  <si>
    <t>8=19=18 2018</t>
  </si>
  <si>
    <t>8=20=18 0200</t>
  </si>
  <si>
    <t>8=20=18 0917</t>
  </si>
  <si>
    <t>8=20=18 1358</t>
  </si>
  <si>
    <t>8=20=18 1540</t>
  </si>
  <si>
    <t>8=20=18 2149</t>
  </si>
  <si>
    <t>8=21=18 0449</t>
  </si>
  <si>
    <t>LR016</t>
  </si>
  <si>
    <t>8=18=18 1645</t>
  </si>
  <si>
    <t>8=20=18 1453</t>
  </si>
  <si>
    <t>8=18=18 1808</t>
  </si>
  <si>
    <t>8=19=18 0633</t>
  </si>
  <si>
    <t>8=19=18 1228</t>
  </si>
  <si>
    <t>8=19=18 1814</t>
  </si>
  <si>
    <t>8=20=18 0002</t>
  </si>
  <si>
    <t>8=20=18 0611</t>
  </si>
  <si>
    <t>8=20=18 1839</t>
  </si>
  <si>
    <t>8=20=18 1956</t>
  </si>
  <si>
    <t>8=21=18 0031</t>
  </si>
  <si>
    <t>8=21=18 0306</t>
  </si>
  <si>
    <t>8=21=18 0709</t>
  </si>
  <si>
    <t>8=21=18 0931</t>
  </si>
  <si>
    <t>8=21=18 1124</t>
  </si>
  <si>
    <t>Check time (handwriting)</t>
  </si>
  <si>
    <t>Pt. had headache + wanted to nap</t>
  </si>
  <si>
    <t>Pt. states that TT session helped [decrease] pain a lot</t>
  </si>
  <si>
    <t>Severe hemorrhoid pain</t>
  </si>
  <si>
    <t>Pt anxiety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</si>
</sst>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[$-F400]h:mm:ss\ AM/PM"/>
  </numFmts>
  <fonts count="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0" fillId="0" borderId="2" xfId="0" applyBorder="1"/>
    <xf numFmtId="0" fontId="0" fillId="0" borderId="2" xfId="0" applyBorder="1" applyAlignment="1">
      <alignment horizontal="left" indent="1"/>
    </xf>
    <xf numFmtId="0" fontId="0" fillId="0" borderId="3" xfId="0" applyBorder="1"/>
    <xf numFmtId="0" fontId="0" fillId="0" borderId="4" xfId="0" applyBorder="1"/>
    <xf numFmtId="0" fontId="0" fillId="0" borderId="1" xfId="0" applyFont="1" applyBorder="1"/>
    <xf numFmtId="165" fontId="0" fillId="0" borderId="0" xfId="0" applyNumberFormat="1"/>
  </cellXfs>
  <cellStyles count="1">
    <cellStyle name="Normal" xfId="0" builtinId="0"/>
  </cellStyles>
  <dxfs count="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A5698-3702-CB4A-B725-C66144714F3D}">
  <dimension ref="A1:Q999"/>
  <sheetViews>
    <sheetView tabSelected="1" zoomScaleNormal="100" workbookViewId="0">
      <pane ySplit="1" topLeftCell="A814" activePane="bottomLeft" state="frozen"/>
      <selection pane="bottomLeft" activeCell="N844" sqref="N844"/>
    </sheetView>
  </sheetViews>
  <sheetFormatPr baseColWidth="10" defaultRowHeight="16"/>
  <cols>
    <col min="3" max="3" width="13.33203125" bestFit="1" customWidth="1"/>
    <col min="4" max="4" width="14.33203125" bestFit="1" customWidth="1"/>
    <col min="8" max="8" width="14.33203125" customWidth="1"/>
    <col min="9" max="9" width="14.33203125" bestFit="1" customWidth="1"/>
    <col min="10" max="10" width="12.83203125" bestFit="1" customWidth="1"/>
    <col min="11" max="11" width="10" customWidth="1"/>
  </cols>
  <sheetData>
    <row r="1" spans="1:17" ht="102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849</v>
      </c>
      <c r="I1" s="3" t="s">
        <v>6</v>
      </c>
      <c r="J1" s="3" t="s">
        <v>7</v>
      </c>
      <c r="K1" s="3" t="s">
        <v>8</v>
      </c>
      <c r="L1" s="3" t="s">
        <v>10</v>
      </c>
      <c r="M1" s="3" t="s">
        <v>9</v>
      </c>
      <c r="N1" s="3" t="s">
        <v>11</v>
      </c>
      <c r="O1" s="3" t="s">
        <v>74</v>
      </c>
      <c r="P1" s="3" t="s">
        <v>114</v>
      </c>
      <c r="Q1" s="3" t="s">
        <v>360</v>
      </c>
    </row>
    <row r="2" spans="1:17">
      <c r="A2">
        <f t="shared" ref="A2:A65" si="0">IF(ROW()=2,1,IF(B2=B1,A1,A1+1))</f>
        <v>1</v>
      </c>
      <c r="B2" t="s">
        <v>12</v>
      </c>
      <c r="C2" s="1" t="s">
        <v>983</v>
      </c>
      <c r="D2" s="2" t="s">
        <v>13</v>
      </c>
      <c r="E2">
        <v>29</v>
      </c>
      <c r="F2" t="s">
        <v>14</v>
      </c>
      <c r="G2" t="s">
        <v>15</v>
      </c>
      <c r="H2" t="s">
        <v>850</v>
      </c>
      <c r="I2" t="s">
        <v>16</v>
      </c>
      <c r="J2" t="s">
        <v>245</v>
      </c>
      <c r="K2">
        <v>800</v>
      </c>
      <c r="L2">
        <v>6</v>
      </c>
      <c r="M2">
        <v>5</v>
      </c>
      <c r="N2">
        <v>3</v>
      </c>
      <c r="Q2" t="b">
        <f t="shared" ref="Q2:Q65" si="1">ISODD(A2)</f>
        <v>1</v>
      </c>
    </row>
    <row r="3" spans="1:17">
      <c r="A3">
        <f t="shared" si="0"/>
        <v>1</v>
      </c>
      <c r="B3" t="s">
        <v>12</v>
      </c>
      <c r="C3" s="1" t="s">
        <v>983</v>
      </c>
      <c r="D3" s="2" t="s">
        <v>13</v>
      </c>
      <c r="E3">
        <v>29</v>
      </c>
      <c r="F3" t="s">
        <v>14</v>
      </c>
      <c r="G3" t="s">
        <v>15</v>
      </c>
      <c r="H3" t="s">
        <v>850</v>
      </c>
      <c r="I3" t="s">
        <v>18</v>
      </c>
      <c r="J3" t="s">
        <v>263</v>
      </c>
      <c r="K3" t="s">
        <v>41</v>
      </c>
      <c r="L3">
        <v>8</v>
      </c>
      <c r="M3">
        <v>1</v>
      </c>
      <c r="N3">
        <v>1</v>
      </c>
      <c r="Q3" t="b">
        <f t="shared" si="1"/>
        <v>1</v>
      </c>
    </row>
    <row r="4" spans="1:17">
      <c r="A4">
        <f t="shared" si="0"/>
        <v>1</v>
      </c>
      <c r="B4" t="s">
        <v>12</v>
      </c>
      <c r="C4" s="1" t="s">
        <v>983</v>
      </c>
      <c r="D4" s="2" t="s">
        <v>13</v>
      </c>
      <c r="E4">
        <v>29</v>
      </c>
      <c r="F4" t="s">
        <v>14</v>
      </c>
      <c r="G4" t="s">
        <v>15</v>
      </c>
      <c r="H4" t="s">
        <v>850</v>
      </c>
      <c r="I4" s="2" t="s">
        <v>19</v>
      </c>
      <c r="J4" t="s">
        <v>245</v>
      </c>
      <c r="K4">
        <v>800</v>
      </c>
      <c r="L4">
        <v>6</v>
      </c>
      <c r="M4">
        <v>0</v>
      </c>
      <c r="N4">
        <v>3</v>
      </c>
      <c r="Q4" t="b">
        <f t="shared" si="1"/>
        <v>1</v>
      </c>
    </row>
    <row r="5" spans="1:17">
      <c r="A5">
        <f t="shared" si="0"/>
        <v>1</v>
      </c>
      <c r="B5" t="s">
        <v>12</v>
      </c>
      <c r="C5" s="1" t="s">
        <v>983</v>
      </c>
      <c r="D5" s="2" t="s">
        <v>13</v>
      </c>
      <c r="E5">
        <v>29</v>
      </c>
      <c r="F5" t="s">
        <v>14</v>
      </c>
      <c r="G5" t="s">
        <v>15</v>
      </c>
      <c r="H5" t="s">
        <v>850</v>
      </c>
      <c r="I5" t="s">
        <v>20</v>
      </c>
      <c r="J5" t="s">
        <v>245</v>
      </c>
      <c r="K5">
        <v>800</v>
      </c>
      <c r="L5">
        <v>7</v>
      </c>
      <c r="M5">
        <v>3</v>
      </c>
      <c r="N5">
        <v>3</v>
      </c>
      <c r="Q5" t="b">
        <f t="shared" si="1"/>
        <v>1</v>
      </c>
    </row>
    <row r="6" spans="1:17">
      <c r="A6">
        <f t="shared" si="0"/>
        <v>2</v>
      </c>
      <c r="B6" t="s">
        <v>21</v>
      </c>
      <c r="C6" t="s">
        <v>22</v>
      </c>
      <c r="D6" s="2">
        <v>43267</v>
      </c>
      <c r="E6">
        <v>18</v>
      </c>
      <c r="F6" t="s">
        <v>14</v>
      </c>
      <c r="G6" t="s">
        <v>15</v>
      </c>
      <c r="H6" t="s">
        <v>850</v>
      </c>
      <c r="I6" t="s">
        <v>23</v>
      </c>
      <c r="J6" t="s">
        <v>245</v>
      </c>
      <c r="K6">
        <v>800</v>
      </c>
      <c r="L6">
        <v>5</v>
      </c>
      <c r="M6">
        <v>3</v>
      </c>
      <c r="N6">
        <v>3</v>
      </c>
      <c r="Q6" t="b">
        <f t="shared" si="1"/>
        <v>0</v>
      </c>
    </row>
    <row r="7" spans="1:17">
      <c r="A7">
        <f t="shared" si="0"/>
        <v>2</v>
      </c>
      <c r="B7" t="s">
        <v>21</v>
      </c>
      <c r="C7" t="s">
        <v>22</v>
      </c>
      <c r="D7" s="2">
        <v>43267</v>
      </c>
      <c r="E7">
        <v>18</v>
      </c>
      <c r="F7" t="s">
        <v>14</v>
      </c>
      <c r="G7" t="s">
        <v>15</v>
      </c>
      <c r="H7" t="s">
        <v>850</v>
      </c>
      <c r="I7" t="s">
        <v>24</v>
      </c>
      <c r="J7" t="s">
        <v>245</v>
      </c>
      <c r="K7">
        <v>800</v>
      </c>
      <c r="L7">
        <v>5</v>
      </c>
      <c r="M7">
        <v>2</v>
      </c>
      <c r="N7">
        <v>3</v>
      </c>
      <c r="Q7" t="b">
        <f t="shared" si="1"/>
        <v>0</v>
      </c>
    </row>
    <row r="8" spans="1:17">
      <c r="A8">
        <f t="shared" si="0"/>
        <v>2</v>
      </c>
      <c r="B8" t="s">
        <v>21</v>
      </c>
      <c r="C8" t="s">
        <v>22</v>
      </c>
      <c r="D8" s="2">
        <v>43267</v>
      </c>
      <c r="E8">
        <v>18</v>
      </c>
      <c r="F8" t="s">
        <v>14</v>
      </c>
      <c r="G8" t="s">
        <v>15</v>
      </c>
      <c r="H8" t="s">
        <v>850</v>
      </c>
      <c r="I8" t="s">
        <v>25</v>
      </c>
      <c r="J8" t="s">
        <v>245</v>
      </c>
      <c r="K8">
        <v>800</v>
      </c>
      <c r="L8">
        <v>0</v>
      </c>
      <c r="M8" t="s">
        <v>26</v>
      </c>
      <c r="N8" t="s">
        <v>26</v>
      </c>
      <c r="Q8" t="b">
        <f t="shared" si="1"/>
        <v>0</v>
      </c>
    </row>
    <row r="9" spans="1:17">
      <c r="A9">
        <f t="shared" si="0"/>
        <v>3</v>
      </c>
      <c r="B9" t="s">
        <v>27</v>
      </c>
      <c r="C9" t="s">
        <v>28</v>
      </c>
      <c r="D9" t="s">
        <v>29</v>
      </c>
      <c r="E9">
        <v>26</v>
      </c>
      <c r="F9" t="s">
        <v>14</v>
      </c>
      <c r="G9" t="s">
        <v>30</v>
      </c>
      <c r="H9" t="s">
        <v>850</v>
      </c>
      <c r="I9" t="s">
        <v>31</v>
      </c>
      <c r="J9" t="s">
        <v>256</v>
      </c>
      <c r="K9">
        <v>30</v>
      </c>
      <c r="L9">
        <v>10</v>
      </c>
      <c r="M9" t="s">
        <v>32</v>
      </c>
      <c r="N9">
        <v>2</v>
      </c>
      <c r="Q9" t="b">
        <f t="shared" si="1"/>
        <v>1</v>
      </c>
    </row>
    <row r="10" spans="1:17">
      <c r="A10">
        <f t="shared" si="0"/>
        <v>3</v>
      </c>
      <c r="B10" t="s">
        <v>27</v>
      </c>
      <c r="C10" t="s">
        <v>28</v>
      </c>
      <c r="D10" t="s">
        <v>29</v>
      </c>
      <c r="E10">
        <v>26</v>
      </c>
      <c r="F10" t="s">
        <v>14</v>
      </c>
      <c r="G10" t="s">
        <v>30</v>
      </c>
      <c r="H10" t="s">
        <v>850</v>
      </c>
      <c r="I10" t="s">
        <v>33</v>
      </c>
      <c r="J10" t="s">
        <v>263</v>
      </c>
      <c r="K10" t="s">
        <v>41</v>
      </c>
      <c r="L10">
        <v>6</v>
      </c>
      <c r="M10">
        <v>5</v>
      </c>
      <c r="N10">
        <v>1</v>
      </c>
      <c r="Q10" t="b">
        <f t="shared" si="1"/>
        <v>1</v>
      </c>
    </row>
    <row r="11" spans="1:17">
      <c r="A11">
        <f t="shared" si="0"/>
        <v>3</v>
      </c>
      <c r="B11" t="s">
        <v>27</v>
      </c>
      <c r="C11" t="s">
        <v>28</v>
      </c>
      <c r="D11" t="s">
        <v>29</v>
      </c>
      <c r="E11">
        <v>26</v>
      </c>
      <c r="F11" t="s">
        <v>14</v>
      </c>
      <c r="G11" t="s">
        <v>30</v>
      </c>
      <c r="H11" t="s">
        <v>850</v>
      </c>
      <c r="I11" t="s">
        <v>29</v>
      </c>
      <c r="J11" t="s">
        <v>256</v>
      </c>
      <c r="K11">
        <v>30</v>
      </c>
      <c r="L11">
        <v>5</v>
      </c>
      <c r="M11" t="s">
        <v>32</v>
      </c>
      <c r="N11">
        <v>2</v>
      </c>
      <c r="Q11" t="b">
        <f t="shared" si="1"/>
        <v>1</v>
      </c>
    </row>
    <row r="12" spans="1:17">
      <c r="A12">
        <f t="shared" si="0"/>
        <v>4</v>
      </c>
      <c r="B12" t="s">
        <v>34</v>
      </c>
      <c r="C12" t="s">
        <v>33</v>
      </c>
      <c r="D12" t="s">
        <v>35</v>
      </c>
      <c r="E12">
        <v>40</v>
      </c>
      <c r="F12" t="s">
        <v>36</v>
      </c>
      <c r="G12" t="s">
        <v>15</v>
      </c>
      <c r="H12" t="s">
        <v>850</v>
      </c>
      <c r="I12" t="s">
        <v>37</v>
      </c>
      <c r="J12" t="s">
        <v>268</v>
      </c>
      <c r="K12">
        <v>650</v>
      </c>
      <c r="L12">
        <v>6</v>
      </c>
      <c r="M12">
        <v>0</v>
      </c>
      <c r="N12">
        <v>1</v>
      </c>
      <c r="Q12" t="b">
        <f t="shared" si="1"/>
        <v>0</v>
      </c>
    </row>
    <row r="13" spans="1:17">
      <c r="A13">
        <f t="shared" si="0"/>
        <v>4</v>
      </c>
      <c r="B13" t="s">
        <v>34</v>
      </c>
      <c r="C13" t="s">
        <v>33</v>
      </c>
      <c r="D13" t="s">
        <v>35</v>
      </c>
      <c r="E13">
        <v>40</v>
      </c>
      <c r="F13" t="s">
        <v>36</v>
      </c>
      <c r="G13" t="s">
        <v>15</v>
      </c>
      <c r="H13" t="s">
        <v>850</v>
      </c>
      <c r="I13" t="s">
        <v>40</v>
      </c>
      <c r="J13" t="s">
        <v>245</v>
      </c>
      <c r="K13">
        <v>800</v>
      </c>
      <c r="L13">
        <v>7</v>
      </c>
      <c r="M13">
        <v>0</v>
      </c>
      <c r="N13">
        <v>3</v>
      </c>
      <c r="Q13" t="b">
        <f t="shared" si="1"/>
        <v>0</v>
      </c>
    </row>
    <row r="14" spans="1:17">
      <c r="A14">
        <f t="shared" si="0"/>
        <v>4</v>
      </c>
      <c r="B14" t="s">
        <v>34</v>
      </c>
      <c r="C14" t="s">
        <v>33</v>
      </c>
      <c r="D14" t="s">
        <v>35</v>
      </c>
      <c r="E14">
        <v>40</v>
      </c>
      <c r="F14" t="s">
        <v>36</v>
      </c>
      <c r="G14" t="s">
        <v>15</v>
      </c>
      <c r="H14" t="s">
        <v>850</v>
      </c>
      <c r="I14" t="s">
        <v>39</v>
      </c>
      <c r="J14" t="s">
        <v>263</v>
      </c>
      <c r="K14" t="s">
        <v>41</v>
      </c>
      <c r="L14">
        <v>7</v>
      </c>
      <c r="M14">
        <v>0</v>
      </c>
      <c r="N14">
        <v>3</v>
      </c>
      <c r="Q14" t="b">
        <f t="shared" si="1"/>
        <v>0</v>
      </c>
    </row>
    <row r="15" spans="1:17">
      <c r="A15">
        <f t="shared" si="0"/>
        <v>4</v>
      </c>
      <c r="B15" t="s">
        <v>34</v>
      </c>
      <c r="C15" t="s">
        <v>33</v>
      </c>
      <c r="D15" t="s">
        <v>35</v>
      </c>
      <c r="E15">
        <v>40</v>
      </c>
      <c r="F15" t="s">
        <v>36</v>
      </c>
      <c r="G15" t="s">
        <v>15</v>
      </c>
      <c r="H15" t="s">
        <v>850</v>
      </c>
      <c r="I15" t="s">
        <v>42</v>
      </c>
      <c r="J15" t="s">
        <v>245</v>
      </c>
      <c r="K15">
        <v>800</v>
      </c>
      <c r="L15">
        <v>2</v>
      </c>
      <c r="M15">
        <v>0</v>
      </c>
      <c r="N15">
        <v>3</v>
      </c>
      <c r="Q15" t="b">
        <f t="shared" si="1"/>
        <v>0</v>
      </c>
    </row>
    <row r="16" spans="1:17">
      <c r="A16">
        <f t="shared" si="0"/>
        <v>4</v>
      </c>
      <c r="B16" t="s">
        <v>34</v>
      </c>
      <c r="C16" t="s">
        <v>33</v>
      </c>
      <c r="D16" t="s">
        <v>35</v>
      </c>
      <c r="E16">
        <v>40</v>
      </c>
      <c r="F16" t="s">
        <v>36</v>
      </c>
      <c r="G16" t="s">
        <v>15</v>
      </c>
      <c r="H16" t="s">
        <v>850</v>
      </c>
      <c r="I16" t="s">
        <v>42</v>
      </c>
      <c r="J16" t="s">
        <v>263</v>
      </c>
      <c r="K16" t="s">
        <v>41</v>
      </c>
      <c r="L16">
        <v>2</v>
      </c>
      <c r="M16">
        <v>0</v>
      </c>
      <c r="N16">
        <v>3</v>
      </c>
      <c r="Q16" t="b">
        <f t="shared" si="1"/>
        <v>0</v>
      </c>
    </row>
    <row r="17" spans="1:17">
      <c r="A17">
        <f t="shared" si="0"/>
        <v>4</v>
      </c>
      <c r="B17" t="s">
        <v>34</v>
      </c>
      <c r="C17" t="s">
        <v>33</v>
      </c>
      <c r="D17" t="s">
        <v>35</v>
      </c>
      <c r="E17">
        <v>40</v>
      </c>
      <c r="F17" t="s">
        <v>36</v>
      </c>
      <c r="G17" t="s">
        <v>15</v>
      </c>
      <c r="H17" t="s">
        <v>850</v>
      </c>
      <c r="I17" t="s">
        <v>35</v>
      </c>
      <c r="J17" t="s">
        <v>245</v>
      </c>
      <c r="K17">
        <v>800</v>
      </c>
      <c r="L17">
        <v>3</v>
      </c>
      <c r="M17">
        <v>0</v>
      </c>
      <c r="N17">
        <v>3</v>
      </c>
      <c r="Q17" t="b">
        <f t="shared" si="1"/>
        <v>0</v>
      </c>
    </row>
    <row r="18" spans="1:17">
      <c r="A18">
        <f t="shared" si="0"/>
        <v>4</v>
      </c>
      <c r="B18" t="s">
        <v>34</v>
      </c>
      <c r="C18" t="s">
        <v>33</v>
      </c>
      <c r="D18" t="s">
        <v>35</v>
      </c>
      <c r="E18">
        <v>40</v>
      </c>
      <c r="F18" t="s">
        <v>36</v>
      </c>
      <c r="G18" t="s">
        <v>15</v>
      </c>
      <c r="H18" t="s">
        <v>850</v>
      </c>
      <c r="I18" t="s">
        <v>35</v>
      </c>
      <c r="J18" t="s">
        <v>263</v>
      </c>
      <c r="K18" t="s">
        <v>41</v>
      </c>
      <c r="L18">
        <v>3</v>
      </c>
      <c r="M18">
        <v>0</v>
      </c>
      <c r="N18">
        <v>3</v>
      </c>
      <c r="Q18" t="b">
        <f t="shared" si="1"/>
        <v>0</v>
      </c>
    </row>
    <row r="19" spans="1:17">
      <c r="A19">
        <f t="shared" si="0"/>
        <v>5</v>
      </c>
      <c r="B19" t="s">
        <v>47</v>
      </c>
      <c r="C19" s="2" t="s">
        <v>48</v>
      </c>
      <c r="D19" t="s">
        <v>49</v>
      </c>
      <c r="E19">
        <v>29</v>
      </c>
      <c r="F19" t="s">
        <v>36</v>
      </c>
      <c r="G19" t="s">
        <v>30</v>
      </c>
      <c r="H19" t="s">
        <v>850</v>
      </c>
      <c r="I19" t="s">
        <v>50</v>
      </c>
      <c r="J19" t="s">
        <v>256</v>
      </c>
      <c r="K19">
        <v>30</v>
      </c>
      <c r="L19">
        <v>2</v>
      </c>
      <c r="M19">
        <v>0</v>
      </c>
      <c r="N19">
        <v>3</v>
      </c>
      <c r="Q19" t="b">
        <f t="shared" si="1"/>
        <v>1</v>
      </c>
    </row>
    <row r="20" spans="1:17">
      <c r="A20">
        <f t="shared" si="0"/>
        <v>5</v>
      </c>
      <c r="B20" t="s">
        <v>47</v>
      </c>
      <c r="C20" s="2" t="s">
        <v>48</v>
      </c>
      <c r="D20" t="s">
        <v>49</v>
      </c>
      <c r="E20">
        <v>29</v>
      </c>
      <c r="F20" t="s">
        <v>36</v>
      </c>
      <c r="G20" t="s">
        <v>30</v>
      </c>
      <c r="H20" t="s">
        <v>850</v>
      </c>
      <c r="I20" t="s">
        <v>51</v>
      </c>
      <c r="J20" t="s">
        <v>256</v>
      </c>
      <c r="K20">
        <v>30</v>
      </c>
      <c r="L20">
        <v>5</v>
      </c>
      <c r="M20">
        <v>3</v>
      </c>
      <c r="N20">
        <v>3</v>
      </c>
      <c r="Q20" t="b">
        <f t="shared" si="1"/>
        <v>1</v>
      </c>
    </row>
    <row r="21" spans="1:17">
      <c r="A21">
        <f t="shared" si="0"/>
        <v>5</v>
      </c>
      <c r="B21" t="s">
        <v>47</v>
      </c>
      <c r="C21" s="2" t="s">
        <v>48</v>
      </c>
      <c r="D21" t="s">
        <v>49</v>
      </c>
      <c r="E21">
        <v>29</v>
      </c>
      <c r="F21" t="s">
        <v>36</v>
      </c>
      <c r="G21" t="s">
        <v>30</v>
      </c>
      <c r="H21" t="s">
        <v>850</v>
      </c>
      <c r="I21" t="s">
        <v>52</v>
      </c>
      <c r="J21" t="s">
        <v>263</v>
      </c>
      <c r="K21" t="s">
        <v>41</v>
      </c>
      <c r="L21">
        <v>6</v>
      </c>
      <c r="M21">
        <v>5</v>
      </c>
      <c r="N21">
        <v>3</v>
      </c>
      <c r="Q21" t="b">
        <f t="shared" si="1"/>
        <v>1</v>
      </c>
    </row>
    <row r="22" spans="1:17">
      <c r="A22">
        <f t="shared" si="0"/>
        <v>5</v>
      </c>
      <c r="B22" t="s">
        <v>47</v>
      </c>
      <c r="C22" s="2" t="s">
        <v>48</v>
      </c>
      <c r="D22" t="s">
        <v>49</v>
      </c>
      <c r="E22">
        <v>29</v>
      </c>
      <c r="F22" t="s">
        <v>36</v>
      </c>
      <c r="G22" t="s">
        <v>30</v>
      </c>
      <c r="H22" t="s">
        <v>850</v>
      </c>
      <c r="I22" t="s">
        <v>53</v>
      </c>
      <c r="J22" t="s">
        <v>256</v>
      </c>
      <c r="K22">
        <v>30</v>
      </c>
      <c r="L22">
        <v>6</v>
      </c>
      <c r="M22">
        <v>0</v>
      </c>
      <c r="N22">
        <v>3</v>
      </c>
      <c r="Q22" t="b">
        <f t="shared" si="1"/>
        <v>1</v>
      </c>
    </row>
    <row r="23" spans="1:17">
      <c r="A23">
        <f t="shared" si="0"/>
        <v>5</v>
      </c>
      <c r="B23" t="s">
        <v>47</v>
      </c>
      <c r="C23" s="2" t="s">
        <v>48</v>
      </c>
      <c r="D23" t="s">
        <v>49</v>
      </c>
      <c r="E23">
        <v>29</v>
      </c>
      <c r="F23" t="s">
        <v>36</v>
      </c>
      <c r="G23" t="s">
        <v>30</v>
      </c>
      <c r="H23" t="s">
        <v>850</v>
      </c>
      <c r="I23" t="s">
        <v>49</v>
      </c>
      <c r="J23" t="s">
        <v>263</v>
      </c>
      <c r="K23" t="s">
        <v>54</v>
      </c>
      <c r="L23">
        <v>6</v>
      </c>
      <c r="M23">
        <v>0</v>
      </c>
      <c r="N23">
        <v>3</v>
      </c>
      <c r="Q23" t="b">
        <f t="shared" si="1"/>
        <v>1</v>
      </c>
    </row>
    <row r="24" spans="1:17">
      <c r="A24">
        <f t="shared" si="0"/>
        <v>6</v>
      </c>
      <c r="B24" t="s">
        <v>55</v>
      </c>
      <c r="C24" s="2" t="s">
        <v>56</v>
      </c>
      <c r="D24" t="s">
        <v>57</v>
      </c>
      <c r="E24">
        <v>39</v>
      </c>
      <c r="F24" t="s">
        <v>14</v>
      </c>
      <c r="G24" t="s">
        <v>15</v>
      </c>
      <c r="H24" t="s">
        <v>850</v>
      </c>
      <c r="I24" t="s">
        <v>58</v>
      </c>
      <c r="J24" t="s">
        <v>245</v>
      </c>
      <c r="K24">
        <v>800</v>
      </c>
      <c r="L24">
        <v>4</v>
      </c>
      <c r="M24">
        <v>2</v>
      </c>
      <c r="N24">
        <v>3</v>
      </c>
      <c r="Q24" t="b">
        <f t="shared" si="1"/>
        <v>0</v>
      </c>
    </row>
    <row r="25" spans="1:17">
      <c r="A25">
        <f t="shared" si="0"/>
        <v>6</v>
      </c>
      <c r="B25" t="s">
        <v>55</v>
      </c>
      <c r="C25" s="2" t="s">
        <v>56</v>
      </c>
      <c r="D25" t="s">
        <v>57</v>
      </c>
      <c r="E25">
        <v>39</v>
      </c>
      <c r="F25" t="s">
        <v>14</v>
      </c>
      <c r="G25" t="s">
        <v>15</v>
      </c>
      <c r="H25" t="s">
        <v>850</v>
      </c>
      <c r="I25" t="s">
        <v>59</v>
      </c>
      <c r="J25" t="s">
        <v>245</v>
      </c>
      <c r="K25">
        <v>800</v>
      </c>
      <c r="L25">
        <v>4</v>
      </c>
      <c r="M25" t="s">
        <v>32</v>
      </c>
      <c r="N25">
        <v>3</v>
      </c>
      <c r="Q25" t="b">
        <f t="shared" si="1"/>
        <v>0</v>
      </c>
    </row>
    <row r="26" spans="1:17">
      <c r="A26">
        <f t="shared" si="0"/>
        <v>6</v>
      </c>
      <c r="B26" t="s">
        <v>55</v>
      </c>
      <c r="C26" s="2" t="s">
        <v>56</v>
      </c>
      <c r="D26" t="s">
        <v>57</v>
      </c>
      <c r="E26">
        <v>39</v>
      </c>
      <c r="F26" t="s">
        <v>14</v>
      </c>
      <c r="G26" t="s">
        <v>15</v>
      </c>
      <c r="H26" t="s">
        <v>850</v>
      </c>
      <c r="I26" t="s">
        <v>57</v>
      </c>
      <c r="J26" t="s">
        <v>245</v>
      </c>
      <c r="K26">
        <v>800</v>
      </c>
      <c r="L26">
        <v>4</v>
      </c>
      <c r="M26" t="s">
        <v>32</v>
      </c>
      <c r="N26">
        <v>3</v>
      </c>
      <c r="Q26" t="b">
        <f t="shared" si="1"/>
        <v>0</v>
      </c>
    </row>
    <row r="27" spans="1:17">
      <c r="A27">
        <f t="shared" si="0"/>
        <v>7</v>
      </c>
      <c r="B27" t="s">
        <v>60</v>
      </c>
      <c r="C27" s="2" t="s">
        <v>61</v>
      </c>
      <c r="D27" t="s">
        <v>62</v>
      </c>
      <c r="E27">
        <v>40</v>
      </c>
      <c r="F27" t="s">
        <v>14</v>
      </c>
      <c r="G27" t="s">
        <v>15</v>
      </c>
      <c r="H27" t="s">
        <v>850</v>
      </c>
      <c r="I27" t="s">
        <v>63</v>
      </c>
      <c r="J27" t="s">
        <v>245</v>
      </c>
      <c r="K27">
        <v>800</v>
      </c>
      <c r="L27">
        <v>5</v>
      </c>
      <c r="M27">
        <v>4</v>
      </c>
      <c r="N27" t="s">
        <v>66</v>
      </c>
      <c r="Q27" t="b">
        <f t="shared" si="1"/>
        <v>1</v>
      </c>
    </row>
    <row r="28" spans="1:17">
      <c r="A28">
        <f t="shared" si="0"/>
        <v>7</v>
      </c>
      <c r="B28" t="s">
        <v>60</v>
      </c>
      <c r="C28" s="2" t="s">
        <v>61</v>
      </c>
      <c r="D28" t="s">
        <v>62</v>
      </c>
      <c r="E28">
        <v>40</v>
      </c>
      <c r="F28" t="s">
        <v>14</v>
      </c>
      <c r="G28" t="s">
        <v>15</v>
      </c>
      <c r="H28" t="s">
        <v>850</v>
      </c>
      <c r="I28" t="s">
        <v>64</v>
      </c>
      <c r="J28" t="s">
        <v>245</v>
      </c>
      <c r="K28">
        <v>800</v>
      </c>
      <c r="L28">
        <v>0</v>
      </c>
      <c r="M28" t="s">
        <v>32</v>
      </c>
      <c r="N28" t="s">
        <v>66</v>
      </c>
      <c r="Q28" t="b">
        <f t="shared" si="1"/>
        <v>1</v>
      </c>
    </row>
    <row r="29" spans="1:17">
      <c r="A29">
        <f t="shared" si="0"/>
        <v>7</v>
      </c>
      <c r="B29" t="s">
        <v>60</v>
      </c>
      <c r="C29" s="2" t="s">
        <v>61</v>
      </c>
      <c r="D29" t="s">
        <v>62</v>
      </c>
      <c r="E29">
        <v>40</v>
      </c>
      <c r="F29" t="s">
        <v>14</v>
      </c>
      <c r="G29" t="s">
        <v>15</v>
      </c>
      <c r="H29" t="s">
        <v>850</v>
      </c>
      <c r="I29" t="s">
        <v>65</v>
      </c>
      <c r="J29" t="s">
        <v>268</v>
      </c>
      <c r="K29">
        <v>650</v>
      </c>
      <c r="L29">
        <v>2</v>
      </c>
      <c r="M29" t="s">
        <v>32</v>
      </c>
      <c r="N29">
        <v>2</v>
      </c>
      <c r="Q29" t="b">
        <f t="shared" si="1"/>
        <v>1</v>
      </c>
    </row>
    <row r="30" spans="1:17">
      <c r="A30">
        <f t="shared" si="0"/>
        <v>7</v>
      </c>
      <c r="B30" t="s">
        <v>60</v>
      </c>
      <c r="C30" s="2" t="s">
        <v>61</v>
      </c>
      <c r="D30" t="s">
        <v>62</v>
      </c>
      <c r="E30">
        <v>40</v>
      </c>
      <c r="F30" t="s">
        <v>14</v>
      </c>
      <c r="G30" t="s">
        <v>15</v>
      </c>
      <c r="H30" t="s">
        <v>850</v>
      </c>
      <c r="I30" t="s">
        <v>62</v>
      </c>
      <c r="J30" t="s">
        <v>268</v>
      </c>
      <c r="K30">
        <v>650</v>
      </c>
      <c r="L30">
        <v>0</v>
      </c>
      <c r="M30" t="s">
        <v>32</v>
      </c>
      <c r="N30">
        <v>2</v>
      </c>
      <c r="Q30" t="b">
        <f t="shared" si="1"/>
        <v>1</v>
      </c>
    </row>
    <row r="31" spans="1:17">
      <c r="A31">
        <f t="shared" si="0"/>
        <v>8</v>
      </c>
      <c r="B31" t="s">
        <v>67</v>
      </c>
      <c r="C31" s="2" t="s">
        <v>68</v>
      </c>
      <c r="D31" t="s">
        <v>69</v>
      </c>
      <c r="E31">
        <v>36</v>
      </c>
      <c r="F31" t="s">
        <v>36</v>
      </c>
      <c r="G31" t="s">
        <v>30</v>
      </c>
      <c r="H31" t="s">
        <v>850</v>
      </c>
      <c r="I31" t="s">
        <v>70</v>
      </c>
      <c r="J31" t="s">
        <v>256</v>
      </c>
      <c r="K31">
        <v>30</v>
      </c>
      <c r="L31">
        <v>9</v>
      </c>
      <c r="M31">
        <v>9</v>
      </c>
      <c r="N31">
        <v>2</v>
      </c>
      <c r="Q31" t="b">
        <f t="shared" si="1"/>
        <v>0</v>
      </c>
    </row>
    <row r="32" spans="1:17">
      <c r="A32">
        <f t="shared" si="0"/>
        <v>8</v>
      </c>
      <c r="B32" t="s">
        <v>67</v>
      </c>
      <c r="C32" s="2" t="s">
        <v>68</v>
      </c>
      <c r="D32" t="s">
        <v>69</v>
      </c>
      <c r="E32">
        <v>36</v>
      </c>
      <c r="F32" t="s">
        <v>36</v>
      </c>
      <c r="G32" t="s">
        <v>30</v>
      </c>
      <c r="H32" t="s">
        <v>850</v>
      </c>
      <c r="I32" t="s">
        <v>71</v>
      </c>
      <c r="J32" t="s">
        <v>263</v>
      </c>
      <c r="K32">
        <v>1</v>
      </c>
      <c r="L32">
        <v>9</v>
      </c>
      <c r="M32">
        <v>3</v>
      </c>
      <c r="N32">
        <v>4</v>
      </c>
      <c r="Q32" t="b">
        <f t="shared" si="1"/>
        <v>0</v>
      </c>
    </row>
    <row r="33" spans="1:17">
      <c r="A33">
        <f t="shared" si="0"/>
        <v>8</v>
      </c>
      <c r="B33" t="s">
        <v>67</v>
      </c>
      <c r="C33" s="2" t="s">
        <v>68</v>
      </c>
      <c r="D33" t="s">
        <v>69</v>
      </c>
      <c r="E33">
        <v>36</v>
      </c>
      <c r="F33" t="s">
        <v>36</v>
      </c>
      <c r="G33" t="s">
        <v>30</v>
      </c>
      <c r="H33" t="s">
        <v>850</v>
      </c>
      <c r="I33" t="s">
        <v>72</v>
      </c>
      <c r="J33" t="s">
        <v>263</v>
      </c>
      <c r="K33">
        <v>1</v>
      </c>
      <c r="L33">
        <v>8</v>
      </c>
      <c r="M33">
        <v>4</v>
      </c>
      <c r="N33">
        <v>4</v>
      </c>
      <c r="Q33" t="b">
        <f t="shared" si="1"/>
        <v>0</v>
      </c>
    </row>
    <row r="34" spans="1:17">
      <c r="A34">
        <f t="shared" si="0"/>
        <v>8</v>
      </c>
      <c r="B34" t="s">
        <v>67</v>
      </c>
      <c r="C34" s="2" t="s">
        <v>68</v>
      </c>
      <c r="D34" t="s">
        <v>69</v>
      </c>
      <c r="E34">
        <v>36</v>
      </c>
      <c r="F34" t="s">
        <v>36</v>
      </c>
      <c r="G34" t="s">
        <v>30</v>
      </c>
      <c r="H34" t="s">
        <v>850</v>
      </c>
      <c r="I34" t="s">
        <v>73</v>
      </c>
      <c r="J34" t="s">
        <v>256</v>
      </c>
      <c r="K34">
        <v>30</v>
      </c>
      <c r="L34">
        <v>5</v>
      </c>
      <c r="M34">
        <v>4</v>
      </c>
      <c r="N34">
        <v>2</v>
      </c>
      <c r="Q34" t="b">
        <f t="shared" si="1"/>
        <v>0</v>
      </c>
    </row>
    <row r="35" spans="1:17">
      <c r="A35">
        <f t="shared" si="0"/>
        <v>8</v>
      </c>
      <c r="B35" t="s">
        <v>67</v>
      </c>
      <c r="C35" s="2" t="s">
        <v>68</v>
      </c>
      <c r="D35" t="s">
        <v>69</v>
      </c>
      <c r="E35">
        <v>36</v>
      </c>
      <c r="F35" t="s">
        <v>36</v>
      </c>
      <c r="G35" t="s">
        <v>30</v>
      </c>
      <c r="H35" t="s">
        <v>850</v>
      </c>
      <c r="I35" t="s">
        <v>69</v>
      </c>
      <c r="J35" t="s">
        <v>263</v>
      </c>
      <c r="K35">
        <v>2</v>
      </c>
      <c r="L35">
        <v>3</v>
      </c>
      <c r="M35">
        <v>1</v>
      </c>
      <c r="N35">
        <v>4</v>
      </c>
      <c r="O35" t="s">
        <v>75</v>
      </c>
      <c r="Q35" t="b">
        <f t="shared" si="1"/>
        <v>0</v>
      </c>
    </row>
    <row r="36" spans="1:17">
      <c r="A36">
        <f t="shared" si="0"/>
        <v>9</v>
      </c>
      <c r="B36" t="s">
        <v>76</v>
      </c>
      <c r="C36" s="2" t="s">
        <v>77</v>
      </c>
      <c r="D36" t="s">
        <v>78</v>
      </c>
      <c r="E36">
        <v>21</v>
      </c>
      <c r="F36" t="s">
        <v>36</v>
      </c>
      <c r="G36" t="s">
        <v>30</v>
      </c>
      <c r="H36" t="s">
        <v>850</v>
      </c>
      <c r="I36" t="s">
        <v>79</v>
      </c>
      <c r="J36" t="s">
        <v>256</v>
      </c>
      <c r="K36">
        <v>30</v>
      </c>
      <c r="L36">
        <v>5</v>
      </c>
      <c r="M36">
        <v>0</v>
      </c>
      <c r="Q36" t="b">
        <f t="shared" si="1"/>
        <v>1</v>
      </c>
    </row>
    <row r="37" spans="1:17">
      <c r="A37">
        <f t="shared" si="0"/>
        <v>9</v>
      </c>
      <c r="B37" t="s">
        <v>76</v>
      </c>
      <c r="C37" s="2" t="s">
        <v>77</v>
      </c>
      <c r="D37" t="s">
        <v>78</v>
      </c>
      <c r="E37">
        <v>21</v>
      </c>
      <c r="F37" t="s">
        <v>36</v>
      </c>
      <c r="G37" t="s">
        <v>30</v>
      </c>
      <c r="H37" t="s">
        <v>850</v>
      </c>
      <c r="I37" t="s">
        <v>80</v>
      </c>
      <c r="J37" t="s">
        <v>256</v>
      </c>
      <c r="K37">
        <v>30</v>
      </c>
      <c r="L37">
        <v>7</v>
      </c>
      <c r="M37">
        <v>3</v>
      </c>
      <c r="Q37" t="b">
        <f t="shared" si="1"/>
        <v>1</v>
      </c>
    </row>
    <row r="38" spans="1:17">
      <c r="A38">
        <f t="shared" si="0"/>
        <v>9</v>
      </c>
      <c r="B38" t="s">
        <v>76</v>
      </c>
      <c r="C38" s="2" t="s">
        <v>77</v>
      </c>
      <c r="D38" t="s">
        <v>78</v>
      </c>
      <c r="E38">
        <v>21</v>
      </c>
      <c r="F38" t="s">
        <v>36</v>
      </c>
      <c r="G38" t="s">
        <v>30</v>
      </c>
      <c r="H38" t="s">
        <v>850</v>
      </c>
      <c r="I38" t="s">
        <v>81</v>
      </c>
      <c r="J38" t="s">
        <v>256</v>
      </c>
      <c r="K38">
        <v>30</v>
      </c>
      <c r="L38">
        <v>7</v>
      </c>
      <c r="M38" t="s">
        <v>32</v>
      </c>
      <c r="Q38" t="b">
        <f t="shared" si="1"/>
        <v>1</v>
      </c>
    </row>
    <row r="39" spans="1:17">
      <c r="A39">
        <f t="shared" si="0"/>
        <v>9</v>
      </c>
      <c r="B39" t="s">
        <v>76</v>
      </c>
      <c r="C39" s="2" t="s">
        <v>77</v>
      </c>
      <c r="D39" t="s">
        <v>78</v>
      </c>
      <c r="E39">
        <v>21</v>
      </c>
      <c r="F39" t="s">
        <v>36</v>
      </c>
      <c r="G39" t="s">
        <v>30</v>
      </c>
      <c r="H39" t="s">
        <v>850</v>
      </c>
      <c r="I39" t="s">
        <v>82</v>
      </c>
      <c r="J39" t="s">
        <v>263</v>
      </c>
      <c r="K39">
        <v>1</v>
      </c>
      <c r="L39">
        <v>5</v>
      </c>
      <c r="M39" t="s">
        <v>32</v>
      </c>
      <c r="Q39" t="b">
        <f t="shared" si="1"/>
        <v>1</v>
      </c>
    </row>
    <row r="40" spans="1:17">
      <c r="A40">
        <f t="shared" si="0"/>
        <v>9</v>
      </c>
      <c r="B40" t="s">
        <v>76</v>
      </c>
      <c r="C40" s="2" t="s">
        <v>77</v>
      </c>
      <c r="D40" t="s">
        <v>78</v>
      </c>
      <c r="E40">
        <v>21</v>
      </c>
      <c r="F40" t="s">
        <v>36</v>
      </c>
      <c r="G40" t="s">
        <v>30</v>
      </c>
      <c r="H40" t="s">
        <v>850</v>
      </c>
      <c r="I40" t="s">
        <v>78</v>
      </c>
      <c r="J40" t="s">
        <v>256</v>
      </c>
      <c r="K40">
        <v>30</v>
      </c>
      <c r="L40">
        <v>5</v>
      </c>
      <c r="M40">
        <v>0</v>
      </c>
      <c r="Q40" t="b">
        <f t="shared" si="1"/>
        <v>1</v>
      </c>
    </row>
    <row r="41" spans="1:17">
      <c r="A41">
        <f t="shared" si="0"/>
        <v>10</v>
      </c>
      <c r="B41" t="s">
        <v>83</v>
      </c>
      <c r="C41" s="2" t="s">
        <v>84</v>
      </c>
      <c r="D41" t="s">
        <v>85</v>
      </c>
      <c r="E41">
        <v>27</v>
      </c>
      <c r="F41" t="s">
        <v>14</v>
      </c>
      <c r="G41" t="s">
        <v>15</v>
      </c>
      <c r="H41" t="s">
        <v>850</v>
      </c>
      <c r="I41" t="s">
        <v>86</v>
      </c>
      <c r="J41" t="s">
        <v>245</v>
      </c>
      <c r="K41">
        <v>800</v>
      </c>
      <c r="L41">
        <v>3</v>
      </c>
      <c r="M41">
        <v>1</v>
      </c>
      <c r="Q41" t="b">
        <f t="shared" si="1"/>
        <v>0</v>
      </c>
    </row>
    <row r="42" spans="1:17">
      <c r="A42">
        <f t="shared" si="0"/>
        <v>10</v>
      </c>
      <c r="B42" t="s">
        <v>83</v>
      </c>
      <c r="C42" s="2" t="s">
        <v>84</v>
      </c>
      <c r="D42" t="s">
        <v>85</v>
      </c>
      <c r="E42">
        <v>27</v>
      </c>
      <c r="F42" t="s">
        <v>14</v>
      </c>
      <c r="G42" t="s">
        <v>15</v>
      </c>
      <c r="H42" t="s">
        <v>850</v>
      </c>
      <c r="I42" t="s">
        <v>87</v>
      </c>
      <c r="J42" t="s">
        <v>245</v>
      </c>
      <c r="K42">
        <v>800</v>
      </c>
      <c r="L42">
        <v>5</v>
      </c>
      <c r="M42">
        <v>0</v>
      </c>
      <c r="Q42" t="b">
        <f t="shared" si="1"/>
        <v>0</v>
      </c>
    </row>
    <row r="43" spans="1:17">
      <c r="A43">
        <f t="shared" si="0"/>
        <v>10</v>
      </c>
      <c r="B43" t="s">
        <v>83</v>
      </c>
      <c r="C43" s="2" t="s">
        <v>84</v>
      </c>
      <c r="D43" t="s">
        <v>85</v>
      </c>
      <c r="E43">
        <v>27</v>
      </c>
      <c r="F43" t="s">
        <v>14</v>
      </c>
      <c r="G43" t="s">
        <v>15</v>
      </c>
      <c r="H43" t="s">
        <v>850</v>
      </c>
      <c r="I43" t="s">
        <v>85</v>
      </c>
      <c r="J43" t="s">
        <v>245</v>
      </c>
      <c r="K43">
        <v>800</v>
      </c>
      <c r="L43">
        <v>4</v>
      </c>
      <c r="M43">
        <v>0</v>
      </c>
      <c r="Q43" t="b">
        <f t="shared" si="1"/>
        <v>0</v>
      </c>
    </row>
    <row r="44" spans="1:17">
      <c r="A44">
        <f t="shared" si="0"/>
        <v>11</v>
      </c>
      <c r="B44" t="s">
        <v>88</v>
      </c>
      <c r="C44" s="2" t="s">
        <v>89</v>
      </c>
      <c r="D44" s="2">
        <v>43270</v>
      </c>
      <c r="E44">
        <v>27</v>
      </c>
      <c r="F44" t="s">
        <v>14</v>
      </c>
      <c r="G44" t="s">
        <v>30</v>
      </c>
      <c r="H44" t="s">
        <v>850</v>
      </c>
      <c r="I44" t="s">
        <v>90</v>
      </c>
      <c r="J44" t="s">
        <v>256</v>
      </c>
      <c r="K44">
        <v>30</v>
      </c>
      <c r="L44">
        <v>4</v>
      </c>
      <c r="M44">
        <v>1</v>
      </c>
      <c r="N44">
        <v>4</v>
      </c>
      <c r="Q44" t="b">
        <f t="shared" si="1"/>
        <v>1</v>
      </c>
    </row>
    <row r="45" spans="1:17">
      <c r="A45">
        <f t="shared" si="0"/>
        <v>11</v>
      </c>
      <c r="B45" t="s">
        <v>88</v>
      </c>
      <c r="C45" s="2" t="s">
        <v>89</v>
      </c>
      <c r="D45" s="2">
        <v>43270</v>
      </c>
      <c r="E45">
        <v>27</v>
      </c>
      <c r="F45" t="s">
        <v>14</v>
      </c>
      <c r="G45" t="s">
        <v>30</v>
      </c>
      <c r="H45" t="s">
        <v>850</v>
      </c>
      <c r="I45" t="s">
        <v>91</v>
      </c>
      <c r="J45" t="s">
        <v>256</v>
      </c>
      <c r="K45">
        <v>30</v>
      </c>
      <c r="L45">
        <v>2</v>
      </c>
      <c r="M45">
        <v>0</v>
      </c>
      <c r="N45">
        <v>4</v>
      </c>
      <c r="Q45" t="b">
        <f t="shared" si="1"/>
        <v>1</v>
      </c>
    </row>
    <row r="46" spans="1:17">
      <c r="A46">
        <f t="shared" si="0"/>
        <v>11</v>
      </c>
      <c r="B46" t="s">
        <v>88</v>
      </c>
      <c r="C46" s="2" t="s">
        <v>89</v>
      </c>
      <c r="D46" s="2">
        <v>43270</v>
      </c>
      <c r="E46">
        <v>27</v>
      </c>
      <c r="F46" t="s">
        <v>14</v>
      </c>
      <c r="G46" t="s">
        <v>30</v>
      </c>
      <c r="H46" t="s">
        <v>850</v>
      </c>
      <c r="I46" t="s">
        <v>92</v>
      </c>
      <c r="J46" t="s">
        <v>256</v>
      </c>
      <c r="K46">
        <v>30</v>
      </c>
      <c r="L46">
        <v>2</v>
      </c>
      <c r="M46">
        <v>0</v>
      </c>
      <c r="N46">
        <v>4</v>
      </c>
      <c r="Q46" t="b">
        <f t="shared" si="1"/>
        <v>1</v>
      </c>
    </row>
    <row r="47" spans="1:17">
      <c r="A47">
        <f t="shared" si="0"/>
        <v>11</v>
      </c>
      <c r="B47" t="s">
        <v>88</v>
      </c>
      <c r="C47" s="2" t="s">
        <v>89</v>
      </c>
      <c r="D47" s="2">
        <v>43270</v>
      </c>
      <c r="E47">
        <v>27</v>
      </c>
      <c r="F47" t="s">
        <v>14</v>
      </c>
      <c r="G47" t="s">
        <v>30</v>
      </c>
      <c r="H47" t="s">
        <v>850</v>
      </c>
      <c r="I47" t="s">
        <v>93</v>
      </c>
      <c r="J47" t="s">
        <v>263</v>
      </c>
      <c r="K47">
        <v>1</v>
      </c>
      <c r="L47">
        <v>3</v>
      </c>
      <c r="M47">
        <v>2</v>
      </c>
      <c r="N47">
        <v>1</v>
      </c>
      <c r="Q47" t="b">
        <f t="shared" si="1"/>
        <v>1</v>
      </c>
    </row>
    <row r="48" spans="1:17">
      <c r="A48">
        <f t="shared" si="0"/>
        <v>11</v>
      </c>
      <c r="B48" t="s">
        <v>88</v>
      </c>
      <c r="C48" s="2" t="s">
        <v>89</v>
      </c>
      <c r="D48" s="2">
        <v>43270</v>
      </c>
      <c r="E48">
        <v>27</v>
      </c>
      <c r="F48" t="s">
        <v>14</v>
      </c>
      <c r="G48" t="s">
        <v>30</v>
      </c>
      <c r="H48" t="s">
        <v>850</v>
      </c>
      <c r="I48" t="s">
        <v>94</v>
      </c>
      <c r="J48" t="s">
        <v>256</v>
      </c>
      <c r="K48">
        <v>30</v>
      </c>
      <c r="L48">
        <v>3</v>
      </c>
      <c r="M48">
        <v>1</v>
      </c>
      <c r="N48">
        <v>4</v>
      </c>
      <c r="Q48" t="b">
        <f t="shared" si="1"/>
        <v>1</v>
      </c>
    </row>
    <row r="49" spans="1:17">
      <c r="A49">
        <f t="shared" si="0"/>
        <v>12</v>
      </c>
      <c r="B49" t="s">
        <v>95</v>
      </c>
      <c r="C49" s="2" t="s">
        <v>96</v>
      </c>
      <c r="D49" t="s">
        <v>97</v>
      </c>
      <c r="E49">
        <v>18</v>
      </c>
      <c r="F49" t="s">
        <v>36</v>
      </c>
      <c r="G49" t="s">
        <v>30</v>
      </c>
      <c r="H49" t="s">
        <v>850</v>
      </c>
      <c r="I49" t="s">
        <v>98</v>
      </c>
      <c r="J49" t="s">
        <v>256</v>
      </c>
      <c r="K49">
        <v>30</v>
      </c>
      <c r="L49">
        <v>5</v>
      </c>
      <c r="M49">
        <v>4</v>
      </c>
      <c r="N49">
        <v>4</v>
      </c>
      <c r="Q49" t="b">
        <f t="shared" si="1"/>
        <v>0</v>
      </c>
    </row>
    <row r="50" spans="1:17">
      <c r="A50">
        <f t="shared" si="0"/>
        <v>12</v>
      </c>
      <c r="B50" t="s">
        <v>95</v>
      </c>
      <c r="C50" s="2" t="s">
        <v>96</v>
      </c>
      <c r="D50" t="s">
        <v>97</v>
      </c>
      <c r="E50">
        <v>18</v>
      </c>
      <c r="F50" t="s">
        <v>36</v>
      </c>
      <c r="G50" t="s">
        <v>30</v>
      </c>
      <c r="H50" t="s">
        <v>850</v>
      </c>
      <c r="I50" t="s">
        <v>99</v>
      </c>
      <c r="J50" t="s">
        <v>256</v>
      </c>
      <c r="K50">
        <v>30</v>
      </c>
      <c r="L50">
        <v>7</v>
      </c>
      <c r="M50">
        <v>5</v>
      </c>
      <c r="N50">
        <v>4</v>
      </c>
      <c r="Q50" t="b">
        <f t="shared" si="1"/>
        <v>0</v>
      </c>
    </row>
    <row r="51" spans="1:17">
      <c r="A51">
        <f t="shared" si="0"/>
        <v>12</v>
      </c>
      <c r="B51" t="s">
        <v>95</v>
      </c>
      <c r="C51" s="2" t="s">
        <v>96</v>
      </c>
      <c r="D51" t="s">
        <v>97</v>
      </c>
      <c r="E51">
        <v>18</v>
      </c>
      <c r="F51" t="s">
        <v>36</v>
      </c>
      <c r="G51" t="s">
        <v>30</v>
      </c>
      <c r="H51" t="s">
        <v>850</v>
      </c>
      <c r="I51" t="s">
        <v>100</v>
      </c>
      <c r="J51" t="s">
        <v>263</v>
      </c>
      <c r="K51">
        <v>2</v>
      </c>
      <c r="L51">
        <v>9</v>
      </c>
      <c r="M51" t="s">
        <v>32</v>
      </c>
      <c r="N51">
        <v>4</v>
      </c>
      <c r="Q51" t="b">
        <f t="shared" si="1"/>
        <v>0</v>
      </c>
    </row>
    <row r="52" spans="1:17">
      <c r="A52">
        <f t="shared" si="0"/>
        <v>12</v>
      </c>
      <c r="B52" t="s">
        <v>95</v>
      </c>
      <c r="C52" s="2" t="s">
        <v>96</v>
      </c>
      <c r="D52" t="s">
        <v>97</v>
      </c>
      <c r="E52">
        <v>18</v>
      </c>
      <c r="F52" t="s">
        <v>36</v>
      </c>
      <c r="G52" t="s">
        <v>30</v>
      </c>
      <c r="H52" t="s">
        <v>850</v>
      </c>
      <c r="I52" t="s">
        <v>101</v>
      </c>
      <c r="J52" t="s">
        <v>256</v>
      </c>
      <c r="K52">
        <v>30</v>
      </c>
      <c r="L52">
        <v>5</v>
      </c>
      <c r="M52">
        <v>3</v>
      </c>
      <c r="N52">
        <v>4</v>
      </c>
      <c r="Q52" t="b">
        <f t="shared" si="1"/>
        <v>0</v>
      </c>
    </row>
    <row r="53" spans="1:17">
      <c r="A53">
        <f t="shared" si="0"/>
        <v>12</v>
      </c>
      <c r="B53" t="s">
        <v>95</v>
      </c>
      <c r="C53" s="2" t="s">
        <v>96</v>
      </c>
      <c r="D53" t="s">
        <v>97</v>
      </c>
      <c r="E53">
        <v>18</v>
      </c>
      <c r="F53" t="s">
        <v>36</v>
      </c>
      <c r="G53" t="s">
        <v>30</v>
      </c>
      <c r="H53" t="s">
        <v>850</v>
      </c>
      <c r="I53" t="s">
        <v>102</v>
      </c>
      <c r="J53" t="s">
        <v>263</v>
      </c>
      <c r="K53">
        <v>1</v>
      </c>
      <c r="L53">
        <v>3</v>
      </c>
      <c r="M53">
        <v>2</v>
      </c>
      <c r="N53">
        <v>4</v>
      </c>
      <c r="Q53" t="b">
        <f t="shared" si="1"/>
        <v>0</v>
      </c>
    </row>
    <row r="54" spans="1:17">
      <c r="A54">
        <f t="shared" si="0"/>
        <v>12</v>
      </c>
      <c r="B54" t="s">
        <v>95</v>
      </c>
      <c r="C54" s="2" t="s">
        <v>96</v>
      </c>
      <c r="D54" t="s">
        <v>97</v>
      </c>
      <c r="E54">
        <v>18</v>
      </c>
      <c r="F54" t="s">
        <v>36</v>
      </c>
      <c r="G54" t="s">
        <v>30</v>
      </c>
      <c r="H54" t="s">
        <v>850</v>
      </c>
      <c r="I54" t="s">
        <v>364</v>
      </c>
      <c r="J54" t="s">
        <v>256</v>
      </c>
      <c r="K54">
        <v>30</v>
      </c>
      <c r="L54">
        <v>3</v>
      </c>
      <c r="M54">
        <v>2</v>
      </c>
      <c r="N54">
        <v>4</v>
      </c>
      <c r="Q54" t="b">
        <f t="shared" si="1"/>
        <v>0</v>
      </c>
    </row>
    <row r="55" spans="1:17">
      <c r="A55">
        <f t="shared" si="0"/>
        <v>12</v>
      </c>
      <c r="B55" t="s">
        <v>95</v>
      </c>
      <c r="C55" s="2" t="s">
        <v>96</v>
      </c>
      <c r="D55" t="s">
        <v>97</v>
      </c>
      <c r="E55">
        <v>18</v>
      </c>
      <c r="F55" t="s">
        <v>36</v>
      </c>
      <c r="G55" t="s">
        <v>30</v>
      </c>
      <c r="H55" t="s">
        <v>850</v>
      </c>
      <c r="I55" t="s">
        <v>365</v>
      </c>
      <c r="J55" t="s">
        <v>263</v>
      </c>
      <c r="K55">
        <v>1</v>
      </c>
      <c r="L55">
        <v>4</v>
      </c>
      <c r="M55">
        <v>3</v>
      </c>
      <c r="N55">
        <v>4</v>
      </c>
      <c r="Q55" t="b">
        <f t="shared" si="1"/>
        <v>0</v>
      </c>
    </row>
    <row r="56" spans="1:17">
      <c r="A56">
        <f t="shared" si="0"/>
        <v>13</v>
      </c>
      <c r="B56" t="s">
        <v>103</v>
      </c>
      <c r="C56" s="2" t="s">
        <v>104</v>
      </c>
      <c r="D56" t="s">
        <v>105</v>
      </c>
      <c r="E56">
        <v>33</v>
      </c>
      <c r="F56" t="s">
        <v>14</v>
      </c>
      <c r="G56" t="s">
        <v>15</v>
      </c>
      <c r="H56" t="s">
        <v>850</v>
      </c>
      <c r="I56" t="s">
        <v>106</v>
      </c>
      <c r="J56" t="s">
        <v>263</v>
      </c>
      <c r="K56">
        <v>1</v>
      </c>
      <c r="L56">
        <v>6</v>
      </c>
      <c r="M56">
        <v>2</v>
      </c>
      <c r="Q56" t="b">
        <f t="shared" si="1"/>
        <v>1</v>
      </c>
    </row>
    <row r="57" spans="1:17">
      <c r="A57">
        <f t="shared" si="0"/>
        <v>13</v>
      </c>
      <c r="B57" t="s">
        <v>103</v>
      </c>
      <c r="C57" s="2" t="s">
        <v>104</v>
      </c>
      <c r="D57" t="s">
        <v>105</v>
      </c>
      <c r="E57">
        <v>33</v>
      </c>
      <c r="F57" t="s">
        <v>14</v>
      </c>
      <c r="G57" t="s">
        <v>15</v>
      </c>
      <c r="H57" t="s">
        <v>850</v>
      </c>
      <c r="I57" t="s">
        <v>107</v>
      </c>
      <c r="J57" t="s">
        <v>245</v>
      </c>
      <c r="K57">
        <v>800</v>
      </c>
      <c r="L57">
        <v>6</v>
      </c>
      <c r="M57">
        <v>2</v>
      </c>
      <c r="Q57" t="b">
        <f t="shared" si="1"/>
        <v>1</v>
      </c>
    </row>
    <row r="58" spans="1:17">
      <c r="A58">
        <f t="shared" si="0"/>
        <v>13</v>
      </c>
      <c r="B58" t="s">
        <v>103</v>
      </c>
      <c r="C58" s="2" t="s">
        <v>104</v>
      </c>
      <c r="D58" t="s">
        <v>105</v>
      </c>
      <c r="E58">
        <v>33</v>
      </c>
      <c r="F58" t="s">
        <v>14</v>
      </c>
      <c r="G58" t="s">
        <v>15</v>
      </c>
      <c r="H58" t="s">
        <v>850</v>
      </c>
      <c r="I58" t="s">
        <v>108</v>
      </c>
      <c r="J58" t="s">
        <v>263</v>
      </c>
      <c r="K58">
        <v>1</v>
      </c>
      <c r="L58">
        <v>5</v>
      </c>
      <c r="M58">
        <v>3</v>
      </c>
      <c r="Q58" t="b">
        <f t="shared" si="1"/>
        <v>1</v>
      </c>
    </row>
    <row r="59" spans="1:17">
      <c r="A59">
        <f t="shared" si="0"/>
        <v>13</v>
      </c>
      <c r="B59" t="s">
        <v>103</v>
      </c>
      <c r="C59" s="2" t="s">
        <v>104</v>
      </c>
      <c r="D59" t="s">
        <v>105</v>
      </c>
      <c r="E59">
        <v>33</v>
      </c>
      <c r="F59" t="s">
        <v>14</v>
      </c>
      <c r="G59" t="s">
        <v>15</v>
      </c>
      <c r="H59" t="s">
        <v>850</v>
      </c>
      <c r="I59" t="s">
        <v>109</v>
      </c>
      <c r="J59" t="s">
        <v>245</v>
      </c>
      <c r="K59">
        <v>800</v>
      </c>
      <c r="L59">
        <v>6</v>
      </c>
      <c r="M59">
        <v>2</v>
      </c>
      <c r="Q59" t="b">
        <f t="shared" si="1"/>
        <v>1</v>
      </c>
    </row>
    <row r="60" spans="1:17">
      <c r="A60">
        <f t="shared" si="0"/>
        <v>13</v>
      </c>
      <c r="B60" t="s">
        <v>103</v>
      </c>
      <c r="C60" s="2" t="s">
        <v>104</v>
      </c>
      <c r="D60" t="s">
        <v>105</v>
      </c>
      <c r="E60">
        <v>33</v>
      </c>
      <c r="F60" t="s">
        <v>14</v>
      </c>
      <c r="G60" t="s">
        <v>15</v>
      </c>
      <c r="H60" t="s">
        <v>850</v>
      </c>
      <c r="I60" t="s">
        <v>109</v>
      </c>
      <c r="J60" t="s">
        <v>263</v>
      </c>
      <c r="K60">
        <v>1</v>
      </c>
      <c r="L60">
        <v>4</v>
      </c>
      <c r="M60">
        <v>2</v>
      </c>
      <c r="Q60" t="b">
        <f t="shared" si="1"/>
        <v>1</v>
      </c>
    </row>
    <row r="61" spans="1:17">
      <c r="A61">
        <f t="shared" si="0"/>
        <v>13</v>
      </c>
      <c r="B61" t="s">
        <v>103</v>
      </c>
      <c r="C61" s="2" t="s">
        <v>104</v>
      </c>
      <c r="D61" t="s">
        <v>105</v>
      </c>
      <c r="E61">
        <v>33</v>
      </c>
      <c r="F61" t="s">
        <v>14</v>
      </c>
      <c r="G61" t="s">
        <v>15</v>
      </c>
      <c r="H61" t="s">
        <v>850</v>
      </c>
      <c r="I61" t="s">
        <v>109</v>
      </c>
      <c r="J61" t="s">
        <v>245</v>
      </c>
      <c r="K61">
        <v>800</v>
      </c>
      <c r="L61">
        <v>6</v>
      </c>
      <c r="M61">
        <v>3</v>
      </c>
      <c r="Q61" t="b">
        <f t="shared" si="1"/>
        <v>1</v>
      </c>
    </row>
    <row r="62" spans="1:17">
      <c r="A62">
        <f t="shared" si="0"/>
        <v>13</v>
      </c>
      <c r="B62" t="s">
        <v>103</v>
      </c>
      <c r="C62" s="2" t="s">
        <v>104</v>
      </c>
      <c r="D62" t="s">
        <v>105</v>
      </c>
      <c r="E62">
        <v>33</v>
      </c>
      <c r="F62" t="s">
        <v>14</v>
      </c>
      <c r="G62" t="s">
        <v>15</v>
      </c>
      <c r="H62" t="s">
        <v>850</v>
      </c>
      <c r="I62" t="s">
        <v>109</v>
      </c>
      <c r="J62" t="s">
        <v>263</v>
      </c>
      <c r="K62">
        <v>1</v>
      </c>
      <c r="L62">
        <v>6</v>
      </c>
      <c r="M62">
        <v>3</v>
      </c>
      <c r="Q62" t="b">
        <f t="shared" si="1"/>
        <v>1</v>
      </c>
    </row>
    <row r="63" spans="1:17">
      <c r="A63">
        <f t="shared" si="0"/>
        <v>13</v>
      </c>
      <c r="B63" t="s">
        <v>103</v>
      </c>
      <c r="C63" s="2" t="s">
        <v>104</v>
      </c>
      <c r="D63" t="s">
        <v>105</v>
      </c>
      <c r="E63">
        <v>33</v>
      </c>
      <c r="F63" t="s">
        <v>14</v>
      </c>
      <c r="G63" t="s">
        <v>15</v>
      </c>
      <c r="H63" t="s">
        <v>850</v>
      </c>
      <c r="I63" t="s">
        <v>109</v>
      </c>
      <c r="J63" t="s">
        <v>263</v>
      </c>
      <c r="K63">
        <v>1</v>
      </c>
      <c r="L63">
        <v>5</v>
      </c>
      <c r="M63">
        <v>3</v>
      </c>
      <c r="Q63" t="b">
        <f t="shared" si="1"/>
        <v>1</v>
      </c>
    </row>
    <row r="64" spans="1:17">
      <c r="A64">
        <f t="shared" si="0"/>
        <v>14</v>
      </c>
      <c r="B64" t="s">
        <v>110</v>
      </c>
      <c r="C64" s="2" t="s">
        <v>111</v>
      </c>
      <c r="D64" t="s">
        <v>112</v>
      </c>
      <c r="E64">
        <v>28</v>
      </c>
      <c r="F64" t="s">
        <v>113</v>
      </c>
      <c r="G64" t="s">
        <v>15</v>
      </c>
      <c r="H64" t="s">
        <v>850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P64" t="s">
        <v>115</v>
      </c>
      <c r="Q64" t="b">
        <f t="shared" si="1"/>
        <v>0</v>
      </c>
    </row>
    <row r="65" spans="1:17">
      <c r="A65">
        <f t="shared" si="0"/>
        <v>15</v>
      </c>
      <c r="B65" t="s">
        <v>116</v>
      </c>
      <c r="C65" s="2" t="s">
        <v>1112</v>
      </c>
      <c r="D65" t="s">
        <v>117</v>
      </c>
      <c r="E65">
        <v>32</v>
      </c>
      <c r="F65" t="s">
        <v>118</v>
      </c>
      <c r="G65" t="s">
        <v>15</v>
      </c>
      <c r="H65" t="s">
        <v>850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P65" t="s">
        <v>115</v>
      </c>
      <c r="Q65" t="b">
        <f t="shared" si="1"/>
        <v>1</v>
      </c>
    </row>
    <row r="66" spans="1:17">
      <c r="A66">
        <f t="shared" ref="A66:A129" si="2">IF(ROW()=2,1,IF(B66=B65,A65,A65+1))</f>
        <v>16</v>
      </c>
      <c r="B66" t="s">
        <v>119</v>
      </c>
      <c r="C66" s="2" t="s">
        <v>120</v>
      </c>
      <c r="D66" t="s">
        <v>121</v>
      </c>
      <c r="E66">
        <v>32</v>
      </c>
      <c r="F66" t="s">
        <v>14</v>
      </c>
      <c r="G66" t="s">
        <v>15</v>
      </c>
      <c r="H66" t="s">
        <v>850</v>
      </c>
      <c r="I66" t="s">
        <v>122</v>
      </c>
      <c r="J66" t="s">
        <v>245</v>
      </c>
      <c r="K66">
        <v>800</v>
      </c>
      <c r="L66" t="s">
        <v>26</v>
      </c>
      <c r="M66" t="s">
        <v>26</v>
      </c>
      <c r="Q66" t="b">
        <f t="shared" ref="Q66:Q129" si="3">ISODD(A66)</f>
        <v>0</v>
      </c>
    </row>
    <row r="67" spans="1:17">
      <c r="A67">
        <f t="shared" si="2"/>
        <v>16</v>
      </c>
      <c r="B67" t="s">
        <v>119</v>
      </c>
      <c r="C67" s="2" t="s">
        <v>120</v>
      </c>
      <c r="D67" t="s">
        <v>121</v>
      </c>
      <c r="E67">
        <v>32</v>
      </c>
      <c r="F67" t="s">
        <v>14</v>
      </c>
      <c r="G67" t="s">
        <v>15</v>
      </c>
      <c r="H67" t="s">
        <v>850</v>
      </c>
      <c r="I67" t="s">
        <v>123</v>
      </c>
      <c r="J67" t="s">
        <v>245</v>
      </c>
      <c r="K67">
        <v>800</v>
      </c>
      <c r="L67" t="s">
        <v>26</v>
      </c>
      <c r="M67" t="s">
        <v>26</v>
      </c>
      <c r="Q67" t="b">
        <f t="shared" si="3"/>
        <v>0</v>
      </c>
    </row>
    <row r="68" spans="1:17">
      <c r="A68">
        <f t="shared" si="2"/>
        <v>16</v>
      </c>
      <c r="B68" t="s">
        <v>119</v>
      </c>
      <c r="C68" s="2" t="s">
        <v>120</v>
      </c>
      <c r="D68" t="s">
        <v>121</v>
      </c>
      <c r="E68">
        <v>32</v>
      </c>
      <c r="F68" t="s">
        <v>14</v>
      </c>
      <c r="G68" t="s">
        <v>15</v>
      </c>
      <c r="H68" t="s">
        <v>850</v>
      </c>
      <c r="I68" t="s">
        <v>121</v>
      </c>
      <c r="J68" t="s">
        <v>245</v>
      </c>
      <c r="K68">
        <v>800</v>
      </c>
      <c r="L68" t="s">
        <v>26</v>
      </c>
      <c r="M68" t="s">
        <v>26</v>
      </c>
      <c r="Q68" t="b">
        <f t="shared" si="3"/>
        <v>0</v>
      </c>
    </row>
    <row r="69" spans="1:17">
      <c r="A69">
        <f t="shared" si="2"/>
        <v>17</v>
      </c>
      <c r="B69" t="s">
        <v>124</v>
      </c>
      <c r="C69" s="2" t="s">
        <v>125</v>
      </c>
      <c r="D69" t="s">
        <v>126</v>
      </c>
      <c r="E69">
        <v>36</v>
      </c>
      <c r="F69" t="s">
        <v>14</v>
      </c>
      <c r="G69" t="s">
        <v>15</v>
      </c>
      <c r="H69" t="s">
        <v>850</v>
      </c>
      <c r="I69" t="s">
        <v>127</v>
      </c>
      <c r="J69" t="s">
        <v>245</v>
      </c>
      <c r="K69">
        <v>800</v>
      </c>
      <c r="L69">
        <v>5</v>
      </c>
      <c r="M69">
        <v>0</v>
      </c>
      <c r="Q69" t="b">
        <f t="shared" si="3"/>
        <v>1</v>
      </c>
    </row>
    <row r="70" spans="1:17">
      <c r="A70">
        <f t="shared" si="2"/>
        <v>17</v>
      </c>
      <c r="B70" t="s">
        <v>124</v>
      </c>
      <c r="C70" s="2" t="s">
        <v>125</v>
      </c>
      <c r="D70" t="s">
        <v>126</v>
      </c>
      <c r="E70">
        <v>36</v>
      </c>
      <c r="F70" t="s">
        <v>14</v>
      </c>
      <c r="G70" t="s">
        <v>15</v>
      </c>
      <c r="H70" t="s">
        <v>850</v>
      </c>
      <c r="I70" t="s">
        <v>128</v>
      </c>
      <c r="J70" t="s">
        <v>245</v>
      </c>
      <c r="K70">
        <v>800</v>
      </c>
      <c r="L70">
        <v>3</v>
      </c>
      <c r="M70">
        <v>0</v>
      </c>
      <c r="Q70" t="b">
        <f t="shared" si="3"/>
        <v>1</v>
      </c>
    </row>
    <row r="71" spans="1:17">
      <c r="A71">
        <f t="shared" si="2"/>
        <v>17</v>
      </c>
      <c r="B71" t="s">
        <v>124</v>
      </c>
      <c r="C71" s="2" t="s">
        <v>125</v>
      </c>
      <c r="D71" t="s">
        <v>126</v>
      </c>
      <c r="E71">
        <v>36</v>
      </c>
      <c r="F71" t="s">
        <v>14</v>
      </c>
      <c r="G71" t="s">
        <v>15</v>
      </c>
      <c r="H71" t="s">
        <v>850</v>
      </c>
      <c r="I71" t="s">
        <v>129</v>
      </c>
      <c r="J71" t="s">
        <v>245</v>
      </c>
      <c r="K71">
        <v>800</v>
      </c>
      <c r="L71">
        <v>3</v>
      </c>
      <c r="M71">
        <v>0</v>
      </c>
      <c r="Q71" t="b">
        <f t="shared" si="3"/>
        <v>1</v>
      </c>
    </row>
    <row r="72" spans="1:17">
      <c r="A72">
        <f t="shared" si="2"/>
        <v>18</v>
      </c>
      <c r="B72" t="s">
        <v>130</v>
      </c>
      <c r="C72" s="2" t="s">
        <v>131</v>
      </c>
      <c r="D72" t="s">
        <v>132</v>
      </c>
      <c r="E72">
        <v>27</v>
      </c>
      <c r="F72" t="s">
        <v>14</v>
      </c>
      <c r="G72" t="s">
        <v>30</v>
      </c>
      <c r="H72" t="s">
        <v>850</v>
      </c>
      <c r="I72" t="s">
        <v>133</v>
      </c>
      <c r="J72" t="s">
        <v>256</v>
      </c>
      <c r="K72">
        <v>30</v>
      </c>
      <c r="L72">
        <v>3</v>
      </c>
      <c r="M72" t="s">
        <v>32</v>
      </c>
      <c r="Q72" t="b">
        <f t="shared" si="3"/>
        <v>0</v>
      </c>
    </row>
    <row r="73" spans="1:17">
      <c r="A73">
        <f t="shared" si="2"/>
        <v>18</v>
      </c>
      <c r="B73" t="s">
        <v>130</v>
      </c>
      <c r="C73" s="2" t="s">
        <v>131</v>
      </c>
      <c r="D73" t="s">
        <v>132</v>
      </c>
      <c r="E73">
        <v>27</v>
      </c>
      <c r="F73" t="s">
        <v>14</v>
      </c>
      <c r="G73" t="s">
        <v>30</v>
      </c>
      <c r="H73" t="s">
        <v>850</v>
      </c>
      <c r="I73" t="s">
        <v>134</v>
      </c>
      <c r="J73" t="s">
        <v>256</v>
      </c>
      <c r="K73">
        <v>30</v>
      </c>
      <c r="L73">
        <v>5</v>
      </c>
      <c r="M73" t="s">
        <v>32</v>
      </c>
      <c r="Q73" t="b">
        <f t="shared" si="3"/>
        <v>0</v>
      </c>
    </row>
    <row r="74" spans="1:17">
      <c r="A74">
        <f t="shared" si="2"/>
        <v>18</v>
      </c>
      <c r="B74" t="s">
        <v>130</v>
      </c>
      <c r="C74" s="2" t="s">
        <v>131</v>
      </c>
      <c r="D74" t="s">
        <v>132</v>
      </c>
      <c r="E74">
        <v>27</v>
      </c>
      <c r="F74" t="s">
        <v>14</v>
      </c>
      <c r="G74" t="s">
        <v>30</v>
      </c>
      <c r="H74" t="s">
        <v>850</v>
      </c>
      <c r="I74" t="s">
        <v>135</v>
      </c>
      <c r="J74" t="s">
        <v>263</v>
      </c>
      <c r="K74">
        <v>1</v>
      </c>
      <c r="L74">
        <v>5</v>
      </c>
      <c r="M74" t="s">
        <v>32</v>
      </c>
      <c r="Q74" t="b">
        <f t="shared" si="3"/>
        <v>0</v>
      </c>
    </row>
    <row r="75" spans="1:17">
      <c r="A75">
        <f t="shared" si="2"/>
        <v>18</v>
      </c>
      <c r="B75" t="s">
        <v>130</v>
      </c>
      <c r="C75" s="2" t="s">
        <v>131</v>
      </c>
      <c r="D75" t="s">
        <v>132</v>
      </c>
      <c r="E75">
        <v>27</v>
      </c>
      <c r="F75" t="s">
        <v>14</v>
      </c>
      <c r="G75" t="s">
        <v>30</v>
      </c>
      <c r="H75" t="s">
        <v>850</v>
      </c>
      <c r="I75" t="s">
        <v>135</v>
      </c>
      <c r="J75" t="s">
        <v>256</v>
      </c>
      <c r="K75">
        <v>30</v>
      </c>
      <c r="L75">
        <v>4</v>
      </c>
      <c r="M75" t="s">
        <v>32</v>
      </c>
      <c r="Q75" t="b">
        <f t="shared" si="3"/>
        <v>0</v>
      </c>
    </row>
    <row r="76" spans="1:17">
      <c r="A76">
        <f t="shared" si="2"/>
        <v>18</v>
      </c>
      <c r="B76" t="s">
        <v>130</v>
      </c>
      <c r="C76" s="2" t="s">
        <v>131</v>
      </c>
      <c r="D76" t="s">
        <v>132</v>
      </c>
      <c r="E76">
        <v>27</v>
      </c>
      <c r="F76" t="s">
        <v>14</v>
      </c>
      <c r="G76" t="s">
        <v>30</v>
      </c>
      <c r="H76" t="s">
        <v>850</v>
      </c>
      <c r="I76" t="s">
        <v>136</v>
      </c>
      <c r="J76" t="s">
        <v>263</v>
      </c>
      <c r="K76">
        <v>1</v>
      </c>
      <c r="L76">
        <v>4</v>
      </c>
      <c r="M76">
        <v>3</v>
      </c>
      <c r="Q76" t="b">
        <f t="shared" si="3"/>
        <v>0</v>
      </c>
    </row>
    <row r="77" spans="1:17">
      <c r="A77">
        <f t="shared" si="2"/>
        <v>18</v>
      </c>
      <c r="B77" t="s">
        <v>130</v>
      </c>
      <c r="C77" s="2" t="s">
        <v>131</v>
      </c>
      <c r="D77" t="s">
        <v>132</v>
      </c>
      <c r="E77">
        <v>27</v>
      </c>
      <c r="F77" t="s">
        <v>14</v>
      </c>
      <c r="G77" t="s">
        <v>30</v>
      </c>
      <c r="H77" t="s">
        <v>850</v>
      </c>
      <c r="I77" t="s">
        <v>132</v>
      </c>
      <c r="J77" t="s">
        <v>245</v>
      </c>
      <c r="K77">
        <v>800</v>
      </c>
      <c r="L77">
        <v>3</v>
      </c>
      <c r="M77">
        <v>0</v>
      </c>
      <c r="Q77" t="b">
        <f t="shared" si="3"/>
        <v>0</v>
      </c>
    </row>
    <row r="78" spans="1:17">
      <c r="A78">
        <f t="shared" si="2"/>
        <v>19</v>
      </c>
      <c r="B78" t="s">
        <v>137</v>
      </c>
      <c r="C78" s="2" t="s">
        <v>138</v>
      </c>
      <c r="D78" t="s">
        <v>139</v>
      </c>
      <c r="E78">
        <v>37</v>
      </c>
      <c r="F78" t="s">
        <v>14</v>
      </c>
      <c r="G78" t="s">
        <v>30</v>
      </c>
      <c r="H78" t="s">
        <v>850</v>
      </c>
      <c r="I78" s="2" t="s">
        <v>140</v>
      </c>
      <c r="J78" t="s">
        <v>256</v>
      </c>
      <c r="K78">
        <v>30</v>
      </c>
      <c r="L78">
        <v>7</v>
      </c>
      <c r="M78">
        <v>4</v>
      </c>
      <c r="Q78" t="b">
        <f t="shared" si="3"/>
        <v>1</v>
      </c>
    </row>
    <row r="79" spans="1:17">
      <c r="A79">
        <f t="shared" si="2"/>
        <v>19</v>
      </c>
      <c r="B79" t="s">
        <v>137</v>
      </c>
      <c r="C79" s="2" t="s">
        <v>138</v>
      </c>
      <c r="D79" t="s">
        <v>139</v>
      </c>
      <c r="E79">
        <v>37</v>
      </c>
      <c r="F79" t="s">
        <v>14</v>
      </c>
      <c r="G79" t="s">
        <v>30</v>
      </c>
      <c r="H79" t="s">
        <v>850</v>
      </c>
      <c r="I79" s="2" t="s">
        <v>141</v>
      </c>
      <c r="J79" t="s">
        <v>256</v>
      </c>
      <c r="K79">
        <v>30</v>
      </c>
      <c r="L79">
        <v>2</v>
      </c>
      <c r="M79">
        <v>0</v>
      </c>
      <c r="Q79" t="b">
        <f t="shared" si="3"/>
        <v>1</v>
      </c>
    </row>
    <row r="80" spans="1:17">
      <c r="A80">
        <f t="shared" si="2"/>
        <v>19</v>
      </c>
      <c r="B80" t="s">
        <v>137</v>
      </c>
      <c r="C80" s="2" t="s">
        <v>138</v>
      </c>
      <c r="D80" t="s">
        <v>139</v>
      </c>
      <c r="E80">
        <v>37</v>
      </c>
      <c r="F80" t="s">
        <v>14</v>
      </c>
      <c r="G80" t="s">
        <v>30</v>
      </c>
      <c r="H80" t="s">
        <v>850</v>
      </c>
      <c r="I80" t="s">
        <v>142</v>
      </c>
      <c r="J80" t="s">
        <v>256</v>
      </c>
      <c r="K80">
        <v>30</v>
      </c>
      <c r="L80">
        <v>3</v>
      </c>
      <c r="M80">
        <v>0</v>
      </c>
      <c r="Q80" t="b">
        <f t="shared" si="3"/>
        <v>1</v>
      </c>
    </row>
    <row r="81" spans="1:17">
      <c r="A81">
        <f t="shared" si="2"/>
        <v>19</v>
      </c>
      <c r="B81" t="s">
        <v>137</v>
      </c>
      <c r="C81" s="2" t="s">
        <v>138</v>
      </c>
      <c r="D81" t="s">
        <v>139</v>
      </c>
      <c r="E81">
        <v>37</v>
      </c>
      <c r="F81" t="s">
        <v>14</v>
      </c>
      <c r="G81" t="s">
        <v>30</v>
      </c>
      <c r="H81" t="s">
        <v>850</v>
      </c>
      <c r="I81" t="s">
        <v>139</v>
      </c>
      <c r="J81" t="s">
        <v>256</v>
      </c>
      <c r="K81">
        <v>30</v>
      </c>
      <c r="L81">
        <v>5</v>
      </c>
      <c r="M81">
        <v>3</v>
      </c>
      <c r="Q81" t="b">
        <f t="shared" si="3"/>
        <v>1</v>
      </c>
    </row>
    <row r="82" spans="1:17">
      <c r="A82">
        <f t="shared" si="2"/>
        <v>20</v>
      </c>
      <c r="B82" t="s">
        <v>143</v>
      </c>
      <c r="C82" s="2" t="s">
        <v>144</v>
      </c>
      <c r="D82" t="s">
        <v>145</v>
      </c>
      <c r="E82">
        <v>26</v>
      </c>
      <c r="F82" t="s">
        <v>146</v>
      </c>
      <c r="G82" t="s">
        <v>30</v>
      </c>
      <c r="H82" t="s">
        <v>850</v>
      </c>
      <c r="I82" t="s">
        <v>147</v>
      </c>
      <c r="J82" t="s">
        <v>256</v>
      </c>
      <c r="K82">
        <v>30</v>
      </c>
      <c r="L82">
        <v>7</v>
      </c>
      <c r="M82">
        <v>3</v>
      </c>
      <c r="N82">
        <v>4</v>
      </c>
      <c r="Q82" t="b">
        <f t="shared" si="3"/>
        <v>0</v>
      </c>
    </row>
    <row r="83" spans="1:17">
      <c r="A83">
        <f t="shared" si="2"/>
        <v>20</v>
      </c>
      <c r="B83" t="s">
        <v>143</v>
      </c>
      <c r="C83" s="2" t="s">
        <v>144</v>
      </c>
      <c r="D83" t="s">
        <v>145</v>
      </c>
      <c r="E83">
        <v>26</v>
      </c>
      <c r="F83" t="s">
        <v>146</v>
      </c>
      <c r="G83" t="s">
        <v>30</v>
      </c>
      <c r="H83" t="s">
        <v>850</v>
      </c>
      <c r="I83" t="s">
        <v>148</v>
      </c>
      <c r="J83" t="s">
        <v>256</v>
      </c>
      <c r="K83">
        <v>30</v>
      </c>
      <c r="L83">
        <v>4</v>
      </c>
      <c r="M83">
        <v>1</v>
      </c>
      <c r="N83">
        <v>4</v>
      </c>
      <c r="Q83" t="b">
        <f t="shared" si="3"/>
        <v>0</v>
      </c>
    </row>
    <row r="84" spans="1:17">
      <c r="A84">
        <f t="shared" si="2"/>
        <v>20</v>
      </c>
      <c r="B84" t="s">
        <v>143</v>
      </c>
      <c r="C84" s="2" t="s">
        <v>144</v>
      </c>
      <c r="D84" t="s">
        <v>145</v>
      </c>
      <c r="E84">
        <v>26</v>
      </c>
      <c r="F84" t="s">
        <v>146</v>
      </c>
      <c r="G84" t="s">
        <v>30</v>
      </c>
      <c r="H84" t="s">
        <v>850</v>
      </c>
      <c r="I84" t="s">
        <v>149</v>
      </c>
      <c r="J84" t="s">
        <v>256</v>
      </c>
      <c r="K84">
        <v>30</v>
      </c>
      <c r="L84">
        <v>7</v>
      </c>
      <c r="M84">
        <v>5</v>
      </c>
      <c r="N84">
        <v>4</v>
      </c>
      <c r="Q84" t="b">
        <f t="shared" si="3"/>
        <v>0</v>
      </c>
    </row>
    <row r="85" spans="1:17">
      <c r="A85">
        <f t="shared" si="2"/>
        <v>20</v>
      </c>
      <c r="B85" t="s">
        <v>143</v>
      </c>
      <c r="C85" s="2" t="s">
        <v>144</v>
      </c>
      <c r="D85" t="s">
        <v>145</v>
      </c>
      <c r="E85">
        <v>26</v>
      </c>
      <c r="F85" t="s">
        <v>146</v>
      </c>
      <c r="G85" t="s">
        <v>30</v>
      </c>
      <c r="H85" t="s">
        <v>850</v>
      </c>
      <c r="I85" t="s">
        <v>149</v>
      </c>
      <c r="J85" t="s">
        <v>263</v>
      </c>
      <c r="K85">
        <v>1</v>
      </c>
      <c r="L85">
        <v>7</v>
      </c>
      <c r="M85">
        <v>5</v>
      </c>
      <c r="N85">
        <v>2</v>
      </c>
      <c r="Q85" t="b">
        <f t="shared" si="3"/>
        <v>0</v>
      </c>
    </row>
    <row r="86" spans="1:17">
      <c r="A86">
        <f t="shared" si="2"/>
        <v>20</v>
      </c>
      <c r="B86" t="s">
        <v>143</v>
      </c>
      <c r="C86" s="2" t="s">
        <v>144</v>
      </c>
      <c r="D86" t="s">
        <v>145</v>
      </c>
      <c r="E86">
        <v>26</v>
      </c>
      <c r="F86" t="s">
        <v>146</v>
      </c>
      <c r="G86" t="s">
        <v>30</v>
      </c>
      <c r="H86" t="s">
        <v>850</v>
      </c>
      <c r="I86" t="s">
        <v>150</v>
      </c>
      <c r="J86" t="s">
        <v>263</v>
      </c>
      <c r="K86">
        <v>2</v>
      </c>
      <c r="L86">
        <v>8</v>
      </c>
      <c r="M86">
        <v>4</v>
      </c>
      <c r="N86">
        <v>2</v>
      </c>
      <c r="Q86" t="b">
        <f t="shared" si="3"/>
        <v>0</v>
      </c>
    </row>
    <row r="87" spans="1:17">
      <c r="A87">
        <f t="shared" si="2"/>
        <v>20</v>
      </c>
      <c r="B87" t="s">
        <v>143</v>
      </c>
      <c r="C87" s="2" t="s">
        <v>144</v>
      </c>
      <c r="D87" t="s">
        <v>145</v>
      </c>
      <c r="E87">
        <v>26</v>
      </c>
      <c r="F87" t="s">
        <v>146</v>
      </c>
      <c r="G87" t="s">
        <v>30</v>
      </c>
      <c r="H87" t="s">
        <v>850</v>
      </c>
      <c r="I87" s="2" t="s">
        <v>145</v>
      </c>
      <c r="J87" t="s">
        <v>256</v>
      </c>
      <c r="K87">
        <v>30</v>
      </c>
      <c r="L87">
        <v>7</v>
      </c>
      <c r="M87">
        <v>4</v>
      </c>
      <c r="N87">
        <v>4</v>
      </c>
      <c r="Q87" t="b">
        <f t="shared" si="3"/>
        <v>0</v>
      </c>
    </row>
    <row r="88" spans="1:17">
      <c r="A88">
        <f t="shared" si="2"/>
        <v>21</v>
      </c>
      <c r="B88" t="s">
        <v>151</v>
      </c>
      <c r="C88" s="2" t="s">
        <v>152</v>
      </c>
      <c r="D88" t="s">
        <v>153</v>
      </c>
      <c r="E88">
        <v>29</v>
      </c>
      <c r="F88" t="s">
        <v>14</v>
      </c>
      <c r="G88" t="s">
        <v>15</v>
      </c>
      <c r="H88" t="s">
        <v>850</v>
      </c>
      <c r="I88" t="s">
        <v>154</v>
      </c>
      <c r="J88" t="s">
        <v>245</v>
      </c>
      <c r="K88">
        <v>800</v>
      </c>
      <c r="L88">
        <v>0</v>
      </c>
      <c r="M88">
        <v>0</v>
      </c>
      <c r="Q88" t="b">
        <f t="shared" si="3"/>
        <v>1</v>
      </c>
    </row>
    <row r="89" spans="1:17">
      <c r="A89">
        <f t="shared" si="2"/>
        <v>21</v>
      </c>
      <c r="B89" t="s">
        <v>151</v>
      </c>
      <c r="C89" s="2" t="s">
        <v>152</v>
      </c>
      <c r="D89" t="s">
        <v>153</v>
      </c>
      <c r="E89">
        <v>29</v>
      </c>
      <c r="F89" t="s">
        <v>14</v>
      </c>
      <c r="G89" t="s">
        <v>15</v>
      </c>
      <c r="H89" t="s">
        <v>850</v>
      </c>
      <c r="I89" t="s">
        <v>155</v>
      </c>
      <c r="J89" t="s">
        <v>245</v>
      </c>
      <c r="K89">
        <v>800</v>
      </c>
      <c r="L89">
        <v>2</v>
      </c>
      <c r="M89">
        <v>1</v>
      </c>
      <c r="Q89" t="b">
        <f t="shared" si="3"/>
        <v>1</v>
      </c>
    </row>
    <row r="90" spans="1:17">
      <c r="A90">
        <f t="shared" si="2"/>
        <v>22</v>
      </c>
      <c r="B90" t="s">
        <v>156</v>
      </c>
      <c r="C90" s="2" t="s">
        <v>157</v>
      </c>
      <c r="D90" t="s">
        <v>158</v>
      </c>
      <c r="E90">
        <v>34</v>
      </c>
      <c r="F90" t="s">
        <v>14</v>
      </c>
      <c r="G90" t="s">
        <v>30</v>
      </c>
      <c r="H90" t="s">
        <v>850</v>
      </c>
      <c r="I90" t="s">
        <v>159</v>
      </c>
      <c r="J90" t="s">
        <v>256</v>
      </c>
      <c r="K90">
        <v>30</v>
      </c>
      <c r="L90">
        <v>4</v>
      </c>
      <c r="M90">
        <v>0</v>
      </c>
      <c r="Q90" t="b">
        <f t="shared" si="3"/>
        <v>0</v>
      </c>
    </row>
    <row r="91" spans="1:17">
      <c r="A91">
        <f t="shared" si="2"/>
        <v>22</v>
      </c>
      <c r="B91" t="s">
        <v>156</v>
      </c>
      <c r="C91" s="2" t="s">
        <v>157</v>
      </c>
      <c r="D91" t="s">
        <v>158</v>
      </c>
      <c r="E91">
        <v>34</v>
      </c>
      <c r="F91" t="s">
        <v>14</v>
      </c>
      <c r="G91" t="s">
        <v>30</v>
      </c>
      <c r="H91" t="s">
        <v>850</v>
      </c>
      <c r="I91" t="s">
        <v>158</v>
      </c>
      <c r="J91" t="s">
        <v>256</v>
      </c>
      <c r="K91">
        <v>30</v>
      </c>
      <c r="L91">
        <v>3</v>
      </c>
      <c r="M91">
        <v>1</v>
      </c>
      <c r="Q91" t="b">
        <f t="shared" si="3"/>
        <v>0</v>
      </c>
    </row>
    <row r="92" spans="1:17">
      <c r="A92">
        <f t="shared" si="2"/>
        <v>23</v>
      </c>
      <c r="B92" t="s">
        <v>160</v>
      </c>
      <c r="C92" s="2" t="s">
        <v>161</v>
      </c>
      <c r="D92" t="s">
        <v>162</v>
      </c>
      <c r="E92">
        <v>25</v>
      </c>
      <c r="F92" t="s">
        <v>36</v>
      </c>
      <c r="G92" t="s">
        <v>15</v>
      </c>
      <c r="H92" t="s">
        <v>850</v>
      </c>
      <c r="I92" t="s">
        <v>26</v>
      </c>
      <c r="J92" t="s">
        <v>26</v>
      </c>
      <c r="K92" t="s">
        <v>26</v>
      </c>
      <c r="L92" t="s">
        <v>26</v>
      </c>
      <c r="M92" t="s">
        <v>26</v>
      </c>
      <c r="N92" t="s">
        <v>26</v>
      </c>
      <c r="P92" t="s">
        <v>115</v>
      </c>
      <c r="Q92" t="b">
        <f t="shared" si="3"/>
        <v>1</v>
      </c>
    </row>
    <row r="93" spans="1:17">
      <c r="A93">
        <f t="shared" si="2"/>
        <v>24</v>
      </c>
      <c r="B93" t="s">
        <v>163</v>
      </c>
      <c r="C93" s="2" t="s">
        <v>164</v>
      </c>
      <c r="D93" t="s">
        <v>165</v>
      </c>
      <c r="E93">
        <v>36</v>
      </c>
      <c r="F93" t="s">
        <v>36</v>
      </c>
      <c r="G93" t="s">
        <v>30</v>
      </c>
      <c r="H93" t="s">
        <v>850</v>
      </c>
      <c r="I93" t="s">
        <v>165</v>
      </c>
      <c r="J93" t="s">
        <v>245</v>
      </c>
      <c r="K93">
        <v>800</v>
      </c>
      <c r="L93">
        <v>3</v>
      </c>
      <c r="M93">
        <v>0</v>
      </c>
      <c r="Q93" t="b">
        <f t="shared" si="3"/>
        <v>0</v>
      </c>
    </row>
    <row r="94" spans="1:17">
      <c r="A94">
        <f t="shared" si="2"/>
        <v>25</v>
      </c>
      <c r="B94" t="s">
        <v>166</v>
      </c>
      <c r="C94" s="2" t="s">
        <v>167</v>
      </c>
      <c r="D94" t="s">
        <v>168</v>
      </c>
      <c r="E94">
        <v>20</v>
      </c>
      <c r="F94" t="s">
        <v>14</v>
      </c>
      <c r="G94" t="s">
        <v>15</v>
      </c>
      <c r="H94" t="s">
        <v>850</v>
      </c>
      <c r="I94" t="s">
        <v>169</v>
      </c>
      <c r="J94" t="s">
        <v>245</v>
      </c>
      <c r="K94">
        <v>800</v>
      </c>
      <c r="L94">
        <v>4</v>
      </c>
      <c r="M94">
        <v>2</v>
      </c>
      <c r="Q94" t="b">
        <f t="shared" si="3"/>
        <v>1</v>
      </c>
    </row>
    <row r="95" spans="1:17">
      <c r="A95">
        <f t="shared" si="2"/>
        <v>25</v>
      </c>
      <c r="B95" t="s">
        <v>166</v>
      </c>
      <c r="C95" s="2" t="s">
        <v>167</v>
      </c>
      <c r="D95" t="s">
        <v>168</v>
      </c>
      <c r="E95">
        <v>20</v>
      </c>
      <c r="F95" t="s">
        <v>14</v>
      </c>
      <c r="G95" t="s">
        <v>15</v>
      </c>
      <c r="H95" t="s">
        <v>850</v>
      </c>
      <c r="I95" t="s">
        <v>170</v>
      </c>
      <c r="J95" t="s">
        <v>245</v>
      </c>
      <c r="K95">
        <v>800</v>
      </c>
      <c r="L95">
        <v>2</v>
      </c>
      <c r="M95">
        <v>2</v>
      </c>
      <c r="Q95" t="b">
        <f t="shared" si="3"/>
        <v>1</v>
      </c>
    </row>
    <row r="96" spans="1:17">
      <c r="A96">
        <f t="shared" si="2"/>
        <v>25</v>
      </c>
      <c r="B96" t="s">
        <v>166</v>
      </c>
      <c r="C96" s="2" t="s">
        <v>167</v>
      </c>
      <c r="D96" t="s">
        <v>168</v>
      </c>
      <c r="E96">
        <v>20</v>
      </c>
      <c r="F96" t="s">
        <v>14</v>
      </c>
      <c r="G96" t="s">
        <v>15</v>
      </c>
      <c r="H96" t="s">
        <v>850</v>
      </c>
      <c r="I96" t="s">
        <v>168</v>
      </c>
      <c r="J96" t="s">
        <v>245</v>
      </c>
      <c r="K96">
        <v>800</v>
      </c>
      <c r="L96">
        <v>2</v>
      </c>
      <c r="M96">
        <v>2</v>
      </c>
      <c r="Q96" t="b">
        <f t="shared" si="3"/>
        <v>1</v>
      </c>
    </row>
    <row r="97" spans="1:17">
      <c r="A97">
        <f t="shared" si="2"/>
        <v>26</v>
      </c>
      <c r="B97" t="s">
        <v>171</v>
      </c>
      <c r="C97" s="2" t="s">
        <v>172</v>
      </c>
      <c r="D97" t="s">
        <v>173</v>
      </c>
      <c r="E97">
        <v>27</v>
      </c>
      <c r="F97" t="s">
        <v>14</v>
      </c>
      <c r="G97" t="s">
        <v>30</v>
      </c>
      <c r="H97" t="s">
        <v>850</v>
      </c>
      <c r="I97" t="s">
        <v>174</v>
      </c>
      <c r="J97" t="s">
        <v>256</v>
      </c>
      <c r="K97">
        <v>30</v>
      </c>
      <c r="L97">
        <v>4</v>
      </c>
      <c r="M97">
        <v>4</v>
      </c>
      <c r="Q97" t="b">
        <f t="shared" si="3"/>
        <v>0</v>
      </c>
    </row>
    <row r="98" spans="1:17">
      <c r="A98">
        <f t="shared" si="2"/>
        <v>26</v>
      </c>
      <c r="B98" t="s">
        <v>171</v>
      </c>
      <c r="C98" s="2" t="s">
        <v>172</v>
      </c>
      <c r="D98" t="s">
        <v>173</v>
      </c>
      <c r="E98">
        <v>27</v>
      </c>
      <c r="F98" t="s">
        <v>14</v>
      </c>
      <c r="G98" t="s">
        <v>30</v>
      </c>
      <c r="H98" t="s">
        <v>850</v>
      </c>
      <c r="I98" t="s">
        <v>175</v>
      </c>
      <c r="J98" t="s">
        <v>256</v>
      </c>
      <c r="K98">
        <v>30</v>
      </c>
      <c r="L98">
        <v>4</v>
      </c>
      <c r="M98">
        <v>0</v>
      </c>
      <c r="Q98" t="b">
        <f t="shared" si="3"/>
        <v>0</v>
      </c>
    </row>
    <row r="99" spans="1:17">
      <c r="A99">
        <f t="shared" si="2"/>
        <v>26</v>
      </c>
      <c r="B99" t="s">
        <v>171</v>
      </c>
      <c r="C99" s="2" t="s">
        <v>172</v>
      </c>
      <c r="D99" t="s">
        <v>173</v>
      </c>
      <c r="E99">
        <v>27</v>
      </c>
      <c r="F99" t="s">
        <v>14</v>
      </c>
      <c r="G99" t="s">
        <v>30</v>
      </c>
      <c r="H99" t="s">
        <v>850</v>
      </c>
      <c r="I99" t="s">
        <v>176</v>
      </c>
      <c r="J99" t="s">
        <v>256</v>
      </c>
      <c r="K99">
        <v>30</v>
      </c>
      <c r="L99">
        <v>3</v>
      </c>
      <c r="M99">
        <v>0</v>
      </c>
      <c r="Q99" t="b">
        <f t="shared" si="3"/>
        <v>0</v>
      </c>
    </row>
    <row r="100" spans="1:17">
      <c r="A100">
        <f t="shared" si="2"/>
        <v>26</v>
      </c>
      <c r="B100" t="s">
        <v>171</v>
      </c>
      <c r="C100" s="2" t="s">
        <v>172</v>
      </c>
      <c r="D100" t="s">
        <v>173</v>
      </c>
      <c r="E100">
        <v>27</v>
      </c>
      <c r="F100" t="s">
        <v>14</v>
      </c>
      <c r="G100" t="s">
        <v>30</v>
      </c>
      <c r="H100" t="s">
        <v>850</v>
      </c>
      <c r="I100" t="s">
        <v>177</v>
      </c>
      <c r="J100" t="s">
        <v>256</v>
      </c>
      <c r="K100">
        <v>30</v>
      </c>
      <c r="L100">
        <v>5</v>
      </c>
      <c r="M100">
        <v>0</v>
      </c>
      <c r="Q100" t="b">
        <f t="shared" si="3"/>
        <v>0</v>
      </c>
    </row>
    <row r="101" spans="1:17">
      <c r="A101">
        <f t="shared" si="2"/>
        <v>27</v>
      </c>
      <c r="B101" t="s">
        <v>178</v>
      </c>
      <c r="C101" s="2" t="s">
        <v>179</v>
      </c>
      <c r="D101" t="s">
        <v>180</v>
      </c>
      <c r="E101">
        <v>24</v>
      </c>
      <c r="F101" t="s">
        <v>113</v>
      </c>
      <c r="G101" t="s">
        <v>15</v>
      </c>
      <c r="H101" t="s">
        <v>850</v>
      </c>
      <c r="I101" t="s">
        <v>181</v>
      </c>
      <c r="J101" t="s">
        <v>245</v>
      </c>
      <c r="K101">
        <v>800</v>
      </c>
      <c r="L101">
        <v>3</v>
      </c>
      <c r="M101">
        <v>0</v>
      </c>
      <c r="Q101" t="b">
        <f t="shared" si="3"/>
        <v>1</v>
      </c>
    </row>
    <row r="102" spans="1:17">
      <c r="A102">
        <f t="shared" si="2"/>
        <v>27</v>
      </c>
      <c r="B102" t="s">
        <v>178</v>
      </c>
      <c r="C102" s="2" t="s">
        <v>179</v>
      </c>
      <c r="D102" t="s">
        <v>180</v>
      </c>
      <c r="E102">
        <v>24</v>
      </c>
      <c r="F102" t="s">
        <v>113</v>
      </c>
      <c r="G102" t="s">
        <v>15</v>
      </c>
      <c r="H102" t="s">
        <v>850</v>
      </c>
      <c r="I102" t="s">
        <v>182</v>
      </c>
      <c r="J102" t="s">
        <v>263</v>
      </c>
      <c r="K102">
        <v>1</v>
      </c>
      <c r="L102">
        <v>4</v>
      </c>
      <c r="M102">
        <v>0</v>
      </c>
      <c r="Q102" t="b">
        <f t="shared" si="3"/>
        <v>1</v>
      </c>
    </row>
    <row r="103" spans="1:17">
      <c r="A103">
        <f t="shared" si="2"/>
        <v>28</v>
      </c>
      <c r="B103" t="s">
        <v>183</v>
      </c>
      <c r="C103" s="2" t="s">
        <v>184</v>
      </c>
      <c r="D103" t="s">
        <v>185</v>
      </c>
      <c r="E103">
        <v>34</v>
      </c>
      <c r="F103" t="s">
        <v>14</v>
      </c>
      <c r="G103" t="s">
        <v>15</v>
      </c>
      <c r="H103" t="s">
        <v>850</v>
      </c>
      <c r="I103" s="2">
        <v>43269</v>
      </c>
      <c r="J103" t="s">
        <v>245</v>
      </c>
      <c r="K103">
        <v>800</v>
      </c>
      <c r="L103">
        <v>6</v>
      </c>
      <c r="M103">
        <v>0</v>
      </c>
      <c r="Q103" t="b">
        <f t="shared" si="3"/>
        <v>0</v>
      </c>
    </row>
    <row r="104" spans="1:17">
      <c r="A104">
        <f t="shared" si="2"/>
        <v>28</v>
      </c>
      <c r="B104" t="s">
        <v>183</v>
      </c>
      <c r="C104" s="2" t="s">
        <v>184</v>
      </c>
      <c r="D104" t="s">
        <v>185</v>
      </c>
      <c r="E104">
        <v>34</v>
      </c>
      <c r="F104" t="s">
        <v>14</v>
      </c>
      <c r="G104" t="s">
        <v>15</v>
      </c>
      <c r="H104" t="s">
        <v>850</v>
      </c>
      <c r="I104" s="2">
        <v>43269</v>
      </c>
      <c r="J104" t="s">
        <v>263</v>
      </c>
      <c r="K104">
        <v>1</v>
      </c>
      <c r="L104">
        <v>6</v>
      </c>
      <c r="M104">
        <v>0</v>
      </c>
      <c r="Q104" t="b">
        <f t="shared" si="3"/>
        <v>0</v>
      </c>
    </row>
    <row r="105" spans="1:17">
      <c r="A105">
        <f t="shared" si="2"/>
        <v>28</v>
      </c>
      <c r="B105" t="s">
        <v>183</v>
      </c>
      <c r="C105" s="2" t="s">
        <v>184</v>
      </c>
      <c r="D105" t="s">
        <v>185</v>
      </c>
      <c r="E105">
        <v>34</v>
      </c>
      <c r="F105" t="s">
        <v>14</v>
      </c>
      <c r="G105" t="s">
        <v>15</v>
      </c>
      <c r="H105" t="s">
        <v>850</v>
      </c>
      <c r="I105" t="s">
        <v>186</v>
      </c>
      <c r="J105" t="s">
        <v>245</v>
      </c>
      <c r="K105">
        <v>800</v>
      </c>
      <c r="L105">
        <v>4</v>
      </c>
      <c r="M105">
        <v>2</v>
      </c>
      <c r="Q105" t="b">
        <f t="shared" si="3"/>
        <v>0</v>
      </c>
    </row>
    <row r="106" spans="1:17">
      <c r="A106">
        <f t="shared" si="2"/>
        <v>28</v>
      </c>
      <c r="B106" t="s">
        <v>183</v>
      </c>
      <c r="C106" s="2" t="s">
        <v>184</v>
      </c>
      <c r="D106" t="s">
        <v>185</v>
      </c>
      <c r="E106">
        <v>34</v>
      </c>
      <c r="F106" t="s">
        <v>14</v>
      </c>
      <c r="G106" t="s">
        <v>15</v>
      </c>
      <c r="H106" t="s">
        <v>850</v>
      </c>
      <c r="I106" t="s">
        <v>185</v>
      </c>
      <c r="J106" t="s">
        <v>263</v>
      </c>
      <c r="K106">
        <v>1</v>
      </c>
      <c r="L106">
        <v>5</v>
      </c>
      <c r="M106">
        <v>2</v>
      </c>
      <c r="Q106" t="b">
        <f t="shared" si="3"/>
        <v>0</v>
      </c>
    </row>
    <row r="107" spans="1:17">
      <c r="A107">
        <f t="shared" si="2"/>
        <v>29</v>
      </c>
      <c r="B107" t="s">
        <v>187</v>
      </c>
      <c r="C107" s="2" t="s">
        <v>188</v>
      </c>
      <c r="D107" t="s">
        <v>189</v>
      </c>
      <c r="E107">
        <v>38</v>
      </c>
      <c r="F107" t="s">
        <v>36</v>
      </c>
      <c r="G107" t="s">
        <v>30</v>
      </c>
      <c r="H107" t="s">
        <v>850</v>
      </c>
      <c r="I107" t="s">
        <v>188</v>
      </c>
      <c r="J107" t="s">
        <v>256</v>
      </c>
      <c r="K107">
        <v>30</v>
      </c>
      <c r="L107">
        <v>6</v>
      </c>
      <c r="M107">
        <v>2</v>
      </c>
      <c r="O107" t="s">
        <v>201</v>
      </c>
      <c r="Q107" t="b">
        <f t="shared" si="3"/>
        <v>1</v>
      </c>
    </row>
    <row r="108" spans="1:17">
      <c r="A108">
        <f t="shared" si="2"/>
        <v>29</v>
      </c>
      <c r="B108" t="s">
        <v>187</v>
      </c>
      <c r="C108" s="2" t="s">
        <v>188</v>
      </c>
      <c r="D108" t="s">
        <v>189</v>
      </c>
      <c r="E108">
        <v>38</v>
      </c>
      <c r="F108" t="s">
        <v>36</v>
      </c>
      <c r="G108" t="s">
        <v>30</v>
      </c>
      <c r="H108" t="s">
        <v>850</v>
      </c>
      <c r="I108" t="s">
        <v>190</v>
      </c>
      <c r="J108" t="s">
        <v>256</v>
      </c>
      <c r="K108">
        <v>30</v>
      </c>
      <c r="L108">
        <v>6</v>
      </c>
      <c r="M108">
        <v>2</v>
      </c>
      <c r="Q108" t="b">
        <f t="shared" si="3"/>
        <v>1</v>
      </c>
    </row>
    <row r="109" spans="1:17">
      <c r="A109">
        <f t="shared" si="2"/>
        <v>29</v>
      </c>
      <c r="B109" t="s">
        <v>187</v>
      </c>
      <c r="C109" s="2" t="s">
        <v>188</v>
      </c>
      <c r="D109" t="s">
        <v>189</v>
      </c>
      <c r="E109">
        <v>38</v>
      </c>
      <c r="F109" t="s">
        <v>36</v>
      </c>
      <c r="G109" t="s">
        <v>30</v>
      </c>
      <c r="H109" t="s">
        <v>850</v>
      </c>
      <c r="I109" t="s">
        <v>192</v>
      </c>
      <c r="J109" t="s">
        <v>263</v>
      </c>
      <c r="K109">
        <v>1</v>
      </c>
      <c r="L109">
        <v>5</v>
      </c>
      <c r="M109">
        <v>3</v>
      </c>
      <c r="Q109" t="b">
        <f t="shared" si="3"/>
        <v>1</v>
      </c>
    </row>
    <row r="110" spans="1:17">
      <c r="A110">
        <f t="shared" si="2"/>
        <v>29</v>
      </c>
      <c r="B110" t="s">
        <v>187</v>
      </c>
      <c r="C110" s="2" t="s">
        <v>188</v>
      </c>
      <c r="D110" t="s">
        <v>189</v>
      </c>
      <c r="E110">
        <v>38</v>
      </c>
      <c r="F110" t="s">
        <v>36</v>
      </c>
      <c r="G110" t="s">
        <v>30</v>
      </c>
      <c r="H110" t="s">
        <v>850</v>
      </c>
      <c r="I110" t="s">
        <v>191</v>
      </c>
      <c r="J110" t="s">
        <v>263</v>
      </c>
      <c r="K110">
        <v>1</v>
      </c>
      <c r="L110">
        <v>6</v>
      </c>
      <c r="M110">
        <v>4</v>
      </c>
      <c r="Q110" t="b">
        <f t="shared" si="3"/>
        <v>1</v>
      </c>
    </row>
    <row r="111" spans="1:17">
      <c r="A111">
        <f t="shared" si="2"/>
        <v>29</v>
      </c>
      <c r="B111" t="s">
        <v>187</v>
      </c>
      <c r="C111" s="2" t="s">
        <v>188</v>
      </c>
      <c r="D111" t="s">
        <v>189</v>
      </c>
      <c r="E111">
        <v>38</v>
      </c>
      <c r="F111" t="s">
        <v>36</v>
      </c>
      <c r="G111" t="s">
        <v>30</v>
      </c>
      <c r="H111" t="s">
        <v>850</v>
      </c>
      <c r="I111" t="s">
        <v>193</v>
      </c>
      <c r="J111" t="s">
        <v>256</v>
      </c>
      <c r="K111">
        <v>30</v>
      </c>
      <c r="L111">
        <v>4</v>
      </c>
      <c r="M111">
        <v>2</v>
      </c>
      <c r="Q111" t="b">
        <f t="shared" si="3"/>
        <v>1</v>
      </c>
    </row>
    <row r="112" spans="1:17">
      <c r="A112">
        <f t="shared" si="2"/>
        <v>29</v>
      </c>
      <c r="B112" t="s">
        <v>187</v>
      </c>
      <c r="C112" s="2" t="s">
        <v>188</v>
      </c>
      <c r="D112" t="s">
        <v>189</v>
      </c>
      <c r="E112">
        <v>38</v>
      </c>
      <c r="F112" t="s">
        <v>36</v>
      </c>
      <c r="G112" t="s">
        <v>30</v>
      </c>
      <c r="H112" t="s">
        <v>850</v>
      </c>
      <c r="I112" t="s">
        <v>194</v>
      </c>
      <c r="J112" t="s">
        <v>263</v>
      </c>
      <c r="K112">
        <v>1</v>
      </c>
      <c r="L112">
        <v>5</v>
      </c>
      <c r="M112">
        <v>0</v>
      </c>
      <c r="Q112" t="b">
        <f t="shared" si="3"/>
        <v>1</v>
      </c>
    </row>
    <row r="113" spans="1:17">
      <c r="A113">
        <f t="shared" si="2"/>
        <v>29</v>
      </c>
      <c r="B113" t="s">
        <v>187</v>
      </c>
      <c r="C113" s="2" t="s">
        <v>188</v>
      </c>
      <c r="D113" t="s">
        <v>189</v>
      </c>
      <c r="E113">
        <v>38</v>
      </c>
      <c r="F113" t="s">
        <v>36</v>
      </c>
      <c r="G113" t="s">
        <v>30</v>
      </c>
      <c r="H113" t="s">
        <v>850</v>
      </c>
      <c r="I113" t="s">
        <v>189</v>
      </c>
      <c r="J113" t="s">
        <v>256</v>
      </c>
      <c r="K113">
        <v>30</v>
      </c>
      <c r="L113">
        <v>6</v>
      </c>
      <c r="M113">
        <v>0</v>
      </c>
      <c r="Q113" t="b">
        <f t="shared" si="3"/>
        <v>1</v>
      </c>
    </row>
    <row r="114" spans="1:17">
      <c r="A114">
        <f t="shared" si="2"/>
        <v>29</v>
      </c>
      <c r="B114" t="s">
        <v>187</v>
      </c>
      <c r="C114" s="2" t="s">
        <v>188</v>
      </c>
      <c r="D114" t="s">
        <v>189</v>
      </c>
      <c r="E114">
        <v>38</v>
      </c>
      <c r="F114" t="s">
        <v>36</v>
      </c>
      <c r="G114" t="s">
        <v>30</v>
      </c>
      <c r="H114" t="s">
        <v>850</v>
      </c>
      <c r="I114" t="s">
        <v>189</v>
      </c>
      <c r="J114" t="s">
        <v>263</v>
      </c>
      <c r="K114">
        <v>1</v>
      </c>
      <c r="L114">
        <v>6</v>
      </c>
      <c r="M114">
        <v>0</v>
      </c>
      <c r="Q114" t="b">
        <f t="shared" si="3"/>
        <v>1</v>
      </c>
    </row>
    <row r="115" spans="1:17">
      <c r="A115">
        <f t="shared" si="2"/>
        <v>30</v>
      </c>
      <c r="B115" t="s">
        <v>195</v>
      </c>
      <c r="C115" s="2" t="s">
        <v>191</v>
      </c>
      <c r="D115" t="s">
        <v>196</v>
      </c>
      <c r="E115">
        <v>20</v>
      </c>
      <c r="F115" t="s">
        <v>203</v>
      </c>
      <c r="G115" t="s">
        <v>15</v>
      </c>
      <c r="H115" t="s">
        <v>850</v>
      </c>
      <c r="I115" t="s">
        <v>197</v>
      </c>
      <c r="J115" t="s">
        <v>263</v>
      </c>
      <c r="K115">
        <v>1</v>
      </c>
      <c r="L115">
        <v>7</v>
      </c>
      <c r="M115">
        <v>0</v>
      </c>
      <c r="Q115" t="b">
        <f t="shared" si="3"/>
        <v>0</v>
      </c>
    </row>
    <row r="116" spans="1:17">
      <c r="A116">
        <f t="shared" si="2"/>
        <v>30</v>
      </c>
      <c r="B116" t="s">
        <v>195</v>
      </c>
      <c r="C116" s="2" t="s">
        <v>191</v>
      </c>
      <c r="D116" t="s">
        <v>196</v>
      </c>
      <c r="E116">
        <v>20</v>
      </c>
      <c r="F116" t="s">
        <v>203</v>
      </c>
      <c r="G116" t="s">
        <v>15</v>
      </c>
      <c r="H116" t="s">
        <v>850</v>
      </c>
      <c r="I116" t="s">
        <v>198</v>
      </c>
      <c r="J116" t="s">
        <v>245</v>
      </c>
      <c r="K116">
        <v>800</v>
      </c>
      <c r="L116">
        <v>1</v>
      </c>
      <c r="M116">
        <v>0</v>
      </c>
      <c r="Q116" t="b">
        <f t="shared" si="3"/>
        <v>0</v>
      </c>
    </row>
    <row r="117" spans="1:17">
      <c r="A117">
        <f t="shared" si="2"/>
        <v>30</v>
      </c>
      <c r="B117" t="s">
        <v>195</v>
      </c>
      <c r="C117" s="2" t="s">
        <v>191</v>
      </c>
      <c r="D117" t="s">
        <v>196</v>
      </c>
      <c r="E117">
        <v>20</v>
      </c>
      <c r="F117" t="s">
        <v>203</v>
      </c>
      <c r="G117" t="s">
        <v>15</v>
      </c>
      <c r="H117" t="s">
        <v>850</v>
      </c>
      <c r="I117" t="s">
        <v>196</v>
      </c>
      <c r="J117" t="s">
        <v>245</v>
      </c>
      <c r="K117">
        <v>800</v>
      </c>
      <c r="L117">
        <v>0</v>
      </c>
      <c r="M117">
        <v>0</v>
      </c>
      <c r="Q117" t="b">
        <f t="shared" si="3"/>
        <v>0</v>
      </c>
    </row>
    <row r="118" spans="1:17">
      <c r="A118">
        <f t="shared" si="2"/>
        <v>31</v>
      </c>
      <c r="B118" t="s">
        <v>199</v>
      </c>
      <c r="C118" s="2" t="s">
        <v>200</v>
      </c>
      <c r="D118" t="s">
        <v>202</v>
      </c>
      <c r="E118">
        <v>30</v>
      </c>
      <c r="F118" t="s">
        <v>203</v>
      </c>
      <c r="G118" t="s">
        <v>30</v>
      </c>
      <c r="H118" t="s">
        <v>850</v>
      </c>
      <c r="I118" t="s">
        <v>204</v>
      </c>
      <c r="J118" t="s">
        <v>824</v>
      </c>
      <c r="K118">
        <v>1000</v>
      </c>
      <c r="L118">
        <v>3</v>
      </c>
      <c r="M118">
        <v>0</v>
      </c>
      <c r="Q118" t="b">
        <f t="shared" si="3"/>
        <v>1</v>
      </c>
    </row>
    <row r="119" spans="1:17">
      <c r="A119">
        <f t="shared" si="2"/>
        <v>31</v>
      </c>
      <c r="B119" t="s">
        <v>199</v>
      </c>
      <c r="C119" s="2" t="s">
        <v>200</v>
      </c>
      <c r="D119" t="s">
        <v>202</v>
      </c>
      <c r="E119">
        <v>30</v>
      </c>
      <c r="F119" t="s">
        <v>203</v>
      </c>
      <c r="G119" t="s">
        <v>30</v>
      </c>
      <c r="H119" t="s">
        <v>850</v>
      </c>
      <c r="I119" t="s">
        <v>205</v>
      </c>
      <c r="J119" t="s">
        <v>824</v>
      </c>
      <c r="K119">
        <v>1000</v>
      </c>
      <c r="L119">
        <v>5</v>
      </c>
      <c r="M119">
        <v>0</v>
      </c>
      <c r="Q119" t="b">
        <f t="shared" si="3"/>
        <v>1</v>
      </c>
    </row>
    <row r="120" spans="1:17">
      <c r="A120">
        <f t="shared" si="2"/>
        <v>31</v>
      </c>
      <c r="B120" t="s">
        <v>199</v>
      </c>
      <c r="C120" s="2" t="s">
        <v>200</v>
      </c>
      <c r="D120" t="s">
        <v>202</v>
      </c>
      <c r="E120">
        <v>30</v>
      </c>
      <c r="F120" t="s">
        <v>203</v>
      </c>
      <c r="G120" t="s">
        <v>30</v>
      </c>
      <c r="H120" t="s">
        <v>850</v>
      </c>
      <c r="I120" t="s">
        <v>206</v>
      </c>
      <c r="J120" t="s">
        <v>245</v>
      </c>
      <c r="K120">
        <v>800</v>
      </c>
      <c r="L120">
        <v>2</v>
      </c>
      <c r="M120">
        <v>0</v>
      </c>
      <c r="Q120" t="b">
        <f t="shared" si="3"/>
        <v>1</v>
      </c>
    </row>
    <row r="121" spans="1:17">
      <c r="A121">
        <f t="shared" si="2"/>
        <v>31</v>
      </c>
      <c r="B121" t="s">
        <v>199</v>
      </c>
      <c r="C121" s="2" t="s">
        <v>200</v>
      </c>
      <c r="D121" t="s">
        <v>202</v>
      </c>
      <c r="E121">
        <v>30</v>
      </c>
      <c r="F121" t="s">
        <v>203</v>
      </c>
      <c r="G121" t="s">
        <v>30</v>
      </c>
      <c r="H121" t="s">
        <v>850</v>
      </c>
      <c r="I121" t="s">
        <v>202</v>
      </c>
      <c r="J121" t="s">
        <v>245</v>
      </c>
      <c r="K121">
        <v>800</v>
      </c>
      <c r="L121">
        <v>2</v>
      </c>
      <c r="M121">
        <v>2</v>
      </c>
      <c r="Q121" t="b">
        <f t="shared" si="3"/>
        <v>1</v>
      </c>
    </row>
    <row r="122" spans="1:17">
      <c r="A122">
        <f t="shared" si="2"/>
        <v>32</v>
      </c>
      <c r="B122" t="s">
        <v>207</v>
      </c>
      <c r="C122" s="2" t="s">
        <v>208</v>
      </c>
      <c r="D122" t="s">
        <v>209</v>
      </c>
      <c r="E122">
        <v>32</v>
      </c>
      <c r="F122" t="s">
        <v>36</v>
      </c>
      <c r="G122" t="s">
        <v>30</v>
      </c>
      <c r="H122" t="s">
        <v>850</v>
      </c>
      <c r="I122" t="s">
        <v>210</v>
      </c>
      <c r="J122" t="s">
        <v>256</v>
      </c>
      <c r="K122">
        <v>30</v>
      </c>
      <c r="L122">
        <v>5</v>
      </c>
      <c r="M122">
        <v>2</v>
      </c>
      <c r="Q122" t="b">
        <f t="shared" si="3"/>
        <v>0</v>
      </c>
    </row>
    <row r="123" spans="1:17">
      <c r="A123">
        <f t="shared" si="2"/>
        <v>32</v>
      </c>
      <c r="B123" t="s">
        <v>207</v>
      </c>
      <c r="C123" s="2" t="s">
        <v>208</v>
      </c>
      <c r="D123" t="s">
        <v>209</v>
      </c>
      <c r="E123">
        <v>32</v>
      </c>
      <c r="F123" t="s">
        <v>36</v>
      </c>
      <c r="G123" t="s">
        <v>30</v>
      </c>
      <c r="H123" t="s">
        <v>850</v>
      </c>
      <c r="I123" t="s">
        <v>193</v>
      </c>
      <c r="J123" t="s">
        <v>256</v>
      </c>
      <c r="K123">
        <v>30</v>
      </c>
      <c r="L123">
        <v>6</v>
      </c>
      <c r="M123">
        <v>0</v>
      </c>
      <c r="Q123" t="b">
        <f t="shared" si="3"/>
        <v>0</v>
      </c>
    </row>
    <row r="124" spans="1:17">
      <c r="A124">
        <f t="shared" si="2"/>
        <v>32</v>
      </c>
      <c r="B124" t="s">
        <v>207</v>
      </c>
      <c r="C124" s="2" t="s">
        <v>208</v>
      </c>
      <c r="D124" t="s">
        <v>209</v>
      </c>
      <c r="E124">
        <v>32</v>
      </c>
      <c r="F124" t="s">
        <v>36</v>
      </c>
      <c r="G124" t="s">
        <v>30</v>
      </c>
      <c r="H124" t="s">
        <v>850</v>
      </c>
      <c r="I124" t="s">
        <v>211</v>
      </c>
      <c r="J124" t="s">
        <v>256</v>
      </c>
      <c r="K124">
        <v>30</v>
      </c>
      <c r="L124">
        <v>8</v>
      </c>
      <c r="M124">
        <v>4</v>
      </c>
      <c r="Q124" t="b">
        <f t="shared" si="3"/>
        <v>0</v>
      </c>
    </row>
    <row r="125" spans="1:17">
      <c r="A125">
        <f t="shared" si="2"/>
        <v>32</v>
      </c>
      <c r="B125" t="s">
        <v>207</v>
      </c>
      <c r="C125" s="2" t="s">
        <v>208</v>
      </c>
      <c r="D125" t="s">
        <v>209</v>
      </c>
      <c r="E125">
        <v>32</v>
      </c>
      <c r="F125" t="s">
        <v>36</v>
      </c>
      <c r="G125" t="s">
        <v>30</v>
      </c>
      <c r="H125" t="s">
        <v>850</v>
      </c>
      <c r="I125" t="s">
        <v>212</v>
      </c>
      <c r="J125" t="s">
        <v>824</v>
      </c>
      <c r="K125">
        <v>1000</v>
      </c>
      <c r="L125" t="s">
        <v>278</v>
      </c>
      <c r="M125">
        <v>3</v>
      </c>
      <c r="Q125" t="b">
        <f t="shared" si="3"/>
        <v>0</v>
      </c>
    </row>
    <row r="126" spans="1:17">
      <c r="A126">
        <f t="shared" si="2"/>
        <v>33</v>
      </c>
      <c r="B126" t="s">
        <v>213</v>
      </c>
      <c r="C126" s="2" t="s">
        <v>214</v>
      </c>
      <c r="D126" t="s">
        <v>215</v>
      </c>
      <c r="E126">
        <v>31</v>
      </c>
      <c r="F126" t="s">
        <v>14</v>
      </c>
      <c r="G126" t="s">
        <v>15</v>
      </c>
      <c r="H126" t="s">
        <v>850</v>
      </c>
      <c r="I126" t="s">
        <v>216</v>
      </c>
      <c r="J126" t="s">
        <v>245</v>
      </c>
      <c r="K126">
        <v>800</v>
      </c>
      <c r="L126">
        <v>3</v>
      </c>
      <c r="M126">
        <v>3</v>
      </c>
      <c r="Q126" t="b">
        <f t="shared" si="3"/>
        <v>1</v>
      </c>
    </row>
    <row r="127" spans="1:17">
      <c r="A127">
        <f t="shared" si="2"/>
        <v>33</v>
      </c>
      <c r="B127" t="s">
        <v>213</v>
      </c>
      <c r="C127" s="2" t="s">
        <v>214</v>
      </c>
      <c r="D127" t="s">
        <v>215</v>
      </c>
      <c r="E127">
        <v>31</v>
      </c>
      <c r="F127" t="s">
        <v>14</v>
      </c>
      <c r="G127" t="s">
        <v>15</v>
      </c>
      <c r="H127" t="s">
        <v>850</v>
      </c>
      <c r="I127" t="s">
        <v>217</v>
      </c>
      <c r="J127" t="s">
        <v>245</v>
      </c>
      <c r="K127">
        <v>800</v>
      </c>
      <c r="L127">
        <v>4</v>
      </c>
      <c r="M127">
        <v>3</v>
      </c>
      <c r="Q127" t="b">
        <f t="shared" si="3"/>
        <v>1</v>
      </c>
    </row>
    <row r="128" spans="1:17">
      <c r="A128">
        <f t="shared" si="2"/>
        <v>33</v>
      </c>
      <c r="B128" t="s">
        <v>213</v>
      </c>
      <c r="C128" s="2" t="s">
        <v>214</v>
      </c>
      <c r="D128" t="s">
        <v>215</v>
      </c>
      <c r="E128">
        <v>31</v>
      </c>
      <c r="F128" t="s">
        <v>14</v>
      </c>
      <c r="G128" t="s">
        <v>15</v>
      </c>
      <c r="H128" t="s">
        <v>850</v>
      </c>
      <c r="I128" t="s">
        <v>215</v>
      </c>
      <c r="J128" t="s">
        <v>245</v>
      </c>
      <c r="K128">
        <v>800</v>
      </c>
      <c r="L128">
        <v>4</v>
      </c>
      <c r="M128">
        <v>0</v>
      </c>
      <c r="Q128" t="b">
        <f t="shared" si="3"/>
        <v>1</v>
      </c>
    </row>
    <row r="129" spans="1:17">
      <c r="A129">
        <f t="shared" si="2"/>
        <v>34</v>
      </c>
      <c r="B129" t="s">
        <v>218</v>
      </c>
      <c r="C129" s="2" t="s">
        <v>219</v>
      </c>
      <c r="D129" t="s">
        <v>220</v>
      </c>
      <c r="E129">
        <v>25</v>
      </c>
      <c r="F129" t="s">
        <v>14</v>
      </c>
      <c r="G129" t="s">
        <v>15</v>
      </c>
      <c r="H129" t="s">
        <v>850</v>
      </c>
      <c r="I129" t="s">
        <v>221</v>
      </c>
      <c r="J129" t="s">
        <v>245</v>
      </c>
      <c r="K129">
        <v>800</v>
      </c>
      <c r="L129">
        <v>6</v>
      </c>
      <c r="M129">
        <v>3</v>
      </c>
      <c r="Q129" t="b">
        <f t="shared" si="3"/>
        <v>0</v>
      </c>
    </row>
    <row r="130" spans="1:17">
      <c r="A130">
        <f t="shared" ref="A130:A193" si="4">IF(ROW()=2,1,IF(B130=B129,A129,A129+1))</f>
        <v>34</v>
      </c>
      <c r="B130" t="s">
        <v>218</v>
      </c>
      <c r="C130" s="2" t="s">
        <v>219</v>
      </c>
      <c r="D130" t="s">
        <v>220</v>
      </c>
      <c r="E130">
        <v>25</v>
      </c>
      <c r="F130" t="s">
        <v>14</v>
      </c>
      <c r="G130" t="s">
        <v>15</v>
      </c>
      <c r="H130" t="s">
        <v>850</v>
      </c>
      <c r="I130" t="s">
        <v>220</v>
      </c>
      <c r="J130" t="s">
        <v>263</v>
      </c>
      <c r="K130">
        <v>1</v>
      </c>
      <c r="L130">
        <v>6</v>
      </c>
      <c r="M130">
        <v>3</v>
      </c>
      <c r="Q130" t="b">
        <f t="shared" ref="Q130:Q193" si="5">ISODD(A130)</f>
        <v>0</v>
      </c>
    </row>
    <row r="131" spans="1:17">
      <c r="A131">
        <f t="shared" si="4"/>
        <v>34</v>
      </c>
      <c r="B131" t="s">
        <v>218</v>
      </c>
      <c r="C131" s="2" t="s">
        <v>219</v>
      </c>
      <c r="D131" t="s">
        <v>220</v>
      </c>
      <c r="E131">
        <v>25</v>
      </c>
      <c r="F131" t="s">
        <v>14</v>
      </c>
      <c r="G131" t="s">
        <v>15</v>
      </c>
      <c r="H131" t="s">
        <v>850</v>
      </c>
      <c r="I131" t="s">
        <v>220</v>
      </c>
      <c r="J131" t="s">
        <v>245</v>
      </c>
      <c r="K131">
        <v>800</v>
      </c>
      <c r="L131">
        <v>5</v>
      </c>
      <c r="M131">
        <v>3</v>
      </c>
      <c r="Q131" t="b">
        <f t="shared" si="5"/>
        <v>0</v>
      </c>
    </row>
    <row r="132" spans="1:17">
      <c r="A132">
        <f t="shared" si="4"/>
        <v>34</v>
      </c>
      <c r="B132" t="s">
        <v>218</v>
      </c>
      <c r="C132" s="2" t="s">
        <v>219</v>
      </c>
      <c r="D132" t="s">
        <v>220</v>
      </c>
      <c r="E132">
        <v>25</v>
      </c>
      <c r="F132" t="s">
        <v>14</v>
      </c>
      <c r="G132" t="s">
        <v>15</v>
      </c>
      <c r="H132" t="s">
        <v>850</v>
      </c>
      <c r="I132" t="s">
        <v>220</v>
      </c>
      <c r="J132" t="s">
        <v>263</v>
      </c>
      <c r="K132">
        <v>1</v>
      </c>
      <c r="L132">
        <v>5</v>
      </c>
      <c r="M132">
        <v>3</v>
      </c>
      <c r="Q132" t="b">
        <f t="shared" si="5"/>
        <v>0</v>
      </c>
    </row>
    <row r="133" spans="1:17">
      <c r="A133">
        <f t="shared" si="4"/>
        <v>35</v>
      </c>
      <c r="B133" t="s">
        <v>222</v>
      </c>
      <c r="C133" s="2" t="s">
        <v>223</v>
      </c>
      <c r="D133" t="s">
        <v>224</v>
      </c>
      <c r="E133">
        <v>34</v>
      </c>
      <c r="F133" t="s">
        <v>36</v>
      </c>
      <c r="G133" t="s">
        <v>15</v>
      </c>
      <c r="H133" t="s">
        <v>850</v>
      </c>
      <c r="I133" t="s">
        <v>26</v>
      </c>
      <c r="J133" t="s">
        <v>26</v>
      </c>
      <c r="K133" t="s">
        <v>26</v>
      </c>
      <c r="L133" t="s">
        <v>26</v>
      </c>
      <c r="M133" t="s">
        <v>26</v>
      </c>
      <c r="N133" t="s">
        <v>26</v>
      </c>
      <c r="Q133" t="b">
        <f t="shared" si="5"/>
        <v>1</v>
      </c>
    </row>
    <row r="134" spans="1:17">
      <c r="A134">
        <f t="shared" si="4"/>
        <v>36</v>
      </c>
      <c r="B134" t="s">
        <v>225</v>
      </c>
      <c r="C134" s="2" t="s">
        <v>226</v>
      </c>
      <c r="D134" t="s">
        <v>227</v>
      </c>
      <c r="E134">
        <v>31</v>
      </c>
      <c r="F134" t="s">
        <v>36</v>
      </c>
      <c r="G134" t="s">
        <v>30</v>
      </c>
      <c r="H134" t="s">
        <v>850</v>
      </c>
      <c r="I134" t="s">
        <v>228</v>
      </c>
      <c r="J134" t="s">
        <v>256</v>
      </c>
      <c r="K134">
        <v>30</v>
      </c>
      <c r="L134">
        <v>5</v>
      </c>
      <c r="M134">
        <v>3</v>
      </c>
      <c r="Q134" t="b">
        <f t="shared" si="5"/>
        <v>0</v>
      </c>
    </row>
    <row r="135" spans="1:17">
      <c r="A135">
        <f t="shared" si="4"/>
        <v>36</v>
      </c>
      <c r="B135" t="s">
        <v>225</v>
      </c>
      <c r="C135" s="2" t="s">
        <v>226</v>
      </c>
      <c r="D135" t="s">
        <v>227</v>
      </c>
      <c r="E135">
        <v>31</v>
      </c>
      <c r="F135" t="s">
        <v>36</v>
      </c>
      <c r="G135" t="s">
        <v>30</v>
      </c>
      <c r="H135" t="s">
        <v>850</v>
      </c>
      <c r="I135" t="s">
        <v>229</v>
      </c>
      <c r="J135" t="s">
        <v>256</v>
      </c>
      <c r="K135">
        <v>30</v>
      </c>
      <c r="L135">
        <v>3</v>
      </c>
      <c r="M135">
        <v>2</v>
      </c>
      <c r="Q135" t="b">
        <f t="shared" si="5"/>
        <v>0</v>
      </c>
    </row>
    <row r="136" spans="1:17">
      <c r="A136">
        <f t="shared" si="4"/>
        <v>36</v>
      </c>
      <c r="B136" t="s">
        <v>225</v>
      </c>
      <c r="C136" s="2" t="s">
        <v>226</v>
      </c>
      <c r="D136" t="s">
        <v>227</v>
      </c>
      <c r="E136">
        <v>31</v>
      </c>
      <c r="F136" t="s">
        <v>36</v>
      </c>
      <c r="G136" t="s">
        <v>30</v>
      </c>
      <c r="H136" t="s">
        <v>850</v>
      </c>
      <c r="I136" t="s">
        <v>227</v>
      </c>
      <c r="J136" t="s">
        <v>256</v>
      </c>
      <c r="K136">
        <v>30</v>
      </c>
      <c r="L136">
        <v>6</v>
      </c>
      <c r="M136">
        <v>2</v>
      </c>
      <c r="Q136" t="b">
        <f t="shared" si="5"/>
        <v>0</v>
      </c>
    </row>
    <row r="137" spans="1:17">
      <c r="A137">
        <f t="shared" si="4"/>
        <v>37</v>
      </c>
      <c r="B137" t="s">
        <v>230</v>
      </c>
      <c r="C137" s="2" t="s">
        <v>231</v>
      </c>
      <c r="D137" t="s">
        <v>278</v>
      </c>
      <c r="E137">
        <v>39</v>
      </c>
      <c r="F137" t="s">
        <v>14</v>
      </c>
      <c r="G137" t="s">
        <v>30</v>
      </c>
      <c r="H137" t="s">
        <v>850</v>
      </c>
      <c r="I137" t="s">
        <v>232</v>
      </c>
      <c r="J137" t="s">
        <v>245</v>
      </c>
      <c r="K137">
        <v>800</v>
      </c>
      <c r="L137" t="s">
        <v>235</v>
      </c>
      <c r="M137" t="s">
        <v>235</v>
      </c>
      <c r="Q137" t="b">
        <f t="shared" si="5"/>
        <v>1</v>
      </c>
    </row>
    <row r="138" spans="1:17">
      <c r="A138">
        <f t="shared" si="4"/>
        <v>37</v>
      </c>
      <c r="B138" t="s">
        <v>230</v>
      </c>
      <c r="C138" s="2" t="s">
        <v>231</v>
      </c>
      <c r="D138" t="s">
        <v>278</v>
      </c>
      <c r="E138">
        <v>39</v>
      </c>
      <c r="F138" t="s">
        <v>14</v>
      </c>
      <c r="G138" t="s">
        <v>30</v>
      </c>
      <c r="H138" t="s">
        <v>850</v>
      </c>
      <c r="I138" t="s">
        <v>233</v>
      </c>
      <c r="J138" t="s">
        <v>263</v>
      </c>
      <c r="K138">
        <v>1</v>
      </c>
      <c r="L138">
        <v>2</v>
      </c>
      <c r="M138">
        <v>1</v>
      </c>
      <c r="Q138" t="b">
        <f t="shared" si="5"/>
        <v>1</v>
      </c>
    </row>
    <row r="139" spans="1:17">
      <c r="A139">
        <f t="shared" si="4"/>
        <v>37</v>
      </c>
      <c r="B139" t="s">
        <v>230</v>
      </c>
      <c r="C139" s="2" t="s">
        <v>231</v>
      </c>
      <c r="D139" t="s">
        <v>278</v>
      </c>
      <c r="E139">
        <v>39</v>
      </c>
      <c r="F139" t="s">
        <v>14</v>
      </c>
      <c r="G139" t="s">
        <v>30</v>
      </c>
      <c r="H139" t="s">
        <v>850</v>
      </c>
      <c r="I139" t="s">
        <v>234</v>
      </c>
      <c r="J139" t="s">
        <v>245</v>
      </c>
      <c r="K139">
        <v>800</v>
      </c>
      <c r="L139">
        <v>1</v>
      </c>
      <c r="M139">
        <v>1</v>
      </c>
      <c r="Q139" t="b">
        <f t="shared" si="5"/>
        <v>1</v>
      </c>
    </row>
    <row r="140" spans="1:17">
      <c r="A140">
        <f t="shared" si="4"/>
        <v>38</v>
      </c>
      <c r="B140" t="s">
        <v>236</v>
      </c>
      <c r="C140" s="2" t="s">
        <v>237</v>
      </c>
      <c r="D140" t="s">
        <v>238</v>
      </c>
      <c r="E140">
        <v>23</v>
      </c>
      <c r="F140" t="s">
        <v>14</v>
      </c>
      <c r="G140" t="s">
        <v>15</v>
      </c>
      <c r="H140" t="s">
        <v>850</v>
      </c>
      <c r="I140" t="s">
        <v>239</v>
      </c>
      <c r="J140" t="s">
        <v>245</v>
      </c>
      <c r="K140">
        <v>800</v>
      </c>
      <c r="L140" t="s">
        <v>235</v>
      </c>
      <c r="M140" t="s">
        <v>235</v>
      </c>
      <c r="Q140" t="b">
        <f t="shared" si="5"/>
        <v>0</v>
      </c>
    </row>
    <row r="141" spans="1:17">
      <c r="A141">
        <f t="shared" si="4"/>
        <v>38</v>
      </c>
      <c r="B141" t="s">
        <v>236</v>
      </c>
      <c r="C141" s="2" t="s">
        <v>237</v>
      </c>
      <c r="D141" t="s">
        <v>238</v>
      </c>
      <c r="E141">
        <v>23</v>
      </c>
      <c r="F141" t="s">
        <v>14</v>
      </c>
      <c r="G141" t="s">
        <v>15</v>
      </c>
      <c r="H141" t="s">
        <v>850</v>
      </c>
      <c r="I141" t="s">
        <v>240</v>
      </c>
      <c r="J141" t="s">
        <v>245</v>
      </c>
      <c r="K141">
        <v>800</v>
      </c>
      <c r="L141" t="s">
        <v>235</v>
      </c>
      <c r="M141" t="s">
        <v>235</v>
      </c>
      <c r="Q141" t="b">
        <f t="shared" si="5"/>
        <v>0</v>
      </c>
    </row>
    <row r="142" spans="1:17">
      <c r="A142">
        <f t="shared" si="4"/>
        <v>38</v>
      </c>
      <c r="B142" t="s">
        <v>236</v>
      </c>
      <c r="C142" s="2" t="s">
        <v>237</v>
      </c>
      <c r="D142" t="s">
        <v>238</v>
      </c>
      <c r="E142">
        <v>23</v>
      </c>
      <c r="F142" t="s">
        <v>14</v>
      </c>
      <c r="G142" t="s">
        <v>15</v>
      </c>
      <c r="H142" t="s">
        <v>850</v>
      </c>
      <c r="I142" t="s">
        <v>238</v>
      </c>
      <c r="J142" t="s">
        <v>245</v>
      </c>
      <c r="K142">
        <v>800</v>
      </c>
      <c r="L142" t="s">
        <v>235</v>
      </c>
      <c r="M142" t="s">
        <v>235</v>
      </c>
      <c r="Q142" t="b">
        <f t="shared" si="5"/>
        <v>0</v>
      </c>
    </row>
    <row r="143" spans="1:17">
      <c r="A143">
        <f t="shared" si="4"/>
        <v>39</v>
      </c>
      <c r="B143" t="s">
        <v>241</v>
      </c>
      <c r="C143" s="2" t="s">
        <v>242</v>
      </c>
      <c r="D143" t="s">
        <v>243</v>
      </c>
      <c r="E143">
        <v>25</v>
      </c>
      <c r="F143" t="s">
        <v>244</v>
      </c>
      <c r="G143" t="s">
        <v>15</v>
      </c>
      <c r="H143" t="s">
        <v>850</v>
      </c>
      <c r="I143" t="s">
        <v>243</v>
      </c>
      <c r="J143" t="s">
        <v>245</v>
      </c>
      <c r="K143">
        <v>800</v>
      </c>
      <c r="L143">
        <v>7</v>
      </c>
      <c r="M143">
        <v>7</v>
      </c>
      <c r="Q143" t="b">
        <f t="shared" si="5"/>
        <v>1</v>
      </c>
    </row>
    <row r="144" spans="1:17">
      <c r="A144">
        <f t="shared" si="4"/>
        <v>40</v>
      </c>
      <c r="B144" t="s">
        <v>246</v>
      </c>
      <c r="C144" s="2" t="s">
        <v>247</v>
      </c>
      <c r="D144" t="s">
        <v>248</v>
      </c>
      <c r="E144">
        <v>29</v>
      </c>
      <c r="F144" t="s">
        <v>244</v>
      </c>
      <c r="G144" t="s">
        <v>15</v>
      </c>
      <c r="H144" t="s">
        <v>850</v>
      </c>
      <c r="I144" t="s">
        <v>26</v>
      </c>
      <c r="J144" t="s">
        <v>26</v>
      </c>
      <c r="K144" t="s">
        <v>26</v>
      </c>
      <c r="L144" t="s">
        <v>26</v>
      </c>
      <c r="M144" t="s">
        <v>26</v>
      </c>
      <c r="N144" t="s">
        <v>26</v>
      </c>
      <c r="Q144" t="b">
        <f t="shared" si="5"/>
        <v>0</v>
      </c>
    </row>
    <row r="145" spans="1:17">
      <c r="A145">
        <f t="shared" si="4"/>
        <v>41</v>
      </c>
      <c r="B145" t="s">
        <v>249</v>
      </c>
      <c r="C145" s="2" t="s">
        <v>250</v>
      </c>
      <c r="D145" t="s">
        <v>1113</v>
      </c>
      <c r="E145">
        <v>33</v>
      </c>
      <c r="F145" t="s">
        <v>118</v>
      </c>
      <c r="G145" t="s">
        <v>30</v>
      </c>
      <c r="H145" t="s">
        <v>850</v>
      </c>
      <c r="I145" t="s">
        <v>252</v>
      </c>
      <c r="J145" t="s">
        <v>256</v>
      </c>
      <c r="K145">
        <v>30</v>
      </c>
      <c r="L145">
        <v>5</v>
      </c>
      <c r="M145">
        <v>0</v>
      </c>
      <c r="Q145" t="b">
        <f t="shared" si="5"/>
        <v>1</v>
      </c>
    </row>
    <row r="146" spans="1:17">
      <c r="A146">
        <f t="shared" si="4"/>
        <v>41</v>
      </c>
      <c r="B146" t="s">
        <v>249</v>
      </c>
      <c r="C146" s="2" t="s">
        <v>250</v>
      </c>
      <c r="D146" t="s">
        <v>1113</v>
      </c>
      <c r="E146">
        <v>33</v>
      </c>
      <c r="F146" t="s">
        <v>118</v>
      </c>
      <c r="G146" t="s">
        <v>30</v>
      </c>
      <c r="H146" t="s">
        <v>850</v>
      </c>
      <c r="I146" t="s">
        <v>253</v>
      </c>
      <c r="J146" t="s">
        <v>256</v>
      </c>
      <c r="K146">
        <v>30</v>
      </c>
      <c r="L146">
        <v>7</v>
      </c>
      <c r="M146">
        <v>0</v>
      </c>
      <c r="Q146" t="b">
        <f t="shared" si="5"/>
        <v>1</v>
      </c>
    </row>
    <row r="147" spans="1:17">
      <c r="A147">
        <f t="shared" si="4"/>
        <v>41</v>
      </c>
      <c r="B147" t="s">
        <v>249</v>
      </c>
      <c r="C147" s="2" t="s">
        <v>250</v>
      </c>
      <c r="D147" t="s">
        <v>1113</v>
      </c>
      <c r="E147">
        <v>33</v>
      </c>
      <c r="F147" t="s">
        <v>118</v>
      </c>
      <c r="G147" t="s">
        <v>30</v>
      </c>
      <c r="H147" t="s">
        <v>850</v>
      </c>
      <c r="I147" t="s">
        <v>254</v>
      </c>
      <c r="J147" t="s">
        <v>256</v>
      </c>
      <c r="K147">
        <v>30</v>
      </c>
      <c r="L147">
        <v>0</v>
      </c>
      <c r="M147">
        <v>0</v>
      </c>
      <c r="Q147" t="b">
        <f t="shared" si="5"/>
        <v>1</v>
      </c>
    </row>
    <row r="148" spans="1:17">
      <c r="A148">
        <f t="shared" si="4"/>
        <v>41</v>
      </c>
      <c r="B148" t="s">
        <v>249</v>
      </c>
      <c r="C148" s="2" t="s">
        <v>250</v>
      </c>
      <c r="D148" t="s">
        <v>1113</v>
      </c>
      <c r="E148">
        <v>33</v>
      </c>
      <c r="F148" t="s">
        <v>118</v>
      </c>
      <c r="G148" t="s">
        <v>30</v>
      </c>
      <c r="H148" t="s">
        <v>850</v>
      </c>
      <c r="I148" t="s">
        <v>255</v>
      </c>
      <c r="J148" t="s">
        <v>256</v>
      </c>
      <c r="K148">
        <v>30</v>
      </c>
      <c r="L148">
        <v>2</v>
      </c>
      <c r="M148">
        <v>0</v>
      </c>
      <c r="Q148" t="b">
        <f t="shared" si="5"/>
        <v>1</v>
      </c>
    </row>
    <row r="149" spans="1:17">
      <c r="A149">
        <f t="shared" si="4"/>
        <v>41</v>
      </c>
      <c r="B149" t="s">
        <v>249</v>
      </c>
      <c r="C149" s="2" t="s">
        <v>250</v>
      </c>
      <c r="D149" t="s">
        <v>1113</v>
      </c>
      <c r="E149">
        <v>33</v>
      </c>
      <c r="F149" t="s">
        <v>118</v>
      </c>
      <c r="G149" t="s">
        <v>30</v>
      </c>
      <c r="H149" t="s">
        <v>850</v>
      </c>
      <c r="I149" t="s">
        <v>251</v>
      </c>
      <c r="J149" t="s">
        <v>256</v>
      </c>
      <c r="K149">
        <v>30</v>
      </c>
      <c r="L149" t="s">
        <v>235</v>
      </c>
      <c r="M149" t="s">
        <v>235</v>
      </c>
      <c r="Q149" t="b">
        <f t="shared" si="5"/>
        <v>1</v>
      </c>
    </row>
    <row r="150" spans="1:17">
      <c r="A150">
        <f t="shared" si="4"/>
        <v>42</v>
      </c>
      <c r="B150" t="s">
        <v>257</v>
      </c>
      <c r="C150" s="2" t="s">
        <v>984</v>
      </c>
      <c r="D150" t="s">
        <v>1114</v>
      </c>
      <c r="E150">
        <v>33</v>
      </c>
      <c r="F150" t="s">
        <v>244</v>
      </c>
      <c r="G150" t="s">
        <v>15</v>
      </c>
      <c r="H150" t="s">
        <v>850</v>
      </c>
      <c r="I150" t="s">
        <v>259</v>
      </c>
      <c r="J150" t="s">
        <v>263</v>
      </c>
      <c r="K150">
        <v>1</v>
      </c>
      <c r="L150">
        <v>10</v>
      </c>
      <c r="M150">
        <v>3</v>
      </c>
      <c r="Q150" t="b">
        <f t="shared" si="5"/>
        <v>0</v>
      </c>
    </row>
    <row r="151" spans="1:17">
      <c r="A151">
        <f t="shared" si="4"/>
        <v>42</v>
      </c>
      <c r="B151" t="s">
        <v>257</v>
      </c>
      <c r="C151" s="2" t="s">
        <v>984</v>
      </c>
      <c r="D151" t="s">
        <v>1114</v>
      </c>
      <c r="E151">
        <v>33</v>
      </c>
      <c r="F151" t="s">
        <v>244</v>
      </c>
      <c r="G151" t="s">
        <v>15</v>
      </c>
      <c r="H151" t="s">
        <v>850</v>
      </c>
      <c r="I151" t="s">
        <v>260</v>
      </c>
      <c r="J151" t="s">
        <v>263</v>
      </c>
      <c r="K151">
        <v>2</v>
      </c>
      <c r="L151">
        <v>10</v>
      </c>
      <c r="M151">
        <v>3</v>
      </c>
      <c r="Q151" t="b">
        <f t="shared" si="5"/>
        <v>0</v>
      </c>
    </row>
    <row r="152" spans="1:17">
      <c r="A152">
        <f t="shared" si="4"/>
        <v>42</v>
      </c>
      <c r="B152" t="s">
        <v>257</v>
      </c>
      <c r="C152" s="2" t="s">
        <v>984</v>
      </c>
      <c r="D152" t="s">
        <v>1114</v>
      </c>
      <c r="E152">
        <v>33</v>
      </c>
      <c r="F152" t="s">
        <v>244</v>
      </c>
      <c r="G152" t="s">
        <v>15</v>
      </c>
      <c r="H152" t="s">
        <v>850</v>
      </c>
      <c r="I152" t="s">
        <v>261</v>
      </c>
      <c r="J152" t="s">
        <v>263</v>
      </c>
      <c r="K152">
        <v>2</v>
      </c>
      <c r="L152">
        <v>10</v>
      </c>
      <c r="M152">
        <v>10</v>
      </c>
      <c r="Q152" t="b">
        <f t="shared" si="5"/>
        <v>0</v>
      </c>
    </row>
    <row r="153" spans="1:17">
      <c r="A153">
        <f t="shared" si="4"/>
        <v>42</v>
      </c>
      <c r="B153" t="s">
        <v>257</v>
      </c>
      <c r="C153" s="2" t="s">
        <v>984</v>
      </c>
      <c r="D153" t="s">
        <v>1114</v>
      </c>
      <c r="E153">
        <v>33</v>
      </c>
      <c r="F153" t="s">
        <v>244</v>
      </c>
      <c r="G153" t="s">
        <v>15</v>
      </c>
      <c r="H153" t="s">
        <v>850</v>
      </c>
      <c r="I153" t="s">
        <v>262</v>
      </c>
      <c r="J153" t="s">
        <v>245</v>
      </c>
      <c r="K153">
        <v>800</v>
      </c>
      <c r="L153">
        <v>10</v>
      </c>
      <c r="M153">
        <v>5</v>
      </c>
      <c r="Q153" t="b">
        <f t="shared" si="5"/>
        <v>0</v>
      </c>
    </row>
    <row r="154" spans="1:17">
      <c r="A154">
        <f t="shared" si="4"/>
        <v>42</v>
      </c>
      <c r="B154" t="s">
        <v>257</v>
      </c>
      <c r="C154" s="2" t="s">
        <v>984</v>
      </c>
      <c r="D154" t="s">
        <v>1114</v>
      </c>
      <c r="E154">
        <v>33</v>
      </c>
      <c r="F154" t="s">
        <v>244</v>
      </c>
      <c r="G154" t="s">
        <v>15</v>
      </c>
      <c r="H154" t="s">
        <v>850</v>
      </c>
      <c r="I154" t="s">
        <v>258</v>
      </c>
      <c r="J154" t="s">
        <v>263</v>
      </c>
      <c r="K154">
        <v>2</v>
      </c>
      <c r="L154">
        <v>10</v>
      </c>
      <c r="M154">
        <v>5</v>
      </c>
      <c r="Q154" t="b">
        <f t="shared" si="5"/>
        <v>0</v>
      </c>
    </row>
    <row r="155" spans="1:17">
      <c r="A155">
        <f t="shared" si="4"/>
        <v>43</v>
      </c>
      <c r="B155" t="s">
        <v>264</v>
      </c>
      <c r="C155" s="2" t="s">
        <v>985</v>
      </c>
      <c r="D155" t="s">
        <v>1115</v>
      </c>
      <c r="E155">
        <v>37</v>
      </c>
      <c r="F155" t="s">
        <v>14</v>
      </c>
      <c r="G155" t="s">
        <v>15</v>
      </c>
      <c r="H155" t="s">
        <v>850</v>
      </c>
      <c r="I155" t="s">
        <v>266</v>
      </c>
      <c r="J155" t="s">
        <v>245</v>
      </c>
      <c r="K155">
        <v>800</v>
      </c>
      <c r="L155">
        <v>3</v>
      </c>
      <c r="M155">
        <v>0</v>
      </c>
      <c r="Q155" t="b">
        <f t="shared" si="5"/>
        <v>1</v>
      </c>
    </row>
    <row r="156" spans="1:17">
      <c r="A156">
        <f t="shared" si="4"/>
        <v>43</v>
      </c>
      <c r="B156" t="s">
        <v>264</v>
      </c>
      <c r="C156" s="2" t="s">
        <v>985</v>
      </c>
      <c r="D156" t="s">
        <v>1115</v>
      </c>
      <c r="E156">
        <v>37</v>
      </c>
      <c r="F156" t="s">
        <v>14</v>
      </c>
      <c r="G156" t="s">
        <v>15</v>
      </c>
      <c r="H156" t="s">
        <v>850</v>
      </c>
      <c r="I156" t="s">
        <v>267</v>
      </c>
      <c r="J156" t="s">
        <v>245</v>
      </c>
      <c r="K156">
        <v>800</v>
      </c>
      <c r="L156">
        <v>3</v>
      </c>
      <c r="M156">
        <v>0</v>
      </c>
      <c r="Q156" t="b">
        <f t="shared" si="5"/>
        <v>1</v>
      </c>
    </row>
    <row r="157" spans="1:17">
      <c r="A157">
        <f t="shared" si="4"/>
        <v>43</v>
      </c>
      <c r="B157" t="s">
        <v>264</v>
      </c>
      <c r="C157" s="2" t="s">
        <v>985</v>
      </c>
      <c r="D157" t="s">
        <v>1115</v>
      </c>
      <c r="E157">
        <v>37</v>
      </c>
      <c r="F157" t="s">
        <v>14</v>
      </c>
      <c r="G157" t="s">
        <v>15</v>
      </c>
      <c r="H157" t="s">
        <v>850</v>
      </c>
      <c r="I157" t="s">
        <v>265</v>
      </c>
      <c r="J157" t="s">
        <v>245</v>
      </c>
      <c r="K157">
        <v>800</v>
      </c>
      <c r="L157">
        <v>4</v>
      </c>
      <c r="M157">
        <v>1</v>
      </c>
      <c r="Q157" t="b">
        <f t="shared" si="5"/>
        <v>1</v>
      </c>
    </row>
    <row r="158" spans="1:17">
      <c r="A158">
        <f t="shared" si="4"/>
        <v>43</v>
      </c>
      <c r="B158" t="s">
        <v>264</v>
      </c>
      <c r="C158" s="2" t="s">
        <v>985</v>
      </c>
      <c r="D158" t="s">
        <v>1115</v>
      </c>
      <c r="E158">
        <v>37</v>
      </c>
      <c r="F158" t="s">
        <v>14</v>
      </c>
      <c r="G158" t="s">
        <v>15</v>
      </c>
      <c r="H158" t="s">
        <v>850</v>
      </c>
      <c r="I158" t="s">
        <v>265</v>
      </c>
      <c r="J158" t="s">
        <v>268</v>
      </c>
      <c r="K158">
        <v>650</v>
      </c>
      <c r="L158">
        <v>4</v>
      </c>
      <c r="M158">
        <v>1</v>
      </c>
      <c r="Q158" t="b">
        <f t="shared" si="5"/>
        <v>1</v>
      </c>
    </row>
    <row r="159" spans="1:17">
      <c r="A159">
        <f t="shared" si="4"/>
        <v>44</v>
      </c>
      <c r="B159" t="s">
        <v>273</v>
      </c>
      <c r="C159" s="2" t="s">
        <v>986</v>
      </c>
      <c r="D159" t="s">
        <v>1116</v>
      </c>
      <c r="E159">
        <v>35</v>
      </c>
      <c r="F159" t="s">
        <v>14</v>
      </c>
      <c r="G159" t="s">
        <v>15</v>
      </c>
      <c r="H159" t="s">
        <v>850</v>
      </c>
      <c r="I159" t="s">
        <v>276</v>
      </c>
      <c r="J159" t="s">
        <v>245</v>
      </c>
      <c r="K159">
        <v>800</v>
      </c>
      <c r="L159" t="s">
        <v>278</v>
      </c>
      <c r="M159" t="s">
        <v>278</v>
      </c>
      <c r="Q159" t="b">
        <f t="shared" si="5"/>
        <v>0</v>
      </c>
    </row>
    <row r="160" spans="1:17">
      <c r="A160">
        <f t="shared" si="4"/>
        <v>44</v>
      </c>
      <c r="B160" t="s">
        <v>273</v>
      </c>
      <c r="C160" s="2" t="s">
        <v>986</v>
      </c>
      <c r="D160" t="s">
        <v>1116</v>
      </c>
      <c r="E160">
        <v>35</v>
      </c>
      <c r="F160" t="s">
        <v>14</v>
      </c>
      <c r="G160" t="s">
        <v>15</v>
      </c>
      <c r="H160" t="s">
        <v>850</v>
      </c>
      <c r="I160" t="s">
        <v>277</v>
      </c>
      <c r="J160" t="s">
        <v>245</v>
      </c>
      <c r="K160">
        <v>800</v>
      </c>
      <c r="L160" t="s">
        <v>278</v>
      </c>
      <c r="M160" t="s">
        <v>278</v>
      </c>
      <c r="Q160" t="b">
        <f t="shared" si="5"/>
        <v>0</v>
      </c>
    </row>
    <row r="161" spans="1:17">
      <c r="A161">
        <f t="shared" si="4"/>
        <v>44</v>
      </c>
      <c r="B161" t="s">
        <v>273</v>
      </c>
      <c r="C161" s="2" t="s">
        <v>986</v>
      </c>
      <c r="D161" t="s">
        <v>1116</v>
      </c>
      <c r="E161">
        <v>35</v>
      </c>
      <c r="F161" t="s">
        <v>14</v>
      </c>
      <c r="G161" t="s">
        <v>15</v>
      </c>
      <c r="H161" t="s">
        <v>850</v>
      </c>
      <c r="I161" t="s">
        <v>275</v>
      </c>
      <c r="J161" t="s">
        <v>245</v>
      </c>
      <c r="K161">
        <v>800</v>
      </c>
      <c r="L161">
        <v>2</v>
      </c>
      <c r="M161">
        <v>1</v>
      </c>
      <c r="Q161" t="b">
        <f t="shared" si="5"/>
        <v>0</v>
      </c>
    </row>
    <row r="162" spans="1:17">
      <c r="A162">
        <f t="shared" si="4"/>
        <v>45</v>
      </c>
      <c r="B162" t="s">
        <v>279</v>
      </c>
      <c r="C162" s="2" t="s">
        <v>987</v>
      </c>
      <c r="D162" t="s">
        <v>1117</v>
      </c>
      <c r="E162">
        <v>27</v>
      </c>
      <c r="F162" t="s">
        <v>281</v>
      </c>
      <c r="G162" t="s">
        <v>15</v>
      </c>
      <c r="H162" t="s">
        <v>850</v>
      </c>
      <c r="I162" t="s">
        <v>282</v>
      </c>
      <c r="J162" t="s">
        <v>245</v>
      </c>
      <c r="K162">
        <v>800</v>
      </c>
      <c r="L162" t="s">
        <v>278</v>
      </c>
      <c r="M162" t="s">
        <v>278</v>
      </c>
      <c r="N162">
        <v>2</v>
      </c>
      <c r="Q162" t="b">
        <f t="shared" si="5"/>
        <v>1</v>
      </c>
    </row>
    <row r="163" spans="1:17">
      <c r="A163">
        <f t="shared" si="4"/>
        <v>45</v>
      </c>
      <c r="B163" t="s">
        <v>279</v>
      </c>
      <c r="C163" s="2" t="s">
        <v>987</v>
      </c>
      <c r="D163" t="s">
        <v>1117</v>
      </c>
      <c r="E163">
        <v>27</v>
      </c>
      <c r="F163" t="s">
        <v>281</v>
      </c>
      <c r="G163" t="s">
        <v>15</v>
      </c>
      <c r="H163" t="s">
        <v>850</v>
      </c>
      <c r="I163" t="s">
        <v>280</v>
      </c>
      <c r="J163" t="s">
        <v>245</v>
      </c>
      <c r="K163">
        <v>800</v>
      </c>
      <c r="L163">
        <v>4</v>
      </c>
      <c r="M163">
        <v>0</v>
      </c>
      <c r="N163">
        <v>2</v>
      </c>
      <c r="Q163" t="b">
        <f t="shared" si="5"/>
        <v>1</v>
      </c>
    </row>
    <row r="164" spans="1:17">
      <c r="A164">
        <f t="shared" si="4"/>
        <v>46</v>
      </c>
      <c r="B164" t="s">
        <v>283</v>
      </c>
      <c r="C164" s="2" t="s">
        <v>988</v>
      </c>
      <c r="D164" t="s">
        <v>1118</v>
      </c>
      <c r="E164">
        <v>33</v>
      </c>
      <c r="F164" t="s">
        <v>14</v>
      </c>
      <c r="G164" t="s">
        <v>15</v>
      </c>
      <c r="H164" t="s">
        <v>850</v>
      </c>
      <c r="I164" t="s">
        <v>285</v>
      </c>
      <c r="J164" t="s">
        <v>245</v>
      </c>
      <c r="K164">
        <v>800</v>
      </c>
      <c r="L164">
        <v>5</v>
      </c>
      <c r="M164">
        <v>4</v>
      </c>
      <c r="N164">
        <v>4</v>
      </c>
      <c r="Q164" t="b">
        <f t="shared" si="5"/>
        <v>0</v>
      </c>
    </row>
    <row r="165" spans="1:17">
      <c r="A165">
        <f t="shared" si="4"/>
        <v>46</v>
      </c>
      <c r="B165" t="s">
        <v>283</v>
      </c>
      <c r="C165" s="2" t="s">
        <v>988</v>
      </c>
      <c r="D165" t="s">
        <v>1118</v>
      </c>
      <c r="E165">
        <v>33</v>
      </c>
      <c r="F165" t="s">
        <v>14</v>
      </c>
      <c r="G165" t="s">
        <v>15</v>
      </c>
      <c r="H165" t="s">
        <v>850</v>
      </c>
      <c r="I165" t="s">
        <v>285</v>
      </c>
      <c r="J165" t="s">
        <v>263</v>
      </c>
      <c r="K165">
        <v>1</v>
      </c>
      <c r="L165">
        <v>5</v>
      </c>
      <c r="M165">
        <v>4</v>
      </c>
      <c r="N165">
        <v>7</v>
      </c>
      <c r="Q165" t="b">
        <f t="shared" si="5"/>
        <v>0</v>
      </c>
    </row>
    <row r="166" spans="1:17">
      <c r="A166">
        <f t="shared" si="4"/>
        <v>46</v>
      </c>
      <c r="B166" t="s">
        <v>283</v>
      </c>
      <c r="C166" s="2" t="s">
        <v>988</v>
      </c>
      <c r="D166" t="s">
        <v>1118</v>
      </c>
      <c r="E166">
        <v>33</v>
      </c>
      <c r="F166" t="s">
        <v>14</v>
      </c>
      <c r="G166" t="s">
        <v>15</v>
      </c>
      <c r="H166" t="s">
        <v>850</v>
      </c>
      <c r="I166" t="s">
        <v>286</v>
      </c>
      <c r="J166" t="s">
        <v>245</v>
      </c>
      <c r="K166">
        <v>800</v>
      </c>
      <c r="L166">
        <v>5</v>
      </c>
      <c r="M166">
        <v>4</v>
      </c>
      <c r="N166">
        <v>4</v>
      </c>
      <c r="Q166" t="b">
        <f t="shared" si="5"/>
        <v>0</v>
      </c>
    </row>
    <row r="167" spans="1:17">
      <c r="A167">
        <f t="shared" si="4"/>
        <v>46</v>
      </c>
      <c r="B167" t="s">
        <v>283</v>
      </c>
      <c r="C167" s="2" t="s">
        <v>988</v>
      </c>
      <c r="D167" t="s">
        <v>1118</v>
      </c>
      <c r="E167">
        <v>33</v>
      </c>
      <c r="F167" t="s">
        <v>14</v>
      </c>
      <c r="G167" t="s">
        <v>15</v>
      </c>
      <c r="H167" t="s">
        <v>850</v>
      </c>
      <c r="I167" t="s">
        <v>286</v>
      </c>
      <c r="J167" t="s">
        <v>263</v>
      </c>
      <c r="K167">
        <v>1</v>
      </c>
      <c r="L167">
        <v>5</v>
      </c>
      <c r="M167">
        <v>4</v>
      </c>
      <c r="N167">
        <v>7</v>
      </c>
      <c r="Q167" t="b">
        <f t="shared" si="5"/>
        <v>0</v>
      </c>
    </row>
    <row r="168" spans="1:17">
      <c r="A168">
        <f t="shared" si="4"/>
        <v>46</v>
      </c>
      <c r="B168" t="s">
        <v>283</v>
      </c>
      <c r="C168" s="2" t="s">
        <v>988</v>
      </c>
      <c r="D168" t="s">
        <v>1118</v>
      </c>
      <c r="E168">
        <v>33</v>
      </c>
      <c r="F168" t="s">
        <v>14</v>
      </c>
      <c r="G168" t="s">
        <v>15</v>
      </c>
      <c r="H168" t="s">
        <v>850</v>
      </c>
      <c r="I168" t="s">
        <v>287</v>
      </c>
      <c r="J168" t="s">
        <v>263</v>
      </c>
      <c r="K168">
        <v>1</v>
      </c>
      <c r="L168">
        <v>4</v>
      </c>
      <c r="M168">
        <v>0</v>
      </c>
      <c r="N168">
        <v>7</v>
      </c>
      <c r="Q168" t="b">
        <f t="shared" si="5"/>
        <v>0</v>
      </c>
    </row>
    <row r="169" spans="1:17">
      <c r="A169">
        <f t="shared" si="4"/>
        <v>46</v>
      </c>
      <c r="B169" t="s">
        <v>283</v>
      </c>
      <c r="C169" s="2" t="s">
        <v>988</v>
      </c>
      <c r="D169" t="s">
        <v>1118</v>
      </c>
      <c r="E169">
        <v>33</v>
      </c>
      <c r="F169" t="s">
        <v>14</v>
      </c>
      <c r="G169" t="s">
        <v>15</v>
      </c>
      <c r="H169" t="s">
        <v>850</v>
      </c>
      <c r="I169" t="s">
        <v>288</v>
      </c>
      <c r="J169" t="s">
        <v>245</v>
      </c>
      <c r="K169">
        <v>800</v>
      </c>
      <c r="L169">
        <v>5</v>
      </c>
      <c r="M169">
        <v>4</v>
      </c>
      <c r="N169">
        <v>4</v>
      </c>
      <c r="Q169" t="b">
        <f t="shared" si="5"/>
        <v>0</v>
      </c>
    </row>
    <row r="170" spans="1:17">
      <c r="A170">
        <f t="shared" si="4"/>
        <v>46</v>
      </c>
      <c r="B170" t="s">
        <v>283</v>
      </c>
      <c r="C170" s="2" t="s">
        <v>988</v>
      </c>
      <c r="D170" t="s">
        <v>1118</v>
      </c>
      <c r="E170">
        <v>33</v>
      </c>
      <c r="F170" t="s">
        <v>14</v>
      </c>
      <c r="G170" t="s">
        <v>15</v>
      </c>
      <c r="H170" t="s">
        <v>850</v>
      </c>
      <c r="I170" t="s">
        <v>289</v>
      </c>
      <c r="J170" t="s">
        <v>263</v>
      </c>
      <c r="K170">
        <v>2</v>
      </c>
      <c r="L170">
        <v>2</v>
      </c>
      <c r="M170">
        <v>2</v>
      </c>
      <c r="N170">
        <v>7</v>
      </c>
      <c r="Q170" t="b">
        <f t="shared" si="5"/>
        <v>0</v>
      </c>
    </row>
    <row r="171" spans="1:17">
      <c r="A171">
        <f t="shared" si="4"/>
        <v>46</v>
      </c>
      <c r="B171" t="s">
        <v>283</v>
      </c>
      <c r="C171" s="2" t="s">
        <v>988</v>
      </c>
      <c r="D171" t="s">
        <v>1118</v>
      </c>
      <c r="E171">
        <v>33</v>
      </c>
      <c r="F171" t="s">
        <v>14</v>
      </c>
      <c r="G171" t="s">
        <v>15</v>
      </c>
      <c r="H171" t="s">
        <v>850</v>
      </c>
      <c r="I171" t="s">
        <v>290</v>
      </c>
      <c r="J171" t="s">
        <v>245</v>
      </c>
      <c r="K171">
        <v>800</v>
      </c>
      <c r="L171">
        <v>800</v>
      </c>
      <c r="M171">
        <v>2</v>
      </c>
      <c r="N171">
        <v>4</v>
      </c>
      <c r="Q171" t="b">
        <f t="shared" si="5"/>
        <v>0</v>
      </c>
    </row>
    <row r="172" spans="1:17">
      <c r="A172">
        <f t="shared" si="4"/>
        <v>46</v>
      </c>
      <c r="B172" t="s">
        <v>283</v>
      </c>
      <c r="C172" s="2" t="s">
        <v>988</v>
      </c>
      <c r="D172" t="s">
        <v>1118</v>
      </c>
      <c r="E172">
        <v>33</v>
      </c>
      <c r="F172" t="s">
        <v>14</v>
      </c>
      <c r="G172" t="s">
        <v>15</v>
      </c>
      <c r="H172" t="s">
        <v>850</v>
      </c>
      <c r="I172" t="s">
        <v>290</v>
      </c>
      <c r="J172" t="s">
        <v>263</v>
      </c>
      <c r="K172">
        <v>1</v>
      </c>
      <c r="L172">
        <v>1</v>
      </c>
      <c r="M172">
        <v>2</v>
      </c>
      <c r="N172">
        <v>7</v>
      </c>
      <c r="Q172" t="b">
        <f t="shared" si="5"/>
        <v>0</v>
      </c>
    </row>
    <row r="173" spans="1:17">
      <c r="A173">
        <f t="shared" si="4"/>
        <v>46</v>
      </c>
      <c r="B173" t="s">
        <v>283</v>
      </c>
      <c r="C173" s="2" t="s">
        <v>988</v>
      </c>
      <c r="D173" t="s">
        <v>1118</v>
      </c>
      <c r="E173">
        <v>33</v>
      </c>
      <c r="F173" t="s">
        <v>14</v>
      </c>
      <c r="G173" t="s">
        <v>15</v>
      </c>
      <c r="H173" t="s">
        <v>850</v>
      </c>
      <c r="I173" t="s">
        <v>284</v>
      </c>
      <c r="J173" t="s">
        <v>263</v>
      </c>
      <c r="K173">
        <v>1</v>
      </c>
      <c r="L173">
        <v>1</v>
      </c>
      <c r="M173">
        <v>2</v>
      </c>
      <c r="N173">
        <v>7</v>
      </c>
      <c r="Q173" t="b">
        <f t="shared" si="5"/>
        <v>0</v>
      </c>
    </row>
    <row r="174" spans="1:17">
      <c r="A174">
        <f t="shared" si="4"/>
        <v>47</v>
      </c>
      <c r="B174" t="s">
        <v>291</v>
      </c>
      <c r="C174" s="2" t="s">
        <v>989</v>
      </c>
      <c r="D174" t="s">
        <v>1119</v>
      </c>
      <c r="E174">
        <v>34</v>
      </c>
      <c r="F174" t="s">
        <v>113</v>
      </c>
      <c r="G174" t="s">
        <v>15</v>
      </c>
      <c r="H174" t="s">
        <v>850</v>
      </c>
      <c r="I174" t="s">
        <v>293</v>
      </c>
      <c r="J174" t="s">
        <v>245</v>
      </c>
      <c r="K174">
        <v>800</v>
      </c>
      <c r="L174">
        <v>4</v>
      </c>
      <c r="M174">
        <v>0</v>
      </c>
      <c r="Q174" t="b">
        <f t="shared" si="5"/>
        <v>1</v>
      </c>
    </row>
    <row r="175" spans="1:17">
      <c r="A175">
        <f t="shared" si="4"/>
        <v>47</v>
      </c>
      <c r="B175" t="s">
        <v>291</v>
      </c>
      <c r="C175" s="2" t="s">
        <v>989</v>
      </c>
      <c r="D175" t="s">
        <v>1119</v>
      </c>
      <c r="E175">
        <v>34</v>
      </c>
      <c r="F175" t="s">
        <v>113</v>
      </c>
      <c r="G175" t="s">
        <v>15</v>
      </c>
      <c r="H175" t="s">
        <v>850</v>
      </c>
      <c r="I175" t="s">
        <v>294</v>
      </c>
      <c r="J175" t="s">
        <v>263</v>
      </c>
      <c r="K175">
        <v>1</v>
      </c>
      <c r="L175">
        <v>6</v>
      </c>
      <c r="M175">
        <v>1</v>
      </c>
      <c r="Q175" t="b">
        <f t="shared" si="5"/>
        <v>1</v>
      </c>
    </row>
    <row r="176" spans="1:17">
      <c r="A176">
        <f t="shared" si="4"/>
        <v>47</v>
      </c>
      <c r="B176" t="s">
        <v>291</v>
      </c>
      <c r="C176" s="2" t="s">
        <v>989</v>
      </c>
      <c r="D176" t="s">
        <v>1119</v>
      </c>
      <c r="E176">
        <v>34</v>
      </c>
      <c r="F176" t="s">
        <v>113</v>
      </c>
      <c r="G176" t="s">
        <v>15</v>
      </c>
      <c r="H176" t="s">
        <v>850</v>
      </c>
      <c r="I176" t="s">
        <v>295</v>
      </c>
      <c r="J176" t="s">
        <v>245</v>
      </c>
      <c r="K176">
        <v>800</v>
      </c>
      <c r="L176">
        <v>4</v>
      </c>
      <c r="M176">
        <v>2</v>
      </c>
      <c r="Q176" t="b">
        <f t="shared" si="5"/>
        <v>1</v>
      </c>
    </row>
    <row r="177" spans="1:17">
      <c r="A177">
        <f t="shared" si="4"/>
        <v>47</v>
      </c>
      <c r="B177" t="s">
        <v>291</v>
      </c>
      <c r="C177" s="2" t="s">
        <v>989</v>
      </c>
      <c r="D177" t="s">
        <v>1119</v>
      </c>
      <c r="E177">
        <v>34</v>
      </c>
      <c r="F177" t="s">
        <v>113</v>
      </c>
      <c r="G177" t="s">
        <v>15</v>
      </c>
      <c r="H177" t="s">
        <v>850</v>
      </c>
      <c r="I177" t="s">
        <v>296</v>
      </c>
      <c r="J177" t="s">
        <v>263</v>
      </c>
      <c r="K177">
        <v>1</v>
      </c>
      <c r="L177">
        <v>4</v>
      </c>
      <c r="M177">
        <v>4</v>
      </c>
      <c r="Q177" t="b">
        <f t="shared" si="5"/>
        <v>1</v>
      </c>
    </row>
    <row r="178" spans="1:17">
      <c r="A178">
        <f t="shared" si="4"/>
        <v>47</v>
      </c>
      <c r="B178" t="s">
        <v>291</v>
      </c>
      <c r="C178" s="2" t="s">
        <v>989</v>
      </c>
      <c r="D178" t="s">
        <v>1119</v>
      </c>
      <c r="E178">
        <v>34</v>
      </c>
      <c r="F178" t="s">
        <v>113</v>
      </c>
      <c r="G178" t="s">
        <v>15</v>
      </c>
      <c r="H178" t="s">
        <v>850</v>
      </c>
      <c r="I178" t="s">
        <v>292</v>
      </c>
      <c r="J178" t="s">
        <v>245</v>
      </c>
      <c r="K178">
        <v>800</v>
      </c>
      <c r="L178">
        <v>3</v>
      </c>
      <c r="M178" t="s">
        <v>278</v>
      </c>
      <c r="Q178" t="b">
        <f t="shared" si="5"/>
        <v>1</v>
      </c>
    </row>
    <row r="179" spans="1:17">
      <c r="A179">
        <f t="shared" si="4"/>
        <v>48</v>
      </c>
      <c r="B179" t="s">
        <v>297</v>
      </c>
      <c r="C179" s="2" t="s">
        <v>990</v>
      </c>
      <c r="D179" t="s">
        <v>1120</v>
      </c>
      <c r="E179">
        <v>24</v>
      </c>
      <c r="F179" t="s">
        <v>14</v>
      </c>
      <c r="G179" t="s">
        <v>30</v>
      </c>
      <c r="H179" t="s">
        <v>850</v>
      </c>
      <c r="I179" t="s">
        <v>299</v>
      </c>
      <c r="J179" t="s">
        <v>256</v>
      </c>
      <c r="K179">
        <v>30</v>
      </c>
      <c r="L179">
        <v>3</v>
      </c>
      <c r="M179">
        <v>0</v>
      </c>
      <c r="Q179" t="b">
        <f t="shared" si="5"/>
        <v>0</v>
      </c>
    </row>
    <row r="180" spans="1:17">
      <c r="A180">
        <f t="shared" si="4"/>
        <v>48</v>
      </c>
      <c r="B180" t="s">
        <v>297</v>
      </c>
      <c r="C180" s="2" t="s">
        <v>990</v>
      </c>
      <c r="D180" t="s">
        <v>1120</v>
      </c>
      <c r="E180">
        <v>24</v>
      </c>
      <c r="F180" t="s">
        <v>14</v>
      </c>
      <c r="G180" t="s">
        <v>30</v>
      </c>
      <c r="H180" t="s">
        <v>850</v>
      </c>
      <c r="I180" t="s">
        <v>300</v>
      </c>
      <c r="J180" t="s">
        <v>256</v>
      </c>
      <c r="K180">
        <v>30</v>
      </c>
      <c r="L180">
        <v>7</v>
      </c>
      <c r="M180">
        <v>0</v>
      </c>
      <c r="Q180" t="b">
        <f t="shared" si="5"/>
        <v>0</v>
      </c>
    </row>
    <row r="181" spans="1:17">
      <c r="A181">
        <f t="shared" si="4"/>
        <v>48</v>
      </c>
      <c r="B181" t="s">
        <v>297</v>
      </c>
      <c r="C181" s="2" t="s">
        <v>990</v>
      </c>
      <c r="D181" t="s">
        <v>1120</v>
      </c>
      <c r="E181">
        <v>24</v>
      </c>
      <c r="F181" t="s">
        <v>14</v>
      </c>
      <c r="G181" t="s">
        <v>30</v>
      </c>
      <c r="H181" t="s">
        <v>850</v>
      </c>
      <c r="I181" t="s">
        <v>301</v>
      </c>
      <c r="J181" t="s">
        <v>263</v>
      </c>
      <c r="K181">
        <v>1</v>
      </c>
      <c r="L181">
        <v>3</v>
      </c>
      <c r="M181">
        <v>2</v>
      </c>
      <c r="Q181" t="b">
        <f t="shared" si="5"/>
        <v>0</v>
      </c>
    </row>
    <row r="182" spans="1:17">
      <c r="A182">
        <f t="shared" si="4"/>
        <v>48</v>
      </c>
      <c r="B182" t="s">
        <v>297</v>
      </c>
      <c r="C182" s="2" t="s">
        <v>990</v>
      </c>
      <c r="D182" t="s">
        <v>1120</v>
      </c>
      <c r="E182">
        <v>24</v>
      </c>
      <c r="F182" t="s">
        <v>14</v>
      </c>
      <c r="G182" t="s">
        <v>30</v>
      </c>
      <c r="H182" t="s">
        <v>850</v>
      </c>
      <c r="I182" t="s">
        <v>302</v>
      </c>
      <c r="J182" t="s">
        <v>256</v>
      </c>
      <c r="K182">
        <v>30</v>
      </c>
      <c r="L182">
        <v>4</v>
      </c>
      <c r="M182">
        <v>2</v>
      </c>
      <c r="Q182" t="b">
        <f t="shared" si="5"/>
        <v>0</v>
      </c>
    </row>
    <row r="183" spans="1:17">
      <c r="A183">
        <f t="shared" si="4"/>
        <v>48</v>
      </c>
      <c r="B183" t="s">
        <v>297</v>
      </c>
      <c r="C183" s="2" t="s">
        <v>990</v>
      </c>
      <c r="D183" t="s">
        <v>1120</v>
      </c>
      <c r="E183">
        <v>24</v>
      </c>
      <c r="F183" t="s">
        <v>14</v>
      </c>
      <c r="G183" t="s">
        <v>30</v>
      </c>
      <c r="H183" t="s">
        <v>850</v>
      </c>
      <c r="I183" t="s">
        <v>303</v>
      </c>
      <c r="J183" t="s">
        <v>263</v>
      </c>
      <c r="K183">
        <v>1</v>
      </c>
      <c r="L183">
        <v>6</v>
      </c>
      <c r="M183">
        <v>5</v>
      </c>
      <c r="Q183" t="b">
        <f t="shared" si="5"/>
        <v>0</v>
      </c>
    </row>
    <row r="184" spans="1:17">
      <c r="A184">
        <f t="shared" si="4"/>
        <v>48</v>
      </c>
      <c r="B184" t="s">
        <v>297</v>
      </c>
      <c r="C184" s="2" t="s">
        <v>990</v>
      </c>
      <c r="D184" t="s">
        <v>1120</v>
      </c>
      <c r="E184">
        <v>24</v>
      </c>
      <c r="F184" t="s">
        <v>14</v>
      </c>
      <c r="G184" t="s">
        <v>30</v>
      </c>
      <c r="H184" t="s">
        <v>850</v>
      </c>
      <c r="I184" t="s">
        <v>304</v>
      </c>
      <c r="J184" t="s">
        <v>256</v>
      </c>
      <c r="K184">
        <v>30</v>
      </c>
      <c r="L184">
        <v>5</v>
      </c>
      <c r="M184">
        <v>2</v>
      </c>
      <c r="Q184" t="b">
        <f t="shared" si="5"/>
        <v>0</v>
      </c>
    </row>
    <row r="185" spans="1:17">
      <c r="A185">
        <f t="shared" si="4"/>
        <v>48</v>
      </c>
      <c r="B185" t="s">
        <v>297</v>
      </c>
      <c r="C185" s="2" t="s">
        <v>990</v>
      </c>
      <c r="D185" t="s">
        <v>1120</v>
      </c>
      <c r="E185">
        <v>24</v>
      </c>
      <c r="F185" t="s">
        <v>14</v>
      </c>
      <c r="G185" t="s">
        <v>30</v>
      </c>
      <c r="H185" t="s">
        <v>850</v>
      </c>
      <c r="I185" t="s">
        <v>298</v>
      </c>
      <c r="J185" t="s">
        <v>263</v>
      </c>
      <c r="K185">
        <v>1</v>
      </c>
      <c r="L185" t="s">
        <v>278</v>
      </c>
      <c r="M185" t="s">
        <v>278</v>
      </c>
      <c r="Q185" t="b">
        <f t="shared" si="5"/>
        <v>0</v>
      </c>
    </row>
    <row r="186" spans="1:17">
      <c r="A186">
        <f t="shared" si="4"/>
        <v>49</v>
      </c>
      <c r="B186" t="s">
        <v>305</v>
      </c>
      <c r="C186" s="2" t="s">
        <v>991</v>
      </c>
      <c r="D186" t="s">
        <v>1121</v>
      </c>
      <c r="E186">
        <v>36</v>
      </c>
      <c r="F186" t="s">
        <v>244</v>
      </c>
      <c r="G186" t="s">
        <v>30</v>
      </c>
      <c r="H186" t="s">
        <v>850</v>
      </c>
      <c r="I186" t="s">
        <v>307</v>
      </c>
      <c r="J186" t="s">
        <v>256</v>
      </c>
      <c r="K186">
        <v>30</v>
      </c>
      <c r="L186">
        <v>1</v>
      </c>
      <c r="M186">
        <v>0</v>
      </c>
      <c r="Q186" t="b">
        <f t="shared" si="5"/>
        <v>1</v>
      </c>
    </row>
    <row r="187" spans="1:17">
      <c r="A187">
        <f t="shared" si="4"/>
        <v>49</v>
      </c>
      <c r="B187" t="s">
        <v>305</v>
      </c>
      <c r="C187" s="2" t="s">
        <v>991</v>
      </c>
      <c r="D187" t="s">
        <v>1121</v>
      </c>
      <c r="E187">
        <v>36</v>
      </c>
      <c r="F187" t="s">
        <v>244</v>
      </c>
      <c r="G187" t="s">
        <v>30</v>
      </c>
      <c r="H187" t="s">
        <v>850</v>
      </c>
      <c r="I187" t="s">
        <v>308</v>
      </c>
      <c r="J187" t="s">
        <v>256</v>
      </c>
      <c r="K187">
        <v>30</v>
      </c>
      <c r="L187">
        <v>3</v>
      </c>
      <c r="M187">
        <v>1</v>
      </c>
      <c r="Q187" t="b">
        <f t="shared" si="5"/>
        <v>1</v>
      </c>
    </row>
    <row r="188" spans="1:17">
      <c r="A188">
        <f t="shared" si="4"/>
        <v>49</v>
      </c>
      <c r="B188" t="s">
        <v>305</v>
      </c>
      <c r="C188" s="2" t="s">
        <v>991</v>
      </c>
      <c r="D188" t="s">
        <v>1121</v>
      </c>
      <c r="E188">
        <v>36</v>
      </c>
      <c r="F188" t="s">
        <v>244</v>
      </c>
      <c r="G188" t="s">
        <v>30</v>
      </c>
      <c r="H188" t="s">
        <v>850</v>
      </c>
      <c r="I188" t="s">
        <v>309</v>
      </c>
      <c r="J188" t="s">
        <v>256</v>
      </c>
      <c r="K188">
        <v>30</v>
      </c>
      <c r="L188">
        <v>4</v>
      </c>
      <c r="M188">
        <v>0</v>
      </c>
      <c r="Q188" t="b">
        <f t="shared" si="5"/>
        <v>1</v>
      </c>
    </row>
    <row r="189" spans="1:17">
      <c r="A189">
        <f t="shared" si="4"/>
        <v>49</v>
      </c>
      <c r="B189" t="s">
        <v>305</v>
      </c>
      <c r="C189" s="2" t="s">
        <v>991</v>
      </c>
      <c r="D189" t="s">
        <v>1121</v>
      </c>
      <c r="E189">
        <v>36</v>
      </c>
      <c r="F189" t="s">
        <v>244</v>
      </c>
      <c r="G189" t="s">
        <v>30</v>
      </c>
      <c r="H189" t="s">
        <v>850</v>
      </c>
      <c r="I189" t="s">
        <v>306</v>
      </c>
      <c r="J189" t="s">
        <v>245</v>
      </c>
      <c r="K189">
        <v>800</v>
      </c>
      <c r="L189">
        <v>5</v>
      </c>
      <c r="M189">
        <v>1</v>
      </c>
      <c r="Q189" t="b">
        <f t="shared" si="5"/>
        <v>1</v>
      </c>
    </row>
    <row r="190" spans="1:17">
      <c r="A190">
        <f t="shared" si="4"/>
        <v>49</v>
      </c>
      <c r="B190" t="s">
        <v>305</v>
      </c>
      <c r="C190" s="2" t="s">
        <v>991</v>
      </c>
      <c r="D190" t="s">
        <v>1121</v>
      </c>
      <c r="E190">
        <v>36</v>
      </c>
      <c r="F190" t="s">
        <v>244</v>
      </c>
      <c r="G190" t="s">
        <v>30</v>
      </c>
      <c r="H190" t="s">
        <v>850</v>
      </c>
      <c r="I190" t="s">
        <v>306</v>
      </c>
      <c r="J190" t="s">
        <v>263</v>
      </c>
      <c r="K190">
        <v>1</v>
      </c>
      <c r="L190">
        <v>5</v>
      </c>
      <c r="M190">
        <v>1</v>
      </c>
      <c r="Q190" t="b">
        <f t="shared" si="5"/>
        <v>1</v>
      </c>
    </row>
    <row r="191" spans="1:17">
      <c r="A191">
        <f t="shared" si="4"/>
        <v>50</v>
      </c>
      <c r="B191" t="s">
        <v>310</v>
      </c>
      <c r="C191" s="2" t="s">
        <v>992</v>
      </c>
      <c r="D191" t="s">
        <v>1122</v>
      </c>
      <c r="E191">
        <v>29</v>
      </c>
      <c r="F191" t="s">
        <v>14</v>
      </c>
      <c r="G191" t="s">
        <v>15</v>
      </c>
      <c r="H191" t="s">
        <v>850</v>
      </c>
      <c r="I191" t="s">
        <v>312</v>
      </c>
      <c r="J191" t="s">
        <v>268</v>
      </c>
      <c r="K191">
        <v>650</v>
      </c>
      <c r="L191">
        <v>5</v>
      </c>
      <c r="M191">
        <v>2</v>
      </c>
      <c r="Q191" t="b">
        <f t="shared" si="5"/>
        <v>0</v>
      </c>
    </row>
    <row r="192" spans="1:17">
      <c r="A192">
        <f t="shared" si="4"/>
        <v>50</v>
      </c>
      <c r="B192" t="s">
        <v>310</v>
      </c>
      <c r="C192" s="2" t="s">
        <v>992</v>
      </c>
      <c r="D192" t="s">
        <v>1122</v>
      </c>
      <c r="E192">
        <v>29</v>
      </c>
      <c r="F192" t="s">
        <v>14</v>
      </c>
      <c r="G192" t="s">
        <v>15</v>
      </c>
      <c r="H192" t="s">
        <v>850</v>
      </c>
      <c r="I192" t="s">
        <v>311</v>
      </c>
      <c r="J192" t="s">
        <v>268</v>
      </c>
      <c r="K192">
        <v>650</v>
      </c>
      <c r="L192">
        <v>2</v>
      </c>
      <c r="M192">
        <v>1</v>
      </c>
      <c r="Q192" t="b">
        <f t="shared" si="5"/>
        <v>0</v>
      </c>
    </row>
    <row r="193" spans="1:17">
      <c r="A193">
        <f t="shared" si="4"/>
        <v>51</v>
      </c>
      <c r="B193" t="s">
        <v>313</v>
      </c>
      <c r="C193" s="2" t="s">
        <v>993</v>
      </c>
      <c r="D193" t="s">
        <v>1123</v>
      </c>
      <c r="E193">
        <v>27</v>
      </c>
      <c r="F193" t="s">
        <v>14</v>
      </c>
      <c r="G193" t="s">
        <v>15</v>
      </c>
      <c r="H193" t="s">
        <v>850</v>
      </c>
      <c r="I193" t="s">
        <v>315</v>
      </c>
      <c r="J193" t="s">
        <v>245</v>
      </c>
      <c r="K193">
        <v>800</v>
      </c>
      <c r="L193">
        <v>1</v>
      </c>
      <c r="M193">
        <v>1</v>
      </c>
      <c r="N193">
        <v>2</v>
      </c>
      <c r="Q193" t="b">
        <f t="shared" si="5"/>
        <v>1</v>
      </c>
    </row>
    <row r="194" spans="1:17">
      <c r="A194">
        <f t="shared" ref="A194:A257" si="6">IF(ROW()=2,1,IF(B194=B193,A193,A193+1))</f>
        <v>51</v>
      </c>
      <c r="B194" t="s">
        <v>313</v>
      </c>
      <c r="C194" s="2" t="s">
        <v>993</v>
      </c>
      <c r="D194" t="s">
        <v>1123</v>
      </c>
      <c r="E194">
        <v>27</v>
      </c>
      <c r="F194" t="s">
        <v>14</v>
      </c>
      <c r="G194" t="s">
        <v>15</v>
      </c>
      <c r="H194" t="s">
        <v>850</v>
      </c>
      <c r="I194" t="s">
        <v>314</v>
      </c>
      <c r="J194" t="s">
        <v>245</v>
      </c>
      <c r="K194">
        <v>800</v>
      </c>
      <c r="L194">
        <v>1</v>
      </c>
      <c r="M194">
        <v>0</v>
      </c>
      <c r="N194">
        <v>2</v>
      </c>
      <c r="Q194" t="b">
        <f t="shared" ref="Q194:Q257" si="7">ISODD(A194)</f>
        <v>1</v>
      </c>
    </row>
    <row r="195" spans="1:17">
      <c r="A195">
        <f t="shared" si="6"/>
        <v>52</v>
      </c>
      <c r="B195" t="s">
        <v>316</v>
      </c>
      <c r="C195" s="2" t="s">
        <v>994</v>
      </c>
      <c r="D195" t="s">
        <v>1124</v>
      </c>
      <c r="E195">
        <v>29</v>
      </c>
      <c r="F195" t="s">
        <v>14</v>
      </c>
      <c r="G195" t="s">
        <v>30</v>
      </c>
      <c r="H195" t="s">
        <v>850</v>
      </c>
      <c r="I195" t="s">
        <v>318</v>
      </c>
      <c r="J195" t="s">
        <v>256</v>
      </c>
      <c r="K195">
        <v>30</v>
      </c>
      <c r="L195">
        <v>4</v>
      </c>
      <c r="M195">
        <v>0</v>
      </c>
      <c r="Q195" t="b">
        <f t="shared" si="7"/>
        <v>0</v>
      </c>
    </row>
    <row r="196" spans="1:17">
      <c r="A196">
        <f t="shared" si="6"/>
        <v>52</v>
      </c>
      <c r="B196" t="s">
        <v>316</v>
      </c>
      <c r="C196" s="2" t="s">
        <v>994</v>
      </c>
      <c r="D196" t="s">
        <v>1124</v>
      </c>
      <c r="E196">
        <v>29</v>
      </c>
      <c r="F196" t="s">
        <v>14</v>
      </c>
      <c r="G196" t="s">
        <v>30</v>
      </c>
      <c r="H196" t="s">
        <v>850</v>
      </c>
      <c r="I196" t="s">
        <v>274</v>
      </c>
      <c r="J196" t="s">
        <v>256</v>
      </c>
      <c r="K196">
        <v>30</v>
      </c>
      <c r="L196">
        <v>4</v>
      </c>
      <c r="M196">
        <v>4</v>
      </c>
      <c r="Q196" t="b">
        <f t="shared" si="7"/>
        <v>0</v>
      </c>
    </row>
    <row r="197" spans="1:17">
      <c r="A197">
        <f t="shared" si="6"/>
        <v>52</v>
      </c>
      <c r="B197" t="s">
        <v>316</v>
      </c>
      <c r="C197" s="2" t="s">
        <v>994</v>
      </c>
      <c r="D197" t="s">
        <v>1124</v>
      </c>
      <c r="E197">
        <v>29</v>
      </c>
      <c r="F197" t="s">
        <v>14</v>
      </c>
      <c r="G197" t="s">
        <v>30</v>
      </c>
      <c r="H197" t="s">
        <v>850</v>
      </c>
      <c r="I197" t="s">
        <v>319</v>
      </c>
      <c r="J197" t="s">
        <v>268</v>
      </c>
      <c r="K197">
        <v>650</v>
      </c>
      <c r="L197">
        <v>5</v>
      </c>
      <c r="M197">
        <v>4</v>
      </c>
      <c r="Q197" t="b">
        <f t="shared" si="7"/>
        <v>0</v>
      </c>
    </row>
    <row r="198" spans="1:17">
      <c r="A198">
        <f t="shared" si="6"/>
        <v>52</v>
      </c>
      <c r="B198" t="s">
        <v>316</v>
      </c>
      <c r="C198" s="2" t="s">
        <v>994</v>
      </c>
      <c r="D198" t="s">
        <v>1124</v>
      </c>
      <c r="E198">
        <v>29</v>
      </c>
      <c r="F198" t="s">
        <v>14</v>
      </c>
      <c r="G198" t="s">
        <v>30</v>
      </c>
      <c r="H198" t="s">
        <v>850</v>
      </c>
      <c r="I198" t="s">
        <v>320</v>
      </c>
      <c r="J198" t="s">
        <v>256</v>
      </c>
      <c r="K198">
        <v>30</v>
      </c>
      <c r="L198">
        <v>4</v>
      </c>
      <c r="M198">
        <v>3</v>
      </c>
      <c r="Q198" t="b">
        <f t="shared" si="7"/>
        <v>0</v>
      </c>
    </row>
    <row r="199" spans="1:17">
      <c r="A199">
        <f t="shared" si="6"/>
        <v>52</v>
      </c>
      <c r="B199" t="s">
        <v>316</v>
      </c>
      <c r="C199" s="2" t="s">
        <v>994</v>
      </c>
      <c r="D199" t="s">
        <v>1124</v>
      </c>
      <c r="E199">
        <v>29</v>
      </c>
      <c r="F199" t="s">
        <v>14</v>
      </c>
      <c r="G199" t="s">
        <v>30</v>
      </c>
      <c r="H199" t="s">
        <v>850</v>
      </c>
      <c r="I199" t="s">
        <v>317</v>
      </c>
      <c r="J199" t="s">
        <v>263</v>
      </c>
      <c r="K199">
        <v>1</v>
      </c>
      <c r="L199">
        <v>6</v>
      </c>
      <c r="M199">
        <v>3</v>
      </c>
      <c r="Q199" t="b">
        <f t="shared" si="7"/>
        <v>0</v>
      </c>
    </row>
    <row r="200" spans="1:17">
      <c r="A200">
        <f t="shared" si="6"/>
        <v>53</v>
      </c>
      <c r="B200" t="s">
        <v>321</v>
      </c>
      <c r="C200" s="2" t="s">
        <v>995</v>
      </c>
      <c r="D200" t="s">
        <v>1125</v>
      </c>
      <c r="E200">
        <v>23</v>
      </c>
      <c r="F200" t="s">
        <v>14</v>
      </c>
      <c r="G200" t="s">
        <v>15</v>
      </c>
      <c r="H200" t="s">
        <v>850</v>
      </c>
      <c r="I200" t="s">
        <v>323</v>
      </c>
      <c r="J200" t="s">
        <v>245</v>
      </c>
      <c r="K200">
        <v>800</v>
      </c>
      <c r="L200" t="s">
        <v>278</v>
      </c>
      <c r="M200" t="s">
        <v>278</v>
      </c>
      <c r="Q200" t="b">
        <f t="shared" si="7"/>
        <v>1</v>
      </c>
    </row>
    <row r="201" spans="1:17">
      <c r="A201">
        <f t="shared" si="6"/>
        <v>53</v>
      </c>
      <c r="B201" t="s">
        <v>321</v>
      </c>
      <c r="C201" s="2" t="s">
        <v>995</v>
      </c>
      <c r="D201" t="s">
        <v>1125</v>
      </c>
      <c r="E201">
        <v>23</v>
      </c>
      <c r="F201" t="s">
        <v>14</v>
      </c>
      <c r="G201" t="s">
        <v>15</v>
      </c>
      <c r="H201" t="s">
        <v>850</v>
      </c>
      <c r="I201" t="s">
        <v>324</v>
      </c>
      <c r="J201" t="s">
        <v>245</v>
      </c>
      <c r="K201">
        <v>800</v>
      </c>
      <c r="L201">
        <v>3</v>
      </c>
      <c r="M201">
        <v>0</v>
      </c>
      <c r="Q201" t="b">
        <f t="shared" si="7"/>
        <v>1</v>
      </c>
    </row>
    <row r="202" spans="1:17">
      <c r="A202">
        <f t="shared" si="6"/>
        <v>53</v>
      </c>
      <c r="B202" t="s">
        <v>321</v>
      </c>
      <c r="C202" s="2" t="s">
        <v>995</v>
      </c>
      <c r="D202" t="s">
        <v>1125</v>
      </c>
      <c r="E202">
        <v>23</v>
      </c>
      <c r="F202" t="s">
        <v>14</v>
      </c>
      <c r="G202" t="s">
        <v>15</v>
      </c>
      <c r="H202" t="s">
        <v>850</v>
      </c>
      <c r="I202" t="s">
        <v>322</v>
      </c>
      <c r="J202" t="s">
        <v>245</v>
      </c>
      <c r="K202">
        <v>800</v>
      </c>
      <c r="L202">
        <v>4</v>
      </c>
      <c r="M202">
        <v>2</v>
      </c>
      <c r="Q202" t="b">
        <f t="shared" si="7"/>
        <v>1</v>
      </c>
    </row>
    <row r="203" spans="1:17">
      <c r="A203">
        <f t="shared" si="6"/>
        <v>54</v>
      </c>
      <c r="B203" t="s">
        <v>325</v>
      </c>
      <c r="C203" s="2" t="s">
        <v>996</v>
      </c>
      <c r="D203" t="s">
        <v>1126</v>
      </c>
      <c r="E203">
        <v>29</v>
      </c>
      <c r="F203" t="s">
        <v>244</v>
      </c>
      <c r="G203" t="s">
        <v>15</v>
      </c>
      <c r="H203" t="s">
        <v>850</v>
      </c>
      <c r="I203" t="s">
        <v>327</v>
      </c>
      <c r="J203" t="s">
        <v>245</v>
      </c>
      <c r="K203">
        <v>800</v>
      </c>
      <c r="L203">
        <v>2</v>
      </c>
      <c r="M203">
        <v>1</v>
      </c>
      <c r="Q203" t="b">
        <f t="shared" si="7"/>
        <v>0</v>
      </c>
    </row>
    <row r="204" spans="1:17">
      <c r="A204">
        <f t="shared" si="6"/>
        <v>54</v>
      </c>
      <c r="B204" t="s">
        <v>325</v>
      </c>
      <c r="C204" s="2" t="s">
        <v>996</v>
      </c>
      <c r="D204" t="s">
        <v>1126</v>
      </c>
      <c r="E204">
        <v>29</v>
      </c>
      <c r="F204" t="s">
        <v>244</v>
      </c>
      <c r="G204" t="s">
        <v>15</v>
      </c>
      <c r="H204" t="s">
        <v>850</v>
      </c>
      <c r="I204" t="s">
        <v>326</v>
      </c>
      <c r="J204" t="s">
        <v>245</v>
      </c>
      <c r="K204">
        <v>800</v>
      </c>
      <c r="L204">
        <v>2</v>
      </c>
      <c r="M204">
        <v>0</v>
      </c>
      <c r="Q204" t="b">
        <f t="shared" si="7"/>
        <v>0</v>
      </c>
    </row>
    <row r="205" spans="1:17">
      <c r="A205">
        <f t="shared" si="6"/>
        <v>55</v>
      </c>
      <c r="B205" t="s">
        <v>328</v>
      </c>
      <c r="C205" s="2" t="s">
        <v>997</v>
      </c>
      <c r="D205" t="s">
        <v>1127</v>
      </c>
      <c r="E205">
        <v>19</v>
      </c>
      <c r="F205" t="s">
        <v>244</v>
      </c>
      <c r="G205" t="s">
        <v>15</v>
      </c>
      <c r="H205" t="s">
        <v>850</v>
      </c>
      <c r="I205" t="s">
        <v>330</v>
      </c>
      <c r="J205" t="s">
        <v>245</v>
      </c>
      <c r="K205">
        <v>800</v>
      </c>
      <c r="L205">
        <v>6</v>
      </c>
      <c r="M205">
        <v>0</v>
      </c>
      <c r="N205">
        <v>3</v>
      </c>
      <c r="Q205" t="b">
        <f t="shared" si="7"/>
        <v>1</v>
      </c>
    </row>
    <row r="206" spans="1:17">
      <c r="A206">
        <f t="shared" si="6"/>
        <v>55</v>
      </c>
      <c r="B206" t="s">
        <v>328</v>
      </c>
      <c r="C206" s="2" t="s">
        <v>997</v>
      </c>
      <c r="D206" t="s">
        <v>1127</v>
      </c>
      <c r="E206">
        <v>19</v>
      </c>
      <c r="F206" t="s">
        <v>244</v>
      </c>
      <c r="G206" t="s">
        <v>15</v>
      </c>
      <c r="H206" t="s">
        <v>850</v>
      </c>
      <c r="I206" t="s">
        <v>331</v>
      </c>
      <c r="J206" t="s">
        <v>245</v>
      </c>
      <c r="K206">
        <v>800</v>
      </c>
      <c r="L206">
        <v>0</v>
      </c>
      <c r="M206">
        <v>0</v>
      </c>
      <c r="N206">
        <v>3</v>
      </c>
      <c r="Q206" t="b">
        <f t="shared" si="7"/>
        <v>1</v>
      </c>
    </row>
    <row r="207" spans="1:17">
      <c r="A207">
        <f t="shared" si="6"/>
        <v>55</v>
      </c>
      <c r="B207" t="s">
        <v>328</v>
      </c>
      <c r="C207" s="2" t="s">
        <v>997</v>
      </c>
      <c r="D207" t="s">
        <v>1127</v>
      </c>
      <c r="E207">
        <v>19</v>
      </c>
      <c r="F207" t="s">
        <v>244</v>
      </c>
      <c r="G207" t="s">
        <v>15</v>
      </c>
      <c r="H207" t="s">
        <v>850</v>
      </c>
      <c r="I207" t="s">
        <v>329</v>
      </c>
      <c r="J207" t="s">
        <v>245</v>
      </c>
      <c r="K207">
        <v>800</v>
      </c>
      <c r="L207">
        <v>0</v>
      </c>
      <c r="M207">
        <v>0</v>
      </c>
      <c r="N207">
        <v>3</v>
      </c>
      <c r="Q207" t="b">
        <f t="shared" si="7"/>
        <v>1</v>
      </c>
    </row>
    <row r="208" spans="1:17">
      <c r="A208">
        <f t="shared" si="6"/>
        <v>56</v>
      </c>
      <c r="B208" t="s">
        <v>332</v>
      </c>
      <c r="C208" s="2" t="s">
        <v>998</v>
      </c>
      <c r="D208" t="s">
        <v>1128</v>
      </c>
      <c r="E208">
        <v>24</v>
      </c>
      <c r="F208" t="s">
        <v>14</v>
      </c>
      <c r="G208" t="s">
        <v>15</v>
      </c>
      <c r="H208" t="s">
        <v>850</v>
      </c>
      <c r="I208" t="s">
        <v>334</v>
      </c>
      <c r="J208" t="s">
        <v>268</v>
      </c>
      <c r="K208">
        <v>650</v>
      </c>
      <c r="L208">
        <v>0</v>
      </c>
      <c r="M208">
        <v>0</v>
      </c>
      <c r="N208">
        <v>4</v>
      </c>
      <c r="Q208" t="b">
        <f t="shared" si="7"/>
        <v>0</v>
      </c>
    </row>
    <row r="209" spans="1:17">
      <c r="A209">
        <f t="shared" si="6"/>
        <v>56</v>
      </c>
      <c r="B209" t="s">
        <v>332</v>
      </c>
      <c r="C209" s="2" t="s">
        <v>998</v>
      </c>
      <c r="D209" t="s">
        <v>1128</v>
      </c>
      <c r="E209">
        <v>24</v>
      </c>
      <c r="F209" t="s">
        <v>14</v>
      </c>
      <c r="G209" t="s">
        <v>15</v>
      </c>
      <c r="H209" t="s">
        <v>850</v>
      </c>
      <c r="I209" t="s">
        <v>335</v>
      </c>
      <c r="J209" t="s">
        <v>268</v>
      </c>
      <c r="K209">
        <v>650</v>
      </c>
      <c r="L209" t="s">
        <v>278</v>
      </c>
      <c r="M209" t="s">
        <v>278</v>
      </c>
      <c r="N209">
        <v>4</v>
      </c>
      <c r="Q209" t="b">
        <f t="shared" si="7"/>
        <v>0</v>
      </c>
    </row>
    <row r="210" spans="1:17">
      <c r="A210">
        <f t="shared" si="6"/>
        <v>56</v>
      </c>
      <c r="B210" t="s">
        <v>332</v>
      </c>
      <c r="C210" s="2" t="s">
        <v>998</v>
      </c>
      <c r="D210" t="s">
        <v>1128</v>
      </c>
      <c r="E210">
        <v>24</v>
      </c>
      <c r="F210" t="s">
        <v>14</v>
      </c>
      <c r="G210" t="s">
        <v>15</v>
      </c>
      <c r="H210" t="s">
        <v>850</v>
      </c>
      <c r="I210" t="s">
        <v>336</v>
      </c>
      <c r="J210" t="s">
        <v>268</v>
      </c>
      <c r="K210">
        <v>650</v>
      </c>
      <c r="L210" t="s">
        <v>278</v>
      </c>
      <c r="M210" t="s">
        <v>278</v>
      </c>
      <c r="N210">
        <v>4</v>
      </c>
      <c r="Q210" t="b">
        <f t="shared" si="7"/>
        <v>0</v>
      </c>
    </row>
    <row r="211" spans="1:17">
      <c r="A211">
        <f t="shared" si="6"/>
        <v>56</v>
      </c>
      <c r="B211" t="s">
        <v>332</v>
      </c>
      <c r="C211" s="2" t="s">
        <v>998</v>
      </c>
      <c r="D211" t="s">
        <v>1128</v>
      </c>
      <c r="E211">
        <v>24</v>
      </c>
      <c r="F211" t="s">
        <v>14</v>
      </c>
      <c r="G211" t="s">
        <v>15</v>
      </c>
      <c r="H211" t="s">
        <v>850</v>
      </c>
      <c r="I211" t="s">
        <v>333</v>
      </c>
      <c r="J211" t="s">
        <v>268</v>
      </c>
      <c r="K211">
        <v>650</v>
      </c>
      <c r="L211" t="s">
        <v>278</v>
      </c>
      <c r="M211" t="s">
        <v>278</v>
      </c>
      <c r="N211">
        <v>4</v>
      </c>
      <c r="Q211" t="b">
        <f t="shared" si="7"/>
        <v>0</v>
      </c>
    </row>
    <row r="212" spans="1:17">
      <c r="A212">
        <f t="shared" si="6"/>
        <v>56</v>
      </c>
      <c r="B212" t="s">
        <v>332</v>
      </c>
      <c r="C212" s="2" t="s">
        <v>998</v>
      </c>
      <c r="D212" t="s">
        <v>1128</v>
      </c>
      <c r="E212">
        <v>24</v>
      </c>
      <c r="F212" t="s">
        <v>14</v>
      </c>
      <c r="G212" t="s">
        <v>15</v>
      </c>
      <c r="H212" t="s">
        <v>850</v>
      </c>
      <c r="I212" t="s">
        <v>333</v>
      </c>
      <c r="J212" t="s">
        <v>245</v>
      </c>
      <c r="K212">
        <v>800</v>
      </c>
      <c r="L212" t="s">
        <v>278</v>
      </c>
      <c r="M212" t="s">
        <v>278</v>
      </c>
      <c r="N212">
        <v>1</v>
      </c>
      <c r="Q212" t="b">
        <f t="shared" si="7"/>
        <v>0</v>
      </c>
    </row>
    <row r="213" spans="1:17">
      <c r="A213">
        <f t="shared" si="6"/>
        <v>57</v>
      </c>
      <c r="B213" t="s">
        <v>337</v>
      </c>
      <c r="C213" s="2" t="s">
        <v>999</v>
      </c>
      <c r="D213" t="s">
        <v>1129</v>
      </c>
      <c r="E213">
        <v>21</v>
      </c>
      <c r="F213" t="s">
        <v>244</v>
      </c>
      <c r="G213" t="s">
        <v>30</v>
      </c>
      <c r="H213" t="s">
        <v>850</v>
      </c>
      <c r="I213" t="s">
        <v>339</v>
      </c>
      <c r="J213" t="s">
        <v>256</v>
      </c>
      <c r="K213">
        <v>30</v>
      </c>
      <c r="L213">
        <v>6</v>
      </c>
      <c r="M213">
        <v>1</v>
      </c>
      <c r="Q213" t="b">
        <f t="shared" si="7"/>
        <v>1</v>
      </c>
    </row>
    <row r="214" spans="1:17">
      <c r="A214">
        <f t="shared" si="6"/>
        <v>57</v>
      </c>
      <c r="B214" t="s">
        <v>337</v>
      </c>
      <c r="C214" s="2" t="s">
        <v>999</v>
      </c>
      <c r="D214" t="s">
        <v>1129</v>
      </c>
      <c r="E214">
        <v>21</v>
      </c>
      <c r="F214" t="s">
        <v>244</v>
      </c>
      <c r="G214" t="s">
        <v>30</v>
      </c>
      <c r="H214" t="s">
        <v>850</v>
      </c>
      <c r="I214" t="s">
        <v>340</v>
      </c>
      <c r="J214" t="s">
        <v>256</v>
      </c>
      <c r="K214">
        <v>30</v>
      </c>
      <c r="L214">
        <v>0</v>
      </c>
      <c r="M214">
        <v>0</v>
      </c>
      <c r="Q214" t="b">
        <f t="shared" si="7"/>
        <v>1</v>
      </c>
    </row>
    <row r="215" spans="1:17">
      <c r="A215">
        <f t="shared" si="6"/>
        <v>57</v>
      </c>
      <c r="B215" t="s">
        <v>337</v>
      </c>
      <c r="C215" s="2" t="s">
        <v>999</v>
      </c>
      <c r="D215" t="s">
        <v>1129</v>
      </c>
      <c r="E215">
        <v>21</v>
      </c>
      <c r="F215" t="s">
        <v>244</v>
      </c>
      <c r="G215" t="s">
        <v>30</v>
      </c>
      <c r="H215" t="s">
        <v>850</v>
      </c>
      <c r="I215" t="s">
        <v>341</v>
      </c>
      <c r="J215" t="s">
        <v>256</v>
      </c>
      <c r="K215">
        <v>30</v>
      </c>
      <c r="L215">
        <v>0</v>
      </c>
      <c r="M215">
        <v>0</v>
      </c>
      <c r="Q215" t="b">
        <f t="shared" si="7"/>
        <v>1</v>
      </c>
    </row>
    <row r="216" spans="1:17">
      <c r="A216">
        <f t="shared" si="6"/>
        <v>57</v>
      </c>
      <c r="B216" t="s">
        <v>337</v>
      </c>
      <c r="C216" s="2" t="s">
        <v>999</v>
      </c>
      <c r="D216" t="s">
        <v>1129</v>
      </c>
      <c r="E216">
        <v>21</v>
      </c>
      <c r="F216" t="s">
        <v>244</v>
      </c>
      <c r="G216" t="s">
        <v>30</v>
      </c>
      <c r="H216" t="s">
        <v>850</v>
      </c>
      <c r="I216" t="s">
        <v>342</v>
      </c>
      <c r="J216" t="s">
        <v>256</v>
      </c>
      <c r="K216">
        <v>30</v>
      </c>
      <c r="L216">
        <v>2</v>
      </c>
      <c r="M216">
        <v>0</v>
      </c>
      <c r="Q216" t="b">
        <f t="shared" si="7"/>
        <v>1</v>
      </c>
    </row>
    <row r="217" spans="1:17">
      <c r="A217">
        <f t="shared" si="6"/>
        <v>57</v>
      </c>
      <c r="B217" t="s">
        <v>337</v>
      </c>
      <c r="C217" s="2" t="s">
        <v>999</v>
      </c>
      <c r="D217" t="s">
        <v>1129</v>
      </c>
      <c r="E217">
        <v>21</v>
      </c>
      <c r="F217" t="s">
        <v>244</v>
      </c>
      <c r="G217" t="s">
        <v>30</v>
      </c>
      <c r="H217" t="s">
        <v>850</v>
      </c>
      <c r="I217" t="s">
        <v>338</v>
      </c>
      <c r="J217" t="s">
        <v>245</v>
      </c>
      <c r="K217">
        <v>800</v>
      </c>
      <c r="L217">
        <v>10</v>
      </c>
      <c r="M217">
        <v>0</v>
      </c>
      <c r="Q217" t="b">
        <f t="shared" si="7"/>
        <v>1</v>
      </c>
    </row>
    <row r="218" spans="1:17">
      <c r="A218">
        <f t="shared" si="6"/>
        <v>57</v>
      </c>
      <c r="B218" t="s">
        <v>337</v>
      </c>
      <c r="C218" s="2" t="s">
        <v>999</v>
      </c>
      <c r="D218" t="s">
        <v>1129</v>
      </c>
      <c r="E218">
        <v>21</v>
      </c>
      <c r="F218" t="s">
        <v>244</v>
      </c>
      <c r="G218" t="s">
        <v>30</v>
      </c>
      <c r="H218" t="s">
        <v>850</v>
      </c>
      <c r="I218" t="s">
        <v>338</v>
      </c>
      <c r="J218" t="s">
        <v>263</v>
      </c>
      <c r="K218">
        <v>1</v>
      </c>
      <c r="L218">
        <v>10</v>
      </c>
      <c r="M218">
        <v>0</v>
      </c>
      <c r="Q218" t="b">
        <f t="shared" si="7"/>
        <v>1</v>
      </c>
    </row>
    <row r="219" spans="1:17">
      <c r="A219">
        <f t="shared" si="6"/>
        <v>58</v>
      </c>
      <c r="B219" t="s">
        <v>343</v>
      </c>
      <c r="C219" s="2" t="s">
        <v>1000</v>
      </c>
      <c r="D219" t="s">
        <v>1130</v>
      </c>
      <c r="E219">
        <v>35</v>
      </c>
      <c r="F219" t="s">
        <v>14</v>
      </c>
      <c r="G219" t="s">
        <v>30</v>
      </c>
      <c r="H219" t="s">
        <v>850</v>
      </c>
      <c r="I219" t="s">
        <v>345</v>
      </c>
      <c r="J219" t="s">
        <v>256</v>
      </c>
      <c r="K219">
        <v>30</v>
      </c>
      <c r="L219" t="s">
        <v>278</v>
      </c>
      <c r="M219" t="s">
        <v>278</v>
      </c>
      <c r="N219">
        <v>4</v>
      </c>
      <c r="Q219" t="b">
        <f t="shared" si="7"/>
        <v>0</v>
      </c>
    </row>
    <row r="220" spans="1:17">
      <c r="A220">
        <f t="shared" si="6"/>
        <v>58</v>
      </c>
      <c r="B220" t="s">
        <v>343</v>
      </c>
      <c r="C220" s="2" t="s">
        <v>1000</v>
      </c>
      <c r="D220" t="s">
        <v>1130</v>
      </c>
      <c r="E220">
        <v>35</v>
      </c>
      <c r="F220" t="s">
        <v>14</v>
      </c>
      <c r="G220" t="s">
        <v>30</v>
      </c>
      <c r="H220" t="s">
        <v>850</v>
      </c>
      <c r="I220" t="s">
        <v>346</v>
      </c>
      <c r="J220" t="s">
        <v>350</v>
      </c>
      <c r="K220">
        <v>2</v>
      </c>
      <c r="L220" t="s">
        <v>278</v>
      </c>
      <c r="M220" t="s">
        <v>278</v>
      </c>
      <c r="N220">
        <v>1</v>
      </c>
      <c r="Q220" t="b">
        <f t="shared" si="7"/>
        <v>0</v>
      </c>
    </row>
    <row r="221" spans="1:17">
      <c r="A221">
        <f t="shared" si="6"/>
        <v>58</v>
      </c>
      <c r="B221" t="s">
        <v>343</v>
      </c>
      <c r="C221" s="2" t="s">
        <v>1000</v>
      </c>
      <c r="D221" t="s">
        <v>1130</v>
      </c>
      <c r="E221">
        <v>35</v>
      </c>
      <c r="F221" t="s">
        <v>14</v>
      </c>
      <c r="G221" t="s">
        <v>30</v>
      </c>
      <c r="H221" t="s">
        <v>850</v>
      </c>
      <c r="I221" t="s">
        <v>347</v>
      </c>
      <c r="J221" t="s">
        <v>256</v>
      </c>
      <c r="K221">
        <v>30</v>
      </c>
      <c r="L221" t="s">
        <v>278</v>
      </c>
      <c r="M221" t="s">
        <v>278</v>
      </c>
      <c r="N221">
        <v>4</v>
      </c>
      <c r="Q221" t="b">
        <f t="shared" si="7"/>
        <v>0</v>
      </c>
    </row>
    <row r="222" spans="1:17">
      <c r="A222">
        <f t="shared" si="6"/>
        <v>58</v>
      </c>
      <c r="B222" t="s">
        <v>343</v>
      </c>
      <c r="C222" s="2" t="s">
        <v>1000</v>
      </c>
      <c r="D222" t="s">
        <v>1130</v>
      </c>
      <c r="E222">
        <v>35</v>
      </c>
      <c r="F222" t="s">
        <v>14</v>
      </c>
      <c r="G222" t="s">
        <v>30</v>
      </c>
      <c r="H222" t="s">
        <v>850</v>
      </c>
      <c r="I222" t="s">
        <v>348</v>
      </c>
      <c r="J222" t="s">
        <v>256</v>
      </c>
      <c r="K222">
        <v>30</v>
      </c>
      <c r="L222" t="s">
        <v>278</v>
      </c>
      <c r="M222" t="s">
        <v>278</v>
      </c>
      <c r="N222">
        <v>4</v>
      </c>
      <c r="Q222" t="b">
        <f t="shared" si="7"/>
        <v>0</v>
      </c>
    </row>
    <row r="223" spans="1:17">
      <c r="A223">
        <f t="shared" si="6"/>
        <v>58</v>
      </c>
      <c r="B223" t="s">
        <v>343</v>
      </c>
      <c r="C223" s="2" t="s">
        <v>1000</v>
      </c>
      <c r="D223" t="s">
        <v>1130</v>
      </c>
      <c r="E223">
        <v>35</v>
      </c>
      <c r="F223" t="s">
        <v>14</v>
      </c>
      <c r="G223" t="s">
        <v>30</v>
      </c>
      <c r="H223" t="s">
        <v>850</v>
      </c>
      <c r="I223" t="s">
        <v>349</v>
      </c>
      <c r="J223" t="s">
        <v>256</v>
      </c>
      <c r="K223">
        <v>30</v>
      </c>
      <c r="L223" t="s">
        <v>278</v>
      </c>
      <c r="M223" t="s">
        <v>278</v>
      </c>
      <c r="N223">
        <v>4</v>
      </c>
      <c r="Q223" t="b">
        <f t="shared" si="7"/>
        <v>0</v>
      </c>
    </row>
    <row r="224" spans="1:17">
      <c r="A224">
        <f t="shared" si="6"/>
        <v>58</v>
      </c>
      <c r="B224" t="s">
        <v>343</v>
      </c>
      <c r="C224" s="2" t="s">
        <v>1000</v>
      </c>
      <c r="D224" t="s">
        <v>1130</v>
      </c>
      <c r="E224">
        <v>35</v>
      </c>
      <c r="F224" t="s">
        <v>14</v>
      </c>
      <c r="G224" t="s">
        <v>30</v>
      </c>
      <c r="H224" t="s">
        <v>850</v>
      </c>
      <c r="I224" t="s">
        <v>344</v>
      </c>
      <c r="J224" t="s">
        <v>263</v>
      </c>
      <c r="K224">
        <v>1</v>
      </c>
      <c r="L224" t="s">
        <v>278</v>
      </c>
      <c r="M224" t="s">
        <v>278</v>
      </c>
      <c r="N224">
        <v>1</v>
      </c>
      <c r="Q224" t="b">
        <f t="shared" si="7"/>
        <v>0</v>
      </c>
    </row>
    <row r="225" spans="1:17">
      <c r="A225">
        <f t="shared" si="6"/>
        <v>59</v>
      </c>
      <c r="B225" t="s">
        <v>351</v>
      </c>
      <c r="C225" s="2" t="s">
        <v>1001</v>
      </c>
      <c r="D225" s="2">
        <v>43276</v>
      </c>
      <c r="E225">
        <v>19</v>
      </c>
      <c r="F225" t="s">
        <v>244</v>
      </c>
      <c r="G225" t="s">
        <v>15</v>
      </c>
      <c r="H225" t="s">
        <v>850</v>
      </c>
      <c r="I225" t="s">
        <v>352</v>
      </c>
      <c r="J225" t="s">
        <v>245</v>
      </c>
      <c r="K225">
        <v>800</v>
      </c>
      <c r="L225" t="s">
        <v>278</v>
      </c>
      <c r="M225" t="s">
        <v>278</v>
      </c>
      <c r="Q225" t="b">
        <f t="shared" si="7"/>
        <v>1</v>
      </c>
    </row>
    <row r="226" spans="1:17">
      <c r="A226">
        <f t="shared" si="6"/>
        <v>59</v>
      </c>
      <c r="B226" t="s">
        <v>351</v>
      </c>
      <c r="C226" s="2" t="s">
        <v>1001</v>
      </c>
      <c r="D226" s="2">
        <v>43276</v>
      </c>
      <c r="E226">
        <v>19</v>
      </c>
      <c r="F226" t="s">
        <v>244</v>
      </c>
      <c r="G226" t="s">
        <v>15</v>
      </c>
      <c r="H226" t="s">
        <v>850</v>
      </c>
      <c r="I226" t="s">
        <v>353</v>
      </c>
      <c r="J226" t="s">
        <v>245</v>
      </c>
      <c r="K226">
        <v>800</v>
      </c>
      <c r="L226" t="s">
        <v>278</v>
      </c>
      <c r="M226" t="s">
        <v>278</v>
      </c>
      <c r="Q226" t="b">
        <f t="shared" si="7"/>
        <v>1</v>
      </c>
    </row>
    <row r="227" spans="1:17">
      <c r="A227">
        <f t="shared" si="6"/>
        <v>60</v>
      </c>
      <c r="B227" t="s">
        <v>354</v>
      </c>
      <c r="C227" s="2" t="s">
        <v>1002</v>
      </c>
      <c r="D227" t="s">
        <v>1131</v>
      </c>
      <c r="E227">
        <v>24</v>
      </c>
      <c r="F227" t="s">
        <v>244</v>
      </c>
      <c r="G227" t="s">
        <v>15</v>
      </c>
      <c r="H227" t="s">
        <v>850</v>
      </c>
      <c r="I227" t="s">
        <v>355</v>
      </c>
      <c r="J227" t="s">
        <v>245</v>
      </c>
      <c r="K227">
        <v>800</v>
      </c>
      <c r="L227">
        <v>1</v>
      </c>
      <c r="M227">
        <v>0</v>
      </c>
      <c r="Q227" t="b">
        <f t="shared" si="7"/>
        <v>0</v>
      </c>
    </row>
    <row r="228" spans="1:17">
      <c r="A228">
        <f t="shared" si="6"/>
        <v>60</v>
      </c>
      <c r="B228" t="s">
        <v>354</v>
      </c>
      <c r="C228" s="2" t="s">
        <v>1002</v>
      </c>
      <c r="D228" t="s">
        <v>1131</v>
      </c>
      <c r="E228">
        <v>24</v>
      </c>
      <c r="F228" t="s">
        <v>244</v>
      </c>
      <c r="G228" t="s">
        <v>15</v>
      </c>
      <c r="H228" t="s">
        <v>850</v>
      </c>
      <c r="I228" t="s">
        <v>356</v>
      </c>
      <c r="J228" t="s">
        <v>245</v>
      </c>
      <c r="K228">
        <v>800</v>
      </c>
      <c r="L228">
        <v>0</v>
      </c>
      <c r="M228">
        <v>0</v>
      </c>
      <c r="Q228" t="b">
        <f t="shared" si="7"/>
        <v>0</v>
      </c>
    </row>
    <row r="229" spans="1:17">
      <c r="A229">
        <f t="shared" si="6"/>
        <v>61</v>
      </c>
      <c r="B229" t="s">
        <v>358</v>
      </c>
      <c r="C229" t="s">
        <v>138</v>
      </c>
      <c r="D229" s="2" t="s">
        <v>139</v>
      </c>
      <c r="E229">
        <v>31</v>
      </c>
      <c r="F229" t="s">
        <v>14</v>
      </c>
      <c r="G229" t="s">
        <v>30</v>
      </c>
      <c r="H229" t="s">
        <v>850</v>
      </c>
      <c r="I229" t="s">
        <v>266</v>
      </c>
      <c r="J229" t="s">
        <v>256</v>
      </c>
      <c r="K229">
        <v>30</v>
      </c>
      <c r="L229">
        <v>7</v>
      </c>
      <c r="M229">
        <v>4</v>
      </c>
      <c r="Q229" t="b">
        <f t="shared" si="7"/>
        <v>1</v>
      </c>
    </row>
    <row r="230" spans="1:17">
      <c r="A230">
        <f t="shared" si="6"/>
        <v>61</v>
      </c>
      <c r="B230" t="s">
        <v>358</v>
      </c>
      <c r="C230" t="s">
        <v>138</v>
      </c>
      <c r="D230" s="2" t="s">
        <v>139</v>
      </c>
      <c r="E230">
        <v>31</v>
      </c>
      <c r="F230" t="s">
        <v>14</v>
      </c>
      <c r="G230" t="s">
        <v>30</v>
      </c>
      <c r="H230" t="s">
        <v>850</v>
      </c>
      <c r="I230" t="s">
        <v>366</v>
      </c>
      <c r="J230" t="s">
        <v>256</v>
      </c>
      <c r="K230">
        <v>30</v>
      </c>
      <c r="L230">
        <v>2</v>
      </c>
      <c r="M230">
        <v>0</v>
      </c>
      <c r="Q230" t="b">
        <f t="shared" si="7"/>
        <v>1</v>
      </c>
    </row>
    <row r="231" spans="1:17">
      <c r="A231">
        <f t="shared" si="6"/>
        <v>61</v>
      </c>
      <c r="B231" t="s">
        <v>358</v>
      </c>
      <c r="C231" t="s">
        <v>138</v>
      </c>
      <c r="D231" s="2" t="s">
        <v>139</v>
      </c>
      <c r="E231">
        <v>31</v>
      </c>
      <c r="F231" t="s">
        <v>14</v>
      </c>
      <c r="G231" t="s">
        <v>30</v>
      </c>
      <c r="H231" t="s">
        <v>850</v>
      </c>
      <c r="I231" t="s">
        <v>367</v>
      </c>
      <c r="J231" t="s">
        <v>256</v>
      </c>
      <c r="K231">
        <v>30</v>
      </c>
      <c r="L231">
        <v>3</v>
      </c>
      <c r="M231">
        <v>0</v>
      </c>
      <c r="Q231" t="b">
        <f t="shared" si="7"/>
        <v>1</v>
      </c>
    </row>
    <row r="232" spans="1:17">
      <c r="A232">
        <f t="shared" si="6"/>
        <v>61</v>
      </c>
      <c r="B232" t="s">
        <v>358</v>
      </c>
      <c r="C232" t="s">
        <v>138</v>
      </c>
      <c r="D232" s="2" t="s">
        <v>139</v>
      </c>
      <c r="E232">
        <v>31</v>
      </c>
      <c r="F232" t="s">
        <v>14</v>
      </c>
      <c r="G232" t="s">
        <v>30</v>
      </c>
      <c r="H232" t="s">
        <v>850</v>
      </c>
      <c r="I232" t="s">
        <v>359</v>
      </c>
      <c r="J232" t="s">
        <v>256</v>
      </c>
      <c r="K232">
        <v>30</v>
      </c>
      <c r="L232">
        <v>5</v>
      </c>
      <c r="M232">
        <v>3</v>
      </c>
      <c r="Q232" t="b">
        <f t="shared" si="7"/>
        <v>1</v>
      </c>
    </row>
    <row r="233" spans="1:17">
      <c r="A233">
        <f t="shared" si="6"/>
        <v>62</v>
      </c>
      <c r="B233" t="s">
        <v>368</v>
      </c>
      <c r="C233" t="s">
        <v>1003</v>
      </c>
      <c r="D233" t="s">
        <v>1132</v>
      </c>
      <c r="E233">
        <v>37</v>
      </c>
      <c r="F233" t="s">
        <v>14</v>
      </c>
      <c r="G233" t="s">
        <v>15</v>
      </c>
      <c r="H233" t="s">
        <v>850</v>
      </c>
      <c r="I233" t="s">
        <v>26</v>
      </c>
      <c r="J233" t="s">
        <v>26</v>
      </c>
      <c r="K233" t="s">
        <v>26</v>
      </c>
      <c r="L233" t="s">
        <v>26</v>
      </c>
      <c r="M233" t="s">
        <v>26</v>
      </c>
      <c r="Q233" t="b">
        <f t="shared" si="7"/>
        <v>0</v>
      </c>
    </row>
    <row r="234" spans="1:17">
      <c r="A234">
        <f t="shared" si="6"/>
        <v>63</v>
      </c>
      <c r="B234" t="s">
        <v>369</v>
      </c>
      <c r="C234" t="s">
        <v>1004</v>
      </c>
      <c r="D234" t="s">
        <v>1133</v>
      </c>
      <c r="E234">
        <v>30</v>
      </c>
      <c r="F234" t="s">
        <v>14</v>
      </c>
      <c r="G234" t="s">
        <v>15</v>
      </c>
      <c r="H234" t="s">
        <v>850</v>
      </c>
      <c r="I234" t="s">
        <v>371</v>
      </c>
      <c r="J234" t="s">
        <v>245</v>
      </c>
      <c r="K234">
        <v>800</v>
      </c>
      <c r="L234">
        <v>1</v>
      </c>
      <c r="M234">
        <v>2</v>
      </c>
      <c r="Q234" t="b">
        <f t="shared" si="7"/>
        <v>1</v>
      </c>
    </row>
    <row r="235" spans="1:17">
      <c r="A235">
        <f t="shared" si="6"/>
        <v>63</v>
      </c>
      <c r="B235" t="s">
        <v>369</v>
      </c>
      <c r="C235" t="s">
        <v>1004</v>
      </c>
      <c r="D235" t="s">
        <v>1133</v>
      </c>
      <c r="E235">
        <v>30</v>
      </c>
      <c r="F235" t="s">
        <v>14</v>
      </c>
      <c r="G235" t="s">
        <v>15</v>
      </c>
      <c r="H235" t="s">
        <v>850</v>
      </c>
      <c r="I235" t="s">
        <v>372</v>
      </c>
      <c r="J235" t="s">
        <v>245</v>
      </c>
      <c r="K235">
        <v>800</v>
      </c>
      <c r="L235">
        <v>4</v>
      </c>
      <c r="M235">
        <v>1</v>
      </c>
      <c r="Q235" t="b">
        <f t="shared" si="7"/>
        <v>1</v>
      </c>
    </row>
    <row r="236" spans="1:17">
      <c r="A236">
        <f t="shared" si="6"/>
        <v>63</v>
      </c>
      <c r="B236" t="s">
        <v>369</v>
      </c>
      <c r="C236" t="s">
        <v>1004</v>
      </c>
      <c r="D236" t="s">
        <v>1133</v>
      </c>
      <c r="E236">
        <v>30</v>
      </c>
      <c r="F236" t="s">
        <v>14</v>
      </c>
      <c r="G236" t="s">
        <v>15</v>
      </c>
      <c r="H236" t="s">
        <v>850</v>
      </c>
      <c r="I236" t="s">
        <v>370</v>
      </c>
      <c r="J236" t="s">
        <v>245</v>
      </c>
      <c r="K236">
        <v>800</v>
      </c>
      <c r="L236">
        <v>3</v>
      </c>
      <c r="M236">
        <v>2</v>
      </c>
      <c r="Q236" t="b">
        <f t="shared" si="7"/>
        <v>1</v>
      </c>
    </row>
    <row r="237" spans="1:17">
      <c r="A237">
        <f t="shared" si="6"/>
        <v>64</v>
      </c>
      <c r="B237" t="s">
        <v>373</v>
      </c>
      <c r="C237" t="s">
        <v>1005</v>
      </c>
      <c r="D237" t="s">
        <v>1134</v>
      </c>
      <c r="E237">
        <v>31</v>
      </c>
      <c r="F237" t="s">
        <v>118</v>
      </c>
      <c r="G237" t="s">
        <v>15</v>
      </c>
      <c r="H237" t="s">
        <v>850</v>
      </c>
      <c r="I237" t="s">
        <v>374</v>
      </c>
      <c r="J237" t="s">
        <v>245</v>
      </c>
      <c r="K237">
        <v>800</v>
      </c>
      <c r="L237">
        <v>5</v>
      </c>
      <c r="M237">
        <v>2</v>
      </c>
      <c r="Q237" t="b">
        <f t="shared" si="7"/>
        <v>0</v>
      </c>
    </row>
    <row r="238" spans="1:17">
      <c r="A238">
        <f t="shared" si="6"/>
        <v>64</v>
      </c>
      <c r="B238" t="s">
        <v>373</v>
      </c>
      <c r="C238" t="s">
        <v>1005</v>
      </c>
      <c r="D238" t="s">
        <v>1134</v>
      </c>
      <c r="E238">
        <v>31</v>
      </c>
      <c r="F238" t="s">
        <v>118</v>
      </c>
      <c r="G238" t="s">
        <v>15</v>
      </c>
      <c r="H238" t="s">
        <v>850</v>
      </c>
      <c r="I238" t="s">
        <v>375</v>
      </c>
      <c r="J238" t="s">
        <v>245</v>
      </c>
      <c r="K238">
        <v>800</v>
      </c>
      <c r="L238">
        <v>3</v>
      </c>
      <c r="M238">
        <v>0</v>
      </c>
      <c r="Q238" t="b">
        <f t="shared" si="7"/>
        <v>0</v>
      </c>
    </row>
    <row r="239" spans="1:17">
      <c r="A239">
        <f t="shared" si="6"/>
        <v>65</v>
      </c>
      <c r="B239" t="s">
        <v>376</v>
      </c>
      <c r="C239" t="s">
        <v>1006</v>
      </c>
      <c r="D239" t="s">
        <v>1135</v>
      </c>
      <c r="E239">
        <v>29</v>
      </c>
      <c r="F239" t="s">
        <v>244</v>
      </c>
      <c r="G239" t="s">
        <v>30</v>
      </c>
      <c r="H239" t="s">
        <v>850</v>
      </c>
      <c r="I239" t="s">
        <v>378</v>
      </c>
      <c r="J239" t="s">
        <v>256</v>
      </c>
      <c r="K239">
        <v>30</v>
      </c>
      <c r="L239">
        <v>1</v>
      </c>
      <c r="M239">
        <v>1</v>
      </c>
      <c r="Q239" t="b">
        <f t="shared" si="7"/>
        <v>1</v>
      </c>
    </row>
    <row r="240" spans="1:17">
      <c r="A240">
        <f t="shared" si="6"/>
        <v>65</v>
      </c>
      <c r="B240" t="s">
        <v>376</v>
      </c>
      <c r="C240" t="s">
        <v>1006</v>
      </c>
      <c r="D240" t="s">
        <v>1135</v>
      </c>
      <c r="E240">
        <v>29</v>
      </c>
      <c r="F240" t="s">
        <v>244</v>
      </c>
      <c r="G240" t="s">
        <v>30</v>
      </c>
      <c r="H240" t="s">
        <v>850</v>
      </c>
      <c r="I240" t="s">
        <v>377</v>
      </c>
      <c r="J240" t="s">
        <v>256</v>
      </c>
      <c r="K240">
        <v>30</v>
      </c>
      <c r="L240">
        <v>1</v>
      </c>
      <c r="M240">
        <v>0</v>
      </c>
      <c r="Q240" t="b">
        <f t="shared" si="7"/>
        <v>1</v>
      </c>
    </row>
    <row r="241" spans="1:17">
      <c r="A241">
        <f t="shared" si="6"/>
        <v>66</v>
      </c>
      <c r="B241" t="s">
        <v>379</v>
      </c>
      <c r="C241" t="s">
        <v>1007</v>
      </c>
      <c r="D241" t="s">
        <v>1136</v>
      </c>
      <c r="E241">
        <v>31</v>
      </c>
      <c r="F241" t="s">
        <v>14</v>
      </c>
      <c r="G241" t="s">
        <v>30</v>
      </c>
      <c r="H241" t="s">
        <v>850</v>
      </c>
      <c r="I241" t="s">
        <v>381</v>
      </c>
      <c r="J241" t="s">
        <v>256</v>
      </c>
      <c r="K241">
        <v>3</v>
      </c>
      <c r="L241">
        <v>0</v>
      </c>
      <c r="Q241" t="b">
        <f t="shared" si="7"/>
        <v>0</v>
      </c>
    </row>
    <row r="242" spans="1:17">
      <c r="A242">
        <f t="shared" si="6"/>
        <v>66</v>
      </c>
      <c r="B242" t="s">
        <v>379</v>
      </c>
      <c r="C242" t="s">
        <v>1007</v>
      </c>
      <c r="D242" t="s">
        <v>1136</v>
      </c>
      <c r="E242">
        <v>31</v>
      </c>
      <c r="F242" t="s">
        <v>14</v>
      </c>
      <c r="G242" t="s">
        <v>30</v>
      </c>
      <c r="H242" t="s">
        <v>850</v>
      </c>
      <c r="I242" t="s">
        <v>382</v>
      </c>
      <c r="J242" t="s">
        <v>256</v>
      </c>
      <c r="K242">
        <v>2</v>
      </c>
      <c r="L242">
        <v>0</v>
      </c>
      <c r="Q242" t="b">
        <f t="shared" si="7"/>
        <v>0</v>
      </c>
    </row>
    <row r="243" spans="1:17">
      <c r="A243">
        <f t="shared" si="6"/>
        <v>66</v>
      </c>
      <c r="B243" t="s">
        <v>379</v>
      </c>
      <c r="C243" t="s">
        <v>1007</v>
      </c>
      <c r="D243" t="s">
        <v>1136</v>
      </c>
      <c r="E243">
        <v>31</v>
      </c>
      <c r="F243" t="s">
        <v>14</v>
      </c>
      <c r="G243" t="s">
        <v>30</v>
      </c>
      <c r="H243" t="s">
        <v>850</v>
      </c>
      <c r="I243" t="s">
        <v>383</v>
      </c>
      <c r="J243" t="s">
        <v>256</v>
      </c>
      <c r="K243">
        <v>3</v>
      </c>
      <c r="L243">
        <v>0</v>
      </c>
      <c r="Q243" t="b">
        <f t="shared" si="7"/>
        <v>0</v>
      </c>
    </row>
    <row r="244" spans="1:17">
      <c r="A244">
        <f t="shared" si="6"/>
        <v>66</v>
      </c>
      <c r="B244" t="s">
        <v>379</v>
      </c>
      <c r="C244" t="s">
        <v>1007</v>
      </c>
      <c r="D244" t="s">
        <v>1136</v>
      </c>
      <c r="E244">
        <v>31</v>
      </c>
      <c r="F244" t="s">
        <v>14</v>
      </c>
      <c r="G244" t="s">
        <v>30</v>
      </c>
      <c r="H244" t="s">
        <v>850</v>
      </c>
      <c r="I244" t="s">
        <v>384</v>
      </c>
      <c r="J244" t="s">
        <v>385</v>
      </c>
      <c r="K244">
        <v>3</v>
      </c>
      <c r="L244">
        <v>3</v>
      </c>
      <c r="Q244" t="b">
        <f t="shared" si="7"/>
        <v>0</v>
      </c>
    </row>
    <row r="245" spans="1:17">
      <c r="A245">
        <f t="shared" si="6"/>
        <v>66</v>
      </c>
      <c r="B245" t="s">
        <v>379</v>
      </c>
      <c r="C245" t="s">
        <v>1007</v>
      </c>
      <c r="D245" t="s">
        <v>1136</v>
      </c>
      <c r="E245">
        <v>31</v>
      </c>
      <c r="F245" t="s">
        <v>14</v>
      </c>
      <c r="G245" t="s">
        <v>30</v>
      </c>
      <c r="H245" t="s">
        <v>850</v>
      </c>
      <c r="I245" t="s">
        <v>380</v>
      </c>
      <c r="J245" t="s">
        <v>245</v>
      </c>
      <c r="K245">
        <v>3</v>
      </c>
      <c r="L245">
        <v>4</v>
      </c>
      <c r="Q245" t="b">
        <f t="shared" si="7"/>
        <v>0</v>
      </c>
    </row>
    <row r="246" spans="1:17">
      <c r="A246">
        <f t="shared" si="6"/>
        <v>66</v>
      </c>
      <c r="B246" t="s">
        <v>379</v>
      </c>
      <c r="C246" t="s">
        <v>1007</v>
      </c>
      <c r="D246" t="s">
        <v>1136</v>
      </c>
      <c r="E246">
        <v>31</v>
      </c>
      <c r="F246" t="s">
        <v>14</v>
      </c>
      <c r="G246" t="s">
        <v>30</v>
      </c>
      <c r="H246" t="s">
        <v>850</v>
      </c>
      <c r="I246" t="s">
        <v>380</v>
      </c>
      <c r="J246" t="s">
        <v>385</v>
      </c>
      <c r="K246">
        <v>3</v>
      </c>
      <c r="L246">
        <v>4</v>
      </c>
      <c r="Q246" t="b">
        <f t="shared" si="7"/>
        <v>0</v>
      </c>
    </row>
    <row r="247" spans="1:17">
      <c r="A247">
        <f t="shared" si="6"/>
        <v>67</v>
      </c>
      <c r="B247" t="s">
        <v>386</v>
      </c>
      <c r="C247" t="s">
        <v>1008</v>
      </c>
      <c r="D247" t="s">
        <v>1137</v>
      </c>
      <c r="E247">
        <v>30</v>
      </c>
      <c r="F247" t="s">
        <v>14</v>
      </c>
      <c r="G247" t="s">
        <v>30</v>
      </c>
      <c r="H247" t="s">
        <v>850</v>
      </c>
      <c r="I247" t="s">
        <v>388</v>
      </c>
      <c r="J247" t="s">
        <v>256</v>
      </c>
      <c r="K247">
        <v>30</v>
      </c>
      <c r="L247">
        <v>6</v>
      </c>
      <c r="M247">
        <v>3</v>
      </c>
      <c r="Q247" t="b">
        <f t="shared" si="7"/>
        <v>1</v>
      </c>
    </row>
    <row r="248" spans="1:17">
      <c r="A248">
        <f t="shared" si="6"/>
        <v>67</v>
      </c>
      <c r="B248" t="s">
        <v>386</v>
      </c>
      <c r="C248" t="s">
        <v>1008</v>
      </c>
      <c r="D248" t="s">
        <v>1137</v>
      </c>
      <c r="E248">
        <v>30</v>
      </c>
      <c r="F248" t="s">
        <v>14</v>
      </c>
      <c r="G248" t="s">
        <v>30</v>
      </c>
      <c r="H248" t="s">
        <v>850</v>
      </c>
      <c r="I248" t="s">
        <v>389</v>
      </c>
      <c r="J248" t="s">
        <v>256</v>
      </c>
      <c r="K248">
        <v>30</v>
      </c>
      <c r="L248">
        <v>3</v>
      </c>
      <c r="M248">
        <v>3</v>
      </c>
      <c r="Q248" t="b">
        <f t="shared" si="7"/>
        <v>1</v>
      </c>
    </row>
    <row r="249" spans="1:17">
      <c r="A249">
        <f t="shared" si="6"/>
        <v>67</v>
      </c>
      <c r="B249" t="s">
        <v>386</v>
      </c>
      <c r="C249" t="s">
        <v>1008</v>
      </c>
      <c r="D249" t="s">
        <v>1137</v>
      </c>
      <c r="E249">
        <v>30</v>
      </c>
      <c r="F249" t="s">
        <v>14</v>
      </c>
      <c r="G249" t="s">
        <v>30</v>
      </c>
      <c r="H249" t="s">
        <v>850</v>
      </c>
      <c r="I249" t="s">
        <v>390</v>
      </c>
      <c r="J249" t="s">
        <v>256</v>
      </c>
      <c r="K249">
        <v>30</v>
      </c>
      <c r="L249">
        <v>6</v>
      </c>
      <c r="M249">
        <v>3</v>
      </c>
      <c r="Q249" t="b">
        <f t="shared" si="7"/>
        <v>1</v>
      </c>
    </row>
    <row r="250" spans="1:17">
      <c r="A250">
        <f t="shared" si="6"/>
        <v>67</v>
      </c>
      <c r="B250" t="s">
        <v>386</v>
      </c>
      <c r="C250" t="s">
        <v>1008</v>
      </c>
      <c r="D250" t="s">
        <v>1137</v>
      </c>
      <c r="E250">
        <v>30</v>
      </c>
      <c r="F250" t="s">
        <v>14</v>
      </c>
      <c r="G250" t="s">
        <v>30</v>
      </c>
      <c r="H250" t="s">
        <v>850</v>
      </c>
      <c r="I250" t="s">
        <v>387</v>
      </c>
      <c r="J250" t="s">
        <v>256</v>
      </c>
      <c r="K250">
        <v>30</v>
      </c>
      <c r="L250">
        <v>7</v>
      </c>
      <c r="M250">
        <v>3</v>
      </c>
      <c r="Q250" t="b">
        <f t="shared" si="7"/>
        <v>1</v>
      </c>
    </row>
    <row r="251" spans="1:17">
      <c r="A251">
        <f t="shared" si="6"/>
        <v>68</v>
      </c>
      <c r="B251" t="s">
        <v>391</v>
      </c>
      <c r="C251" t="s">
        <v>1009</v>
      </c>
      <c r="D251" t="s">
        <v>1138</v>
      </c>
      <c r="E251">
        <v>25</v>
      </c>
      <c r="F251" t="s">
        <v>14</v>
      </c>
      <c r="G251" t="s">
        <v>15</v>
      </c>
      <c r="H251" t="s">
        <v>850</v>
      </c>
      <c r="I251" t="s">
        <v>393</v>
      </c>
      <c r="J251" t="s">
        <v>245</v>
      </c>
      <c r="K251">
        <v>800</v>
      </c>
      <c r="L251" t="s">
        <v>278</v>
      </c>
      <c r="M251" t="s">
        <v>278</v>
      </c>
      <c r="Q251" t="b">
        <f t="shared" si="7"/>
        <v>0</v>
      </c>
    </row>
    <row r="252" spans="1:17">
      <c r="A252">
        <f t="shared" si="6"/>
        <v>68</v>
      </c>
      <c r="B252" t="s">
        <v>391</v>
      </c>
      <c r="C252" t="s">
        <v>1009</v>
      </c>
      <c r="D252" t="s">
        <v>1138</v>
      </c>
      <c r="E252">
        <v>25</v>
      </c>
      <c r="F252" t="s">
        <v>14</v>
      </c>
      <c r="G252" t="s">
        <v>15</v>
      </c>
      <c r="H252" t="s">
        <v>850</v>
      </c>
      <c r="I252" t="s">
        <v>392</v>
      </c>
      <c r="J252" t="s">
        <v>245</v>
      </c>
      <c r="K252">
        <v>800</v>
      </c>
      <c r="L252" t="s">
        <v>278</v>
      </c>
      <c r="M252" t="s">
        <v>278</v>
      </c>
      <c r="Q252" t="b">
        <f t="shared" si="7"/>
        <v>0</v>
      </c>
    </row>
    <row r="253" spans="1:17">
      <c r="A253">
        <f t="shared" si="6"/>
        <v>69</v>
      </c>
      <c r="B253" t="s">
        <v>394</v>
      </c>
      <c r="C253" t="s">
        <v>1010</v>
      </c>
      <c r="D253" t="s">
        <v>1139</v>
      </c>
      <c r="E253">
        <v>31</v>
      </c>
      <c r="F253" t="s">
        <v>14</v>
      </c>
      <c r="G253" t="s">
        <v>15</v>
      </c>
      <c r="H253" t="s">
        <v>850</v>
      </c>
      <c r="I253" t="s">
        <v>395</v>
      </c>
      <c r="J253" t="s">
        <v>245</v>
      </c>
      <c r="K253">
        <v>800</v>
      </c>
      <c r="L253">
        <v>4</v>
      </c>
      <c r="M253">
        <v>0</v>
      </c>
      <c r="Q253" t="b">
        <f t="shared" si="7"/>
        <v>1</v>
      </c>
    </row>
    <row r="254" spans="1:17">
      <c r="A254">
        <f t="shared" si="6"/>
        <v>69</v>
      </c>
      <c r="B254" t="s">
        <v>394</v>
      </c>
      <c r="C254" t="s">
        <v>1010</v>
      </c>
      <c r="D254" t="s">
        <v>1139</v>
      </c>
      <c r="E254">
        <v>31</v>
      </c>
      <c r="F254" t="s">
        <v>14</v>
      </c>
      <c r="G254" t="s">
        <v>15</v>
      </c>
      <c r="H254" t="s">
        <v>850</v>
      </c>
      <c r="I254" t="s">
        <v>396</v>
      </c>
      <c r="J254" t="s">
        <v>245</v>
      </c>
      <c r="K254">
        <v>800</v>
      </c>
      <c r="L254">
        <v>3</v>
      </c>
      <c r="M254">
        <v>1</v>
      </c>
      <c r="Q254" t="b">
        <f t="shared" si="7"/>
        <v>1</v>
      </c>
    </row>
    <row r="255" spans="1:17">
      <c r="A255">
        <f t="shared" si="6"/>
        <v>69</v>
      </c>
      <c r="B255" t="s">
        <v>394</v>
      </c>
      <c r="C255" t="s">
        <v>1010</v>
      </c>
      <c r="D255" t="s">
        <v>1139</v>
      </c>
      <c r="E255">
        <v>31</v>
      </c>
      <c r="F255" t="s">
        <v>14</v>
      </c>
      <c r="G255" t="s">
        <v>15</v>
      </c>
      <c r="H255" t="s">
        <v>850</v>
      </c>
      <c r="I255" t="s">
        <v>397</v>
      </c>
      <c r="J255" t="s">
        <v>245</v>
      </c>
      <c r="K255">
        <v>800</v>
      </c>
      <c r="L255">
        <v>4</v>
      </c>
      <c r="M255">
        <v>0</v>
      </c>
      <c r="Q255" t="b">
        <f t="shared" si="7"/>
        <v>1</v>
      </c>
    </row>
    <row r="256" spans="1:17">
      <c r="A256">
        <f t="shared" si="6"/>
        <v>70</v>
      </c>
      <c r="B256" t="s">
        <v>398</v>
      </c>
      <c r="C256" t="s">
        <v>1011</v>
      </c>
      <c r="D256" t="s">
        <v>1140</v>
      </c>
      <c r="E256">
        <v>30</v>
      </c>
      <c r="F256" t="s">
        <v>14</v>
      </c>
      <c r="G256" t="s">
        <v>30</v>
      </c>
      <c r="H256" t="s">
        <v>850</v>
      </c>
      <c r="I256" t="s">
        <v>400</v>
      </c>
      <c r="J256" t="s">
        <v>256</v>
      </c>
      <c r="K256">
        <v>30</v>
      </c>
      <c r="L256">
        <v>6</v>
      </c>
      <c r="M256">
        <v>0</v>
      </c>
      <c r="N256">
        <v>3</v>
      </c>
      <c r="Q256" t="b">
        <f t="shared" si="7"/>
        <v>0</v>
      </c>
    </row>
    <row r="257" spans="1:17">
      <c r="A257">
        <f t="shared" si="6"/>
        <v>70</v>
      </c>
      <c r="B257" t="s">
        <v>398</v>
      </c>
      <c r="C257" t="s">
        <v>1011</v>
      </c>
      <c r="D257" t="s">
        <v>1140</v>
      </c>
      <c r="E257">
        <v>30</v>
      </c>
      <c r="F257" t="s">
        <v>14</v>
      </c>
      <c r="G257" t="s">
        <v>30</v>
      </c>
      <c r="H257" t="s">
        <v>850</v>
      </c>
      <c r="I257" t="s">
        <v>401</v>
      </c>
      <c r="J257" t="s">
        <v>263</v>
      </c>
      <c r="K257">
        <v>1</v>
      </c>
      <c r="L257">
        <v>6</v>
      </c>
      <c r="M257">
        <v>0</v>
      </c>
      <c r="N257">
        <v>7</v>
      </c>
      <c r="Q257" t="b">
        <f t="shared" si="7"/>
        <v>0</v>
      </c>
    </row>
    <row r="258" spans="1:17">
      <c r="A258">
        <f t="shared" ref="A258:A321" si="8">IF(ROW()=2,1,IF(B258=B257,A257,A257+1))</f>
        <v>70</v>
      </c>
      <c r="B258" t="s">
        <v>398</v>
      </c>
      <c r="C258" t="s">
        <v>1011</v>
      </c>
      <c r="D258" t="s">
        <v>1140</v>
      </c>
      <c r="E258">
        <v>30</v>
      </c>
      <c r="F258" t="s">
        <v>14</v>
      </c>
      <c r="G258" t="s">
        <v>30</v>
      </c>
      <c r="H258" t="s">
        <v>850</v>
      </c>
      <c r="I258" t="s">
        <v>402</v>
      </c>
      <c r="J258" t="s">
        <v>256</v>
      </c>
      <c r="K258">
        <v>30</v>
      </c>
      <c r="L258">
        <v>6</v>
      </c>
      <c r="M258">
        <v>3</v>
      </c>
      <c r="N258">
        <v>3</v>
      </c>
      <c r="Q258" t="b">
        <f t="shared" ref="Q258:Q321" si="9">ISODD(A258)</f>
        <v>0</v>
      </c>
    </row>
    <row r="259" spans="1:17">
      <c r="A259">
        <f t="shared" si="8"/>
        <v>70</v>
      </c>
      <c r="B259" t="s">
        <v>398</v>
      </c>
      <c r="C259" t="s">
        <v>1011</v>
      </c>
      <c r="D259" t="s">
        <v>1140</v>
      </c>
      <c r="E259">
        <v>30</v>
      </c>
      <c r="F259" t="s">
        <v>14</v>
      </c>
      <c r="G259" t="s">
        <v>30</v>
      </c>
      <c r="H259" t="s">
        <v>850</v>
      </c>
      <c r="I259" t="s">
        <v>403</v>
      </c>
      <c r="J259" t="s">
        <v>263</v>
      </c>
      <c r="K259">
        <v>2</v>
      </c>
      <c r="L259">
        <v>6</v>
      </c>
      <c r="M259">
        <v>3</v>
      </c>
      <c r="N259">
        <v>7</v>
      </c>
      <c r="Q259" t="b">
        <f t="shared" si="9"/>
        <v>0</v>
      </c>
    </row>
    <row r="260" spans="1:17">
      <c r="A260">
        <f t="shared" si="8"/>
        <v>70</v>
      </c>
      <c r="B260" t="s">
        <v>398</v>
      </c>
      <c r="C260" t="s">
        <v>1011</v>
      </c>
      <c r="D260" t="s">
        <v>1140</v>
      </c>
      <c r="E260">
        <v>30</v>
      </c>
      <c r="F260" t="s">
        <v>14</v>
      </c>
      <c r="G260" t="s">
        <v>30</v>
      </c>
      <c r="H260" t="s">
        <v>850</v>
      </c>
      <c r="I260" t="s">
        <v>404</v>
      </c>
      <c r="J260" t="s">
        <v>256</v>
      </c>
      <c r="K260">
        <v>30</v>
      </c>
      <c r="L260">
        <v>6</v>
      </c>
      <c r="M260">
        <v>0</v>
      </c>
      <c r="N260">
        <v>3</v>
      </c>
      <c r="Q260" t="b">
        <f t="shared" si="9"/>
        <v>0</v>
      </c>
    </row>
    <row r="261" spans="1:17">
      <c r="A261">
        <f t="shared" si="8"/>
        <v>70</v>
      </c>
      <c r="B261" t="s">
        <v>398</v>
      </c>
      <c r="C261" t="s">
        <v>1011</v>
      </c>
      <c r="D261" t="s">
        <v>1140</v>
      </c>
      <c r="E261">
        <v>30</v>
      </c>
      <c r="F261" t="s">
        <v>14</v>
      </c>
      <c r="G261" t="s">
        <v>30</v>
      </c>
      <c r="H261" t="s">
        <v>850</v>
      </c>
      <c r="I261" t="s">
        <v>405</v>
      </c>
      <c r="J261" t="s">
        <v>263</v>
      </c>
      <c r="K261">
        <v>2</v>
      </c>
      <c r="L261">
        <v>6</v>
      </c>
      <c r="M261">
        <v>0</v>
      </c>
      <c r="N261">
        <v>7</v>
      </c>
      <c r="Q261" t="b">
        <f t="shared" si="9"/>
        <v>0</v>
      </c>
    </row>
    <row r="262" spans="1:17">
      <c r="A262">
        <f t="shared" si="8"/>
        <v>70</v>
      </c>
      <c r="B262" t="s">
        <v>398</v>
      </c>
      <c r="C262" t="s">
        <v>1011</v>
      </c>
      <c r="D262" t="s">
        <v>1140</v>
      </c>
      <c r="E262">
        <v>30</v>
      </c>
      <c r="F262" t="s">
        <v>14</v>
      </c>
      <c r="G262" t="s">
        <v>30</v>
      </c>
      <c r="H262" t="s">
        <v>850</v>
      </c>
      <c r="I262" t="s">
        <v>399</v>
      </c>
      <c r="J262" t="s">
        <v>263</v>
      </c>
      <c r="K262">
        <v>2</v>
      </c>
      <c r="L262">
        <v>8</v>
      </c>
      <c r="M262">
        <v>3</v>
      </c>
      <c r="N262">
        <v>7</v>
      </c>
      <c r="Q262" t="b">
        <f t="shared" si="9"/>
        <v>0</v>
      </c>
    </row>
    <row r="263" spans="1:17">
      <c r="A263">
        <f t="shared" si="8"/>
        <v>71</v>
      </c>
      <c r="B263" t="s">
        <v>406</v>
      </c>
      <c r="C263" t="s">
        <v>1012</v>
      </c>
      <c r="D263" t="s">
        <v>1141</v>
      </c>
      <c r="E263">
        <v>31</v>
      </c>
      <c r="F263" t="s">
        <v>244</v>
      </c>
      <c r="G263" t="s">
        <v>30</v>
      </c>
      <c r="H263" t="s">
        <v>850</v>
      </c>
      <c r="I263" t="s">
        <v>408</v>
      </c>
      <c r="J263" t="s">
        <v>256</v>
      </c>
      <c r="K263">
        <v>30</v>
      </c>
      <c r="L263">
        <v>0</v>
      </c>
      <c r="M263">
        <v>0</v>
      </c>
      <c r="Q263" t="b">
        <f t="shared" si="9"/>
        <v>1</v>
      </c>
    </row>
    <row r="264" spans="1:17">
      <c r="A264">
        <f t="shared" si="8"/>
        <v>71</v>
      </c>
      <c r="B264" t="s">
        <v>406</v>
      </c>
      <c r="C264" t="s">
        <v>1012</v>
      </c>
      <c r="D264" t="s">
        <v>1141</v>
      </c>
      <c r="E264">
        <v>31</v>
      </c>
      <c r="F264" t="s">
        <v>244</v>
      </c>
      <c r="G264" t="s">
        <v>30</v>
      </c>
      <c r="H264" t="s">
        <v>850</v>
      </c>
      <c r="I264" t="s">
        <v>409</v>
      </c>
      <c r="J264" t="s">
        <v>256</v>
      </c>
      <c r="K264">
        <v>30</v>
      </c>
      <c r="L264">
        <v>3</v>
      </c>
      <c r="M264">
        <v>0</v>
      </c>
      <c r="Q264" t="b">
        <f t="shared" si="9"/>
        <v>1</v>
      </c>
    </row>
    <row r="265" spans="1:17">
      <c r="A265">
        <f t="shared" si="8"/>
        <v>71</v>
      </c>
      <c r="B265" t="s">
        <v>406</v>
      </c>
      <c r="C265" t="s">
        <v>1012</v>
      </c>
      <c r="D265" t="s">
        <v>1141</v>
      </c>
      <c r="E265">
        <v>31</v>
      </c>
      <c r="F265" t="s">
        <v>244</v>
      </c>
      <c r="G265" t="s">
        <v>30</v>
      </c>
      <c r="H265" t="s">
        <v>850</v>
      </c>
      <c r="I265" t="s">
        <v>407</v>
      </c>
      <c r="J265" t="s">
        <v>256</v>
      </c>
      <c r="K265">
        <v>30</v>
      </c>
      <c r="L265">
        <v>4</v>
      </c>
      <c r="M265">
        <v>0</v>
      </c>
      <c r="Q265" t="b">
        <f t="shared" si="9"/>
        <v>1</v>
      </c>
    </row>
    <row r="266" spans="1:17">
      <c r="A266">
        <f t="shared" si="8"/>
        <v>72</v>
      </c>
      <c r="B266" t="s">
        <v>411</v>
      </c>
      <c r="C266" t="s">
        <v>1013</v>
      </c>
      <c r="D266" t="s">
        <v>1142</v>
      </c>
      <c r="E266">
        <v>37</v>
      </c>
      <c r="F266" t="s">
        <v>412</v>
      </c>
      <c r="G266" t="s">
        <v>15</v>
      </c>
      <c r="H266" t="s">
        <v>850</v>
      </c>
      <c r="I266" t="s">
        <v>413</v>
      </c>
      <c r="J266" t="s">
        <v>245</v>
      </c>
      <c r="K266">
        <v>800</v>
      </c>
      <c r="L266" t="s">
        <v>278</v>
      </c>
      <c r="M266" t="s">
        <v>278</v>
      </c>
      <c r="Q266" t="b">
        <f t="shared" si="9"/>
        <v>0</v>
      </c>
    </row>
    <row r="267" spans="1:17">
      <c r="A267">
        <f t="shared" si="8"/>
        <v>72</v>
      </c>
      <c r="B267" t="s">
        <v>411</v>
      </c>
      <c r="C267" t="s">
        <v>1013</v>
      </c>
      <c r="D267" t="s">
        <v>1142</v>
      </c>
      <c r="E267">
        <v>37</v>
      </c>
      <c r="F267" t="s">
        <v>412</v>
      </c>
      <c r="G267" t="s">
        <v>15</v>
      </c>
      <c r="H267" t="s">
        <v>850</v>
      </c>
      <c r="I267" t="s">
        <v>410</v>
      </c>
      <c r="J267" t="s">
        <v>245</v>
      </c>
      <c r="K267">
        <v>800</v>
      </c>
      <c r="L267" t="s">
        <v>278</v>
      </c>
      <c r="M267" t="s">
        <v>278</v>
      </c>
      <c r="Q267" t="b">
        <f t="shared" si="9"/>
        <v>0</v>
      </c>
    </row>
    <row r="268" spans="1:17">
      <c r="A268">
        <f t="shared" si="8"/>
        <v>73</v>
      </c>
      <c r="B268" t="s">
        <v>414</v>
      </c>
      <c r="C268" t="s">
        <v>1014</v>
      </c>
      <c r="D268" t="s">
        <v>1143</v>
      </c>
      <c r="E268">
        <v>33</v>
      </c>
      <c r="F268" t="s">
        <v>14</v>
      </c>
      <c r="G268" t="s">
        <v>30</v>
      </c>
      <c r="H268" t="s">
        <v>850</v>
      </c>
      <c r="I268" t="s">
        <v>416</v>
      </c>
      <c r="J268" t="s">
        <v>256</v>
      </c>
      <c r="K268">
        <v>30</v>
      </c>
      <c r="L268">
        <v>3</v>
      </c>
      <c r="M268">
        <v>2</v>
      </c>
      <c r="Q268" t="b">
        <f t="shared" si="9"/>
        <v>1</v>
      </c>
    </row>
    <row r="269" spans="1:17">
      <c r="A269">
        <f t="shared" si="8"/>
        <v>73</v>
      </c>
      <c r="B269" t="s">
        <v>414</v>
      </c>
      <c r="C269" t="s">
        <v>1014</v>
      </c>
      <c r="D269" t="s">
        <v>1143</v>
      </c>
      <c r="E269">
        <v>33</v>
      </c>
      <c r="F269" t="s">
        <v>14</v>
      </c>
      <c r="G269" t="s">
        <v>30</v>
      </c>
      <c r="H269" t="s">
        <v>850</v>
      </c>
      <c r="I269" t="s">
        <v>415</v>
      </c>
      <c r="J269" t="s">
        <v>256</v>
      </c>
      <c r="K269">
        <v>30</v>
      </c>
      <c r="L269">
        <v>3</v>
      </c>
      <c r="M269">
        <v>2</v>
      </c>
      <c r="Q269" t="b">
        <f t="shared" si="9"/>
        <v>1</v>
      </c>
    </row>
    <row r="270" spans="1:17">
      <c r="A270">
        <f t="shared" si="8"/>
        <v>74</v>
      </c>
      <c r="B270" t="s">
        <v>417</v>
      </c>
      <c r="C270" t="s">
        <v>1015</v>
      </c>
      <c r="D270" t="s">
        <v>1144</v>
      </c>
      <c r="E270">
        <v>35</v>
      </c>
      <c r="F270" t="s">
        <v>14</v>
      </c>
      <c r="G270" t="s">
        <v>30</v>
      </c>
      <c r="H270" t="s">
        <v>850</v>
      </c>
      <c r="I270" t="s">
        <v>419</v>
      </c>
      <c r="J270" t="s">
        <v>256</v>
      </c>
      <c r="K270">
        <v>30</v>
      </c>
      <c r="L270">
        <v>5</v>
      </c>
      <c r="M270">
        <v>0</v>
      </c>
      <c r="N270">
        <v>3</v>
      </c>
      <c r="Q270" t="b">
        <f t="shared" si="9"/>
        <v>0</v>
      </c>
    </row>
    <row r="271" spans="1:17">
      <c r="A271">
        <f t="shared" si="8"/>
        <v>74</v>
      </c>
      <c r="B271" t="s">
        <v>417</v>
      </c>
      <c r="C271" t="s">
        <v>1015</v>
      </c>
      <c r="D271" t="s">
        <v>1144</v>
      </c>
      <c r="E271">
        <v>35</v>
      </c>
      <c r="F271" t="s">
        <v>14</v>
      </c>
      <c r="G271" t="s">
        <v>30</v>
      </c>
      <c r="H271" t="s">
        <v>850</v>
      </c>
      <c r="I271" t="s">
        <v>420</v>
      </c>
      <c r="J271" t="s">
        <v>256</v>
      </c>
      <c r="K271">
        <v>30</v>
      </c>
      <c r="L271">
        <v>1</v>
      </c>
      <c r="M271">
        <v>0</v>
      </c>
      <c r="N271">
        <v>3</v>
      </c>
      <c r="Q271" t="b">
        <f t="shared" si="9"/>
        <v>0</v>
      </c>
    </row>
    <row r="272" spans="1:17">
      <c r="A272">
        <f t="shared" si="8"/>
        <v>74</v>
      </c>
      <c r="B272" t="s">
        <v>417</v>
      </c>
      <c r="C272" t="s">
        <v>1015</v>
      </c>
      <c r="D272" t="s">
        <v>1144</v>
      </c>
      <c r="E272">
        <v>35</v>
      </c>
      <c r="F272" t="s">
        <v>14</v>
      </c>
      <c r="G272" t="s">
        <v>30</v>
      </c>
      <c r="H272" t="s">
        <v>850</v>
      </c>
      <c r="I272" t="s">
        <v>418</v>
      </c>
      <c r="J272" t="s">
        <v>256</v>
      </c>
      <c r="K272">
        <v>30</v>
      </c>
      <c r="L272">
        <v>2</v>
      </c>
      <c r="M272">
        <v>0</v>
      </c>
      <c r="N272">
        <v>3</v>
      </c>
      <c r="Q272" t="b">
        <f t="shared" si="9"/>
        <v>0</v>
      </c>
    </row>
    <row r="273" spans="1:17">
      <c r="A273">
        <f t="shared" si="8"/>
        <v>75</v>
      </c>
      <c r="B273" t="s">
        <v>421</v>
      </c>
      <c r="C273" t="s">
        <v>1016</v>
      </c>
      <c r="D273" t="s">
        <v>1145</v>
      </c>
      <c r="E273">
        <v>33</v>
      </c>
      <c r="F273" t="s">
        <v>14</v>
      </c>
      <c r="G273" t="s">
        <v>15</v>
      </c>
      <c r="H273" t="s">
        <v>850</v>
      </c>
      <c r="I273" t="s">
        <v>423</v>
      </c>
      <c r="J273" t="s">
        <v>245</v>
      </c>
      <c r="K273">
        <v>800</v>
      </c>
      <c r="L273">
        <v>6</v>
      </c>
      <c r="M273">
        <v>0</v>
      </c>
      <c r="N273">
        <v>2</v>
      </c>
      <c r="Q273" t="b">
        <f t="shared" si="9"/>
        <v>1</v>
      </c>
    </row>
    <row r="274" spans="1:17">
      <c r="A274">
        <f t="shared" si="8"/>
        <v>75</v>
      </c>
      <c r="B274" t="s">
        <v>421</v>
      </c>
      <c r="C274" t="s">
        <v>1016</v>
      </c>
      <c r="D274" t="s">
        <v>1145</v>
      </c>
      <c r="E274">
        <v>33</v>
      </c>
      <c r="F274" t="s">
        <v>14</v>
      </c>
      <c r="G274" t="s">
        <v>15</v>
      </c>
      <c r="H274" t="s">
        <v>850</v>
      </c>
      <c r="I274" t="s">
        <v>424</v>
      </c>
      <c r="J274" t="s">
        <v>263</v>
      </c>
      <c r="K274">
        <v>1</v>
      </c>
      <c r="L274">
        <v>4</v>
      </c>
      <c r="M274">
        <v>1</v>
      </c>
      <c r="N274">
        <v>1</v>
      </c>
      <c r="Q274" t="b">
        <f t="shared" si="9"/>
        <v>1</v>
      </c>
    </row>
    <row r="275" spans="1:17">
      <c r="A275">
        <f t="shared" si="8"/>
        <v>75</v>
      </c>
      <c r="B275" t="s">
        <v>421</v>
      </c>
      <c r="C275" t="s">
        <v>1016</v>
      </c>
      <c r="D275" t="s">
        <v>1145</v>
      </c>
      <c r="E275">
        <v>33</v>
      </c>
      <c r="F275" t="s">
        <v>14</v>
      </c>
      <c r="G275" t="s">
        <v>15</v>
      </c>
      <c r="H275" t="s">
        <v>850</v>
      </c>
      <c r="I275" t="s">
        <v>422</v>
      </c>
      <c r="J275" t="s">
        <v>245</v>
      </c>
      <c r="K275">
        <v>800</v>
      </c>
      <c r="L275">
        <v>5</v>
      </c>
      <c r="M275">
        <v>0</v>
      </c>
      <c r="N275">
        <v>2</v>
      </c>
      <c r="Q275" t="b">
        <f t="shared" si="9"/>
        <v>1</v>
      </c>
    </row>
    <row r="276" spans="1:17">
      <c r="A276">
        <f t="shared" si="8"/>
        <v>76</v>
      </c>
      <c r="B276" t="s">
        <v>425</v>
      </c>
      <c r="C276" t="s">
        <v>149</v>
      </c>
      <c r="D276" t="s">
        <v>1146</v>
      </c>
      <c r="E276">
        <v>21</v>
      </c>
      <c r="F276" t="s">
        <v>244</v>
      </c>
      <c r="G276" t="s">
        <v>30</v>
      </c>
      <c r="H276" t="s">
        <v>850</v>
      </c>
      <c r="I276" t="s">
        <v>427</v>
      </c>
      <c r="J276" t="s">
        <v>824</v>
      </c>
      <c r="K276">
        <v>1000</v>
      </c>
      <c r="L276">
        <v>0</v>
      </c>
      <c r="M276">
        <v>0</v>
      </c>
      <c r="Q276" t="b">
        <f t="shared" si="9"/>
        <v>0</v>
      </c>
    </row>
    <row r="277" spans="1:17">
      <c r="A277">
        <f t="shared" si="8"/>
        <v>76</v>
      </c>
      <c r="B277" t="s">
        <v>425</v>
      </c>
      <c r="C277" t="s">
        <v>149</v>
      </c>
      <c r="D277" t="s">
        <v>1146</v>
      </c>
      <c r="E277">
        <v>21</v>
      </c>
      <c r="F277" t="s">
        <v>244</v>
      </c>
      <c r="G277" t="s">
        <v>30</v>
      </c>
      <c r="H277" t="s">
        <v>850</v>
      </c>
      <c r="I277" t="s">
        <v>428</v>
      </c>
      <c r="J277" t="s">
        <v>263</v>
      </c>
      <c r="K277">
        <v>1</v>
      </c>
      <c r="L277">
        <v>4</v>
      </c>
      <c r="M277">
        <v>0</v>
      </c>
      <c r="Q277" t="b">
        <f t="shared" si="9"/>
        <v>0</v>
      </c>
    </row>
    <row r="278" spans="1:17">
      <c r="A278">
        <f t="shared" si="8"/>
        <v>76</v>
      </c>
      <c r="B278" t="s">
        <v>425</v>
      </c>
      <c r="C278" t="s">
        <v>149</v>
      </c>
      <c r="D278" t="s">
        <v>1146</v>
      </c>
      <c r="E278">
        <v>21</v>
      </c>
      <c r="F278" t="s">
        <v>244</v>
      </c>
      <c r="G278" t="s">
        <v>30</v>
      </c>
      <c r="H278" t="s">
        <v>850</v>
      </c>
      <c r="I278" t="s">
        <v>426</v>
      </c>
      <c r="J278" t="s">
        <v>256</v>
      </c>
      <c r="K278">
        <v>30</v>
      </c>
      <c r="L278">
        <v>0</v>
      </c>
      <c r="M278">
        <v>0</v>
      </c>
      <c r="Q278" t="b">
        <f t="shared" si="9"/>
        <v>0</v>
      </c>
    </row>
    <row r="279" spans="1:17">
      <c r="A279">
        <f t="shared" si="8"/>
        <v>77</v>
      </c>
      <c r="B279" t="s">
        <v>429</v>
      </c>
      <c r="C279" t="s">
        <v>1017</v>
      </c>
      <c r="D279" s="2">
        <v>43278</v>
      </c>
      <c r="E279">
        <v>29</v>
      </c>
      <c r="F279" t="s">
        <v>244</v>
      </c>
      <c r="G279" t="s">
        <v>15</v>
      </c>
      <c r="H279" t="s">
        <v>850</v>
      </c>
      <c r="I279" t="s">
        <v>26</v>
      </c>
      <c r="J279" t="s">
        <v>26</v>
      </c>
      <c r="K279" t="s">
        <v>26</v>
      </c>
      <c r="L279" t="s">
        <v>26</v>
      </c>
      <c r="M279" t="s">
        <v>26</v>
      </c>
      <c r="N279" t="s">
        <v>26</v>
      </c>
      <c r="Q279" t="b">
        <f t="shared" si="9"/>
        <v>1</v>
      </c>
    </row>
    <row r="280" spans="1:17">
      <c r="A280">
        <f t="shared" si="8"/>
        <v>78</v>
      </c>
      <c r="B280" t="s">
        <v>430</v>
      </c>
      <c r="C280" t="s">
        <v>1018</v>
      </c>
      <c r="D280" s="2">
        <v>43278</v>
      </c>
      <c r="E280">
        <v>30</v>
      </c>
      <c r="F280" t="s">
        <v>244</v>
      </c>
      <c r="G280" t="s">
        <v>15</v>
      </c>
      <c r="H280" t="s">
        <v>850</v>
      </c>
      <c r="I280" t="s">
        <v>431</v>
      </c>
      <c r="J280" t="s">
        <v>245</v>
      </c>
      <c r="K280">
        <v>800</v>
      </c>
      <c r="L280">
        <v>4</v>
      </c>
      <c r="M280">
        <v>1</v>
      </c>
      <c r="N280">
        <v>3</v>
      </c>
      <c r="Q280" t="b">
        <f t="shared" si="9"/>
        <v>0</v>
      </c>
    </row>
    <row r="281" spans="1:17">
      <c r="A281">
        <f t="shared" si="8"/>
        <v>78</v>
      </c>
      <c r="B281" t="s">
        <v>430</v>
      </c>
      <c r="C281" t="s">
        <v>1018</v>
      </c>
      <c r="D281" s="2">
        <v>43278</v>
      </c>
      <c r="E281">
        <v>30</v>
      </c>
      <c r="F281" t="s">
        <v>244</v>
      </c>
      <c r="G281" t="s">
        <v>15</v>
      </c>
      <c r="H281" t="s">
        <v>850</v>
      </c>
      <c r="I281" t="s">
        <v>431</v>
      </c>
      <c r="J281" t="s">
        <v>268</v>
      </c>
      <c r="K281">
        <v>650</v>
      </c>
      <c r="L281">
        <v>4</v>
      </c>
      <c r="M281">
        <v>1</v>
      </c>
      <c r="N281">
        <v>6</v>
      </c>
      <c r="Q281" t="b">
        <f t="shared" si="9"/>
        <v>0</v>
      </c>
    </row>
    <row r="282" spans="1:17">
      <c r="A282">
        <f t="shared" si="8"/>
        <v>78</v>
      </c>
      <c r="B282" t="s">
        <v>430</v>
      </c>
      <c r="C282" t="s">
        <v>1018</v>
      </c>
      <c r="D282" s="2">
        <v>43278</v>
      </c>
      <c r="E282">
        <v>30</v>
      </c>
      <c r="F282" t="s">
        <v>244</v>
      </c>
      <c r="G282" t="s">
        <v>15</v>
      </c>
      <c r="H282" t="s">
        <v>850</v>
      </c>
      <c r="I282" t="s">
        <v>432</v>
      </c>
      <c r="J282" t="s">
        <v>245</v>
      </c>
      <c r="K282">
        <v>800</v>
      </c>
      <c r="L282">
        <v>3</v>
      </c>
      <c r="M282">
        <v>0</v>
      </c>
      <c r="N282">
        <v>3</v>
      </c>
      <c r="Q282" t="b">
        <f t="shared" si="9"/>
        <v>0</v>
      </c>
    </row>
    <row r="283" spans="1:17">
      <c r="A283">
        <f t="shared" si="8"/>
        <v>78</v>
      </c>
      <c r="B283" t="s">
        <v>430</v>
      </c>
      <c r="C283" t="s">
        <v>1018</v>
      </c>
      <c r="D283" s="2">
        <v>43278</v>
      </c>
      <c r="E283">
        <v>30</v>
      </c>
      <c r="F283" t="s">
        <v>244</v>
      </c>
      <c r="G283" t="s">
        <v>15</v>
      </c>
      <c r="H283" t="s">
        <v>850</v>
      </c>
      <c r="I283" t="s">
        <v>432</v>
      </c>
      <c r="J283" t="s">
        <v>268</v>
      </c>
      <c r="K283">
        <v>650</v>
      </c>
      <c r="L283">
        <v>3</v>
      </c>
      <c r="M283">
        <v>0</v>
      </c>
      <c r="N283">
        <v>6</v>
      </c>
      <c r="Q283" t="b">
        <f t="shared" si="9"/>
        <v>0</v>
      </c>
    </row>
    <row r="284" spans="1:17">
      <c r="A284">
        <f t="shared" si="8"/>
        <v>78</v>
      </c>
      <c r="B284" t="s">
        <v>430</v>
      </c>
      <c r="C284" t="s">
        <v>1018</v>
      </c>
      <c r="D284" s="2">
        <v>43278</v>
      </c>
      <c r="E284">
        <v>30</v>
      </c>
      <c r="F284" t="s">
        <v>244</v>
      </c>
      <c r="G284" t="s">
        <v>15</v>
      </c>
      <c r="H284" t="s">
        <v>850</v>
      </c>
      <c r="I284" t="s">
        <v>433</v>
      </c>
      <c r="J284" t="s">
        <v>245</v>
      </c>
      <c r="K284">
        <v>800</v>
      </c>
      <c r="L284">
        <v>3</v>
      </c>
      <c r="M284">
        <v>0</v>
      </c>
      <c r="N284">
        <v>3</v>
      </c>
      <c r="Q284" t="b">
        <f t="shared" si="9"/>
        <v>0</v>
      </c>
    </row>
    <row r="285" spans="1:17">
      <c r="A285">
        <f t="shared" si="8"/>
        <v>78</v>
      </c>
      <c r="B285" t="s">
        <v>430</v>
      </c>
      <c r="C285" t="s">
        <v>1018</v>
      </c>
      <c r="D285" s="2">
        <v>43278</v>
      </c>
      <c r="E285">
        <v>30</v>
      </c>
      <c r="F285" t="s">
        <v>244</v>
      </c>
      <c r="G285" t="s">
        <v>15</v>
      </c>
      <c r="H285" t="s">
        <v>850</v>
      </c>
      <c r="I285" t="s">
        <v>433</v>
      </c>
      <c r="J285" t="s">
        <v>268</v>
      </c>
      <c r="K285">
        <v>650</v>
      </c>
      <c r="L285">
        <v>3</v>
      </c>
      <c r="M285">
        <v>0</v>
      </c>
      <c r="N285">
        <v>6</v>
      </c>
      <c r="Q285" t="b">
        <f t="shared" si="9"/>
        <v>0</v>
      </c>
    </row>
    <row r="286" spans="1:17">
      <c r="A286">
        <f t="shared" si="8"/>
        <v>79</v>
      </c>
      <c r="B286" t="s">
        <v>434</v>
      </c>
      <c r="C286" t="s">
        <v>1019</v>
      </c>
      <c r="D286" s="2">
        <v>43279</v>
      </c>
      <c r="E286">
        <v>19</v>
      </c>
      <c r="F286" t="s">
        <v>14</v>
      </c>
      <c r="G286" t="s">
        <v>15</v>
      </c>
      <c r="H286" t="s">
        <v>850</v>
      </c>
      <c r="I286" t="s">
        <v>435</v>
      </c>
      <c r="J286" t="s">
        <v>245</v>
      </c>
      <c r="K286">
        <v>800</v>
      </c>
      <c r="L286">
        <v>800</v>
      </c>
      <c r="M286">
        <v>6</v>
      </c>
      <c r="Q286" t="b">
        <f t="shared" si="9"/>
        <v>1</v>
      </c>
    </row>
    <row r="287" spans="1:17">
      <c r="A287">
        <f t="shared" si="8"/>
        <v>79</v>
      </c>
      <c r="B287" t="s">
        <v>434</v>
      </c>
      <c r="C287" t="s">
        <v>1019</v>
      </c>
      <c r="D287" s="2">
        <v>43279</v>
      </c>
      <c r="E287">
        <v>19</v>
      </c>
      <c r="F287" t="s">
        <v>14</v>
      </c>
      <c r="G287" t="s">
        <v>15</v>
      </c>
      <c r="H287" t="s">
        <v>850</v>
      </c>
      <c r="I287" t="s">
        <v>436</v>
      </c>
      <c r="J287" t="s">
        <v>263</v>
      </c>
      <c r="K287">
        <v>1</v>
      </c>
      <c r="L287">
        <v>1</v>
      </c>
      <c r="M287">
        <v>7</v>
      </c>
      <c r="Q287" t="b">
        <f t="shared" si="9"/>
        <v>1</v>
      </c>
    </row>
    <row r="288" spans="1:17">
      <c r="A288">
        <f t="shared" si="8"/>
        <v>79</v>
      </c>
      <c r="B288" t="s">
        <v>434</v>
      </c>
      <c r="C288" t="s">
        <v>1019</v>
      </c>
      <c r="D288" s="2">
        <v>43279</v>
      </c>
      <c r="E288">
        <v>19</v>
      </c>
      <c r="F288" t="s">
        <v>14</v>
      </c>
      <c r="G288" t="s">
        <v>15</v>
      </c>
      <c r="H288" t="s">
        <v>850</v>
      </c>
      <c r="I288" t="s">
        <v>437</v>
      </c>
      <c r="J288" t="s">
        <v>245</v>
      </c>
      <c r="K288">
        <v>800</v>
      </c>
      <c r="L288">
        <v>800</v>
      </c>
      <c r="M288">
        <v>7</v>
      </c>
      <c r="Q288" t="b">
        <f t="shared" si="9"/>
        <v>1</v>
      </c>
    </row>
    <row r="289" spans="1:17">
      <c r="A289">
        <f t="shared" si="8"/>
        <v>79</v>
      </c>
      <c r="B289" t="s">
        <v>434</v>
      </c>
      <c r="C289" t="s">
        <v>1019</v>
      </c>
      <c r="D289" s="2">
        <v>43279</v>
      </c>
      <c r="E289">
        <v>19</v>
      </c>
      <c r="F289" t="s">
        <v>14</v>
      </c>
      <c r="G289" t="s">
        <v>15</v>
      </c>
      <c r="H289" t="s">
        <v>850</v>
      </c>
      <c r="I289" t="s">
        <v>437</v>
      </c>
      <c r="J289" t="s">
        <v>263</v>
      </c>
      <c r="K289">
        <v>1</v>
      </c>
      <c r="L289">
        <v>1</v>
      </c>
      <c r="M289">
        <v>7</v>
      </c>
      <c r="Q289" t="b">
        <f t="shared" si="9"/>
        <v>1</v>
      </c>
    </row>
    <row r="290" spans="1:17">
      <c r="A290">
        <f t="shared" si="8"/>
        <v>80</v>
      </c>
      <c r="B290" t="s">
        <v>450</v>
      </c>
      <c r="C290" t="s">
        <v>1020</v>
      </c>
      <c r="D290" t="s">
        <v>1147</v>
      </c>
      <c r="E290">
        <v>32</v>
      </c>
      <c r="F290" t="s">
        <v>118</v>
      </c>
      <c r="G290" t="s">
        <v>15</v>
      </c>
      <c r="H290" t="s">
        <v>850</v>
      </c>
      <c r="I290" t="s">
        <v>452</v>
      </c>
      <c r="J290" t="s">
        <v>245</v>
      </c>
      <c r="K290">
        <v>800</v>
      </c>
      <c r="L290">
        <v>7</v>
      </c>
      <c r="M290">
        <v>5</v>
      </c>
      <c r="N290">
        <v>3</v>
      </c>
      <c r="Q290" t="b">
        <f t="shared" si="9"/>
        <v>0</v>
      </c>
    </row>
    <row r="291" spans="1:17">
      <c r="A291">
        <f t="shared" si="8"/>
        <v>80</v>
      </c>
      <c r="B291" t="s">
        <v>450</v>
      </c>
      <c r="C291" t="s">
        <v>1020</v>
      </c>
      <c r="D291" t="s">
        <v>1147</v>
      </c>
      <c r="E291">
        <v>32</v>
      </c>
      <c r="F291" t="s">
        <v>118</v>
      </c>
      <c r="G291" t="s">
        <v>15</v>
      </c>
      <c r="H291" t="s">
        <v>850</v>
      </c>
      <c r="I291" t="s">
        <v>453</v>
      </c>
      <c r="J291" t="s">
        <v>245</v>
      </c>
      <c r="K291">
        <v>800</v>
      </c>
      <c r="L291">
        <v>7</v>
      </c>
      <c r="M291">
        <v>7</v>
      </c>
      <c r="N291">
        <v>3</v>
      </c>
      <c r="Q291" t="b">
        <f t="shared" si="9"/>
        <v>0</v>
      </c>
    </row>
    <row r="292" spans="1:17">
      <c r="A292">
        <f t="shared" si="8"/>
        <v>80</v>
      </c>
      <c r="B292" t="s">
        <v>450</v>
      </c>
      <c r="C292" t="s">
        <v>1020</v>
      </c>
      <c r="D292" t="s">
        <v>1147</v>
      </c>
      <c r="E292">
        <v>32</v>
      </c>
      <c r="F292" t="s">
        <v>118</v>
      </c>
      <c r="G292" t="s">
        <v>15</v>
      </c>
      <c r="H292" t="s">
        <v>850</v>
      </c>
      <c r="I292" t="s">
        <v>451</v>
      </c>
      <c r="J292" t="s">
        <v>245</v>
      </c>
      <c r="K292">
        <v>800</v>
      </c>
      <c r="L292">
        <v>7</v>
      </c>
      <c r="M292">
        <v>7</v>
      </c>
      <c r="N292">
        <v>3</v>
      </c>
      <c r="Q292" t="b">
        <f t="shared" si="9"/>
        <v>0</v>
      </c>
    </row>
    <row r="293" spans="1:17">
      <c r="A293">
        <f t="shared" si="8"/>
        <v>81</v>
      </c>
      <c r="B293" t="s">
        <v>454</v>
      </c>
      <c r="C293" t="s">
        <v>1021</v>
      </c>
      <c r="D293" t="s">
        <v>1148</v>
      </c>
      <c r="E293">
        <v>23</v>
      </c>
      <c r="F293" t="s">
        <v>244</v>
      </c>
      <c r="G293" t="s">
        <v>15</v>
      </c>
      <c r="H293" t="s">
        <v>850</v>
      </c>
      <c r="I293" t="s">
        <v>456</v>
      </c>
      <c r="J293" t="s">
        <v>245</v>
      </c>
      <c r="K293">
        <v>800</v>
      </c>
      <c r="L293" t="s">
        <v>278</v>
      </c>
      <c r="M293" t="s">
        <v>278</v>
      </c>
      <c r="Q293" t="b">
        <f t="shared" si="9"/>
        <v>1</v>
      </c>
    </row>
    <row r="294" spans="1:17">
      <c r="A294">
        <f t="shared" si="8"/>
        <v>81</v>
      </c>
      <c r="B294" t="s">
        <v>454</v>
      </c>
      <c r="C294" t="s">
        <v>1021</v>
      </c>
      <c r="D294" t="s">
        <v>1148</v>
      </c>
      <c r="E294">
        <v>23</v>
      </c>
      <c r="F294" t="s">
        <v>244</v>
      </c>
      <c r="G294" t="s">
        <v>15</v>
      </c>
      <c r="H294" t="s">
        <v>850</v>
      </c>
      <c r="I294" t="s">
        <v>455</v>
      </c>
      <c r="J294" t="s">
        <v>245</v>
      </c>
      <c r="K294">
        <v>800</v>
      </c>
      <c r="L294">
        <v>3</v>
      </c>
      <c r="M294">
        <v>0</v>
      </c>
      <c r="Q294" t="b">
        <f t="shared" si="9"/>
        <v>1</v>
      </c>
    </row>
    <row r="295" spans="1:17">
      <c r="A295">
        <f t="shared" si="8"/>
        <v>82</v>
      </c>
      <c r="B295" t="s">
        <v>457</v>
      </c>
      <c r="C295" t="s">
        <v>1022</v>
      </c>
      <c r="D295" t="s">
        <v>1149</v>
      </c>
      <c r="E295">
        <v>28</v>
      </c>
      <c r="F295" t="s">
        <v>244</v>
      </c>
      <c r="G295" t="s">
        <v>15</v>
      </c>
      <c r="H295" t="s">
        <v>850</v>
      </c>
      <c r="I295" t="s">
        <v>459</v>
      </c>
      <c r="J295" t="s">
        <v>245</v>
      </c>
      <c r="K295">
        <v>800</v>
      </c>
      <c r="L295">
        <v>8</v>
      </c>
      <c r="M295">
        <v>0</v>
      </c>
      <c r="N295">
        <v>3</v>
      </c>
      <c r="Q295" t="b">
        <f t="shared" si="9"/>
        <v>0</v>
      </c>
    </row>
    <row r="296" spans="1:17">
      <c r="A296">
        <f t="shared" si="8"/>
        <v>82</v>
      </c>
      <c r="B296" t="s">
        <v>457</v>
      </c>
      <c r="C296" t="s">
        <v>1022</v>
      </c>
      <c r="D296" t="s">
        <v>1149</v>
      </c>
      <c r="E296">
        <v>28</v>
      </c>
      <c r="F296" t="s">
        <v>244</v>
      </c>
      <c r="G296" t="s">
        <v>15</v>
      </c>
      <c r="H296" t="s">
        <v>850</v>
      </c>
      <c r="I296" t="s">
        <v>459</v>
      </c>
      <c r="J296" t="s">
        <v>263</v>
      </c>
      <c r="K296">
        <v>1</v>
      </c>
      <c r="L296">
        <v>8</v>
      </c>
      <c r="M296">
        <v>0</v>
      </c>
      <c r="N296">
        <v>6</v>
      </c>
      <c r="Q296" t="b">
        <f t="shared" si="9"/>
        <v>0</v>
      </c>
    </row>
    <row r="297" spans="1:17">
      <c r="A297">
        <f t="shared" si="8"/>
        <v>82</v>
      </c>
      <c r="B297" t="s">
        <v>457</v>
      </c>
      <c r="C297" t="s">
        <v>1022</v>
      </c>
      <c r="D297" t="s">
        <v>1149</v>
      </c>
      <c r="E297">
        <v>28</v>
      </c>
      <c r="F297" t="s">
        <v>244</v>
      </c>
      <c r="G297" t="s">
        <v>15</v>
      </c>
      <c r="H297" t="s">
        <v>850</v>
      </c>
      <c r="I297" t="s">
        <v>460</v>
      </c>
      <c r="J297" t="s">
        <v>245</v>
      </c>
      <c r="K297">
        <v>800</v>
      </c>
      <c r="L297">
        <v>7</v>
      </c>
      <c r="M297">
        <v>0</v>
      </c>
      <c r="N297">
        <v>3</v>
      </c>
      <c r="Q297" t="b">
        <f t="shared" si="9"/>
        <v>0</v>
      </c>
    </row>
    <row r="298" spans="1:17">
      <c r="A298">
        <f t="shared" si="8"/>
        <v>82</v>
      </c>
      <c r="B298" t="s">
        <v>457</v>
      </c>
      <c r="C298" t="s">
        <v>1022</v>
      </c>
      <c r="D298" t="s">
        <v>1149</v>
      </c>
      <c r="E298">
        <v>28</v>
      </c>
      <c r="F298" t="s">
        <v>244</v>
      </c>
      <c r="G298" t="s">
        <v>15</v>
      </c>
      <c r="H298" t="s">
        <v>850</v>
      </c>
      <c r="I298" t="s">
        <v>460</v>
      </c>
      <c r="J298" t="s">
        <v>263</v>
      </c>
      <c r="K298">
        <v>1</v>
      </c>
      <c r="L298">
        <v>7</v>
      </c>
      <c r="M298">
        <v>0</v>
      </c>
      <c r="N298">
        <v>6</v>
      </c>
      <c r="Q298" t="b">
        <f t="shared" si="9"/>
        <v>0</v>
      </c>
    </row>
    <row r="299" spans="1:17">
      <c r="A299">
        <f t="shared" si="8"/>
        <v>82</v>
      </c>
      <c r="B299" t="s">
        <v>457</v>
      </c>
      <c r="C299" t="s">
        <v>1022</v>
      </c>
      <c r="D299" t="s">
        <v>1149</v>
      </c>
      <c r="E299">
        <v>28</v>
      </c>
      <c r="F299" t="s">
        <v>244</v>
      </c>
      <c r="G299" t="s">
        <v>15</v>
      </c>
      <c r="H299" t="s">
        <v>850</v>
      </c>
      <c r="I299" t="s">
        <v>461</v>
      </c>
      <c r="J299" t="s">
        <v>263</v>
      </c>
      <c r="K299">
        <v>1</v>
      </c>
      <c r="L299">
        <v>7</v>
      </c>
      <c r="M299">
        <v>5</v>
      </c>
      <c r="N299">
        <v>6</v>
      </c>
      <c r="Q299" t="b">
        <f t="shared" si="9"/>
        <v>0</v>
      </c>
    </row>
    <row r="300" spans="1:17">
      <c r="A300">
        <f t="shared" si="8"/>
        <v>82</v>
      </c>
      <c r="B300" t="s">
        <v>457</v>
      </c>
      <c r="C300" t="s">
        <v>1022</v>
      </c>
      <c r="D300" t="s">
        <v>1149</v>
      </c>
      <c r="E300">
        <v>28</v>
      </c>
      <c r="F300" t="s">
        <v>244</v>
      </c>
      <c r="G300" t="s">
        <v>15</v>
      </c>
      <c r="H300" t="s">
        <v>850</v>
      </c>
      <c r="I300" t="s">
        <v>462</v>
      </c>
      <c r="J300" t="s">
        <v>245</v>
      </c>
      <c r="K300">
        <v>800</v>
      </c>
      <c r="L300">
        <v>6</v>
      </c>
      <c r="M300">
        <v>3</v>
      </c>
      <c r="N300">
        <v>3</v>
      </c>
      <c r="Q300" t="b">
        <f t="shared" si="9"/>
        <v>0</v>
      </c>
    </row>
    <row r="301" spans="1:17">
      <c r="A301">
        <f t="shared" si="8"/>
        <v>82</v>
      </c>
      <c r="B301" t="s">
        <v>457</v>
      </c>
      <c r="C301" t="s">
        <v>1022</v>
      </c>
      <c r="D301" t="s">
        <v>1149</v>
      </c>
      <c r="E301">
        <v>28</v>
      </c>
      <c r="F301" t="s">
        <v>244</v>
      </c>
      <c r="G301" t="s">
        <v>15</v>
      </c>
      <c r="H301" t="s">
        <v>850</v>
      </c>
      <c r="I301" t="s">
        <v>462</v>
      </c>
      <c r="J301" t="s">
        <v>263</v>
      </c>
      <c r="K301">
        <v>1</v>
      </c>
      <c r="L301">
        <v>6</v>
      </c>
      <c r="M301">
        <v>3</v>
      </c>
      <c r="N301">
        <v>6</v>
      </c>
      <c r="Q301" t="b">
        <f t="shared" si="9"/>
        <v>0</v>
      </c>
    </row>
    <row r="302" spans="1:17">
      <c r="A302">
        <f t="shared" si="8"/>
        <v>82</v>
      </c>
      <c r="B302" t="s">
        <v>457</v>
      </c>
      <c r="C302" t="s">
        <v>1022</v>
      </c>
      <c r="D302" t="s">
        <v>1149</v>
      </c>
      <c r="E302">
        <v>28</v>
      </c>
      <c r="F302" t="s">
        <v>244</v>
      </c>
      <c r="G302" t="s">
        <v>15</v>
      </c>
      <c r="H302" t="s">
        <v>850</v>
      </c>
      <c r="I302" t="s">
        <v>463</v>
      </c>
      <c r="J302" t="s">
        <v>263</v>
      </c>
      <c r="K302">
        <v>2</v>
      </c>
      <c r="L302">
        <v>9</v>
      </c>
      <c r="M302">
        <v>2</v>
      </c>
      <c r="N302">
        <v>6</v>
      </c>
      <c r="Q302" t="b">
        <f t="shared" si="9"/>
        <v>0</v>
      </c>
    </row>
    <row r="303" spans="1:17">
      <c r="A303">
        <f t="shared" si="8"/>
        <v>82</v>
      </c>
      <c r="B303" t="s">
        <v>457</v>
      </c>
      <c r="C303" t="s">
        <v>1022</v>
      </c>
      <c r="D303" t="s">
        <v>1149</v>
      </c>
      <c r="E303">
        <v>28</v>
      </c>
      <c r="F303" t="s">
        <v>244</v>
      </c>
      <c r="G303" t="s">
        <v>15</v>
      </c>
      <c r="H303" t="s">
        <v>850</v>
      </c>
      <c r="I303" t="s">
        <v>458</v>
      </c>
      <c r="J303" t="s">
        <v>256</v>
      </c>
      <c r="K303">
        <v>30</v>
      </c>
      <c r="L303">
        <v>8</v>
      </c>
      <c r="M303">
        <v>0</v>
      </c>
      <c r="N303">
        <v>1</v>
      </c>
      <c r="Q303" t="b">
        <f t="shared" si="9"/>
        <v>0</v>
      </c>
    </row>
    <row r="304" spans="1:17">
      <c r="A304">
        <f t="shared" si="8"/>
        <v>83</v>
      </c>
      <c r="B304" t="s">
        <v>464</v>
      </c>
      <c r="C304" t="s">
        <v>1023</v>
      </c>
      <c r="D304" t="s">
        <v>1150</v>
      </c>
      <c r="E304">
        <v>31</v>
      </c>
      <c r="F304" t="s">
        <v>113</v>
      </c>
      <c r="G304" t="s">
        <v>15</v>
      </c>
      <c r="H304" t="s">
        <v>850</v>
      </c>
      <c r="I304" t="s">
        <v>466</v>
      </c>
      <c r="J304" t="s">
        <v>268</v>
      </c>
      <c r="K304">
        <v>650</v>
      </c>
      <c r="L304" t="s">
        <v>278</v>
      </c>
      <c r="M304" t="s">
        <v>278</v>
      </c>
      <c r="Q304" t="b">
        <f t="shared" si="9"/>
        <v>1</v>
      </c>
    </row>
    <row r="305" spans="1:17">
      <c r="A305">
        <f t="shared" si="8"/>
        <v>83</v>
      </c>
      <c r="B305" t="s">
        <v>464</v>
      </c>
      <c r="C305" t="s">
        <v>1023</v>
      </c>
      <c r="D305" t="s">
        <v>1150</v>
      </c>
      <c r="E305">
        <v>31</v>
      </c>
      <c r="F305" t="s">
        <v>113</v>
      </c>
      <c r="G305" t="s">
        <v>15</v>
      </c>
      <c r="H305" t="s">
        <v>850</v>
      </c>
      <c r="I305" t="s">
        <v>467</v>
      </c>
      <c r="J305" t="s">
        <v>245</v>
      </c>
      <c r="K305">
        <v>800</v>
      </c>
      <c r="L305" t="s">
        <v>278</v>
      </c>
      <c r="M305" t="s">
        <v>278</v>
      </c>
      <c r="Q305" t="b">
        <f t="shared" si="9"/>
        <v>1</v>
      </c>
    </row>
    <row r="306" spans="1:17">
      <c r="A306">
        <f t="shared" si="8"/>
        <v>83</v>
      </c>
      <c r="B306" t="s">
        <v>464</v>
      </c>
      <c r="C306" t="s">
        <v>1023</v>
      </c>
      <c r="D306" t="s">
        <v>1150</v>
      </c>
      <c r="E306">
        <v>31</v>
      </c>
      <c r="F306" t="s">
        <v>113</v>
      </c>
      <c r="G306" t="s">
        <v>15</v>
      </c>
      <c r="H306" t="s">
        <v>850</v>
      </c>
      <c r="I306" t="s">
        <v>468</v>
      </c>
      <c r="J306" t="s">
        <v>268</v>
      </c>
      <c r="K306">
        <v>650</v>
      </c>
      <c r="L306" t="s">
        <v>278</v>
      </c>
      <c r="M306" t="s">
        <v>278</v>
      </c>
      <c r="Q306" t="b">
        <f t="shared" si="9"/>
        <v>1</v>
      </c>
    </row>
    <row r="307" spans="1:17">
      <c r="A307">
        <f t="shared" si="8"/>
        <v>83</v>
      </c>
      <c r="B307" t="s">
        <v>464</v>
      </c>
      <c r="C307" t="s">
        <v>1023</v>
      </c>
      <c r="D307" t="s">
        <v>1150</v>
      </c>
      <c r="E307">
        <v>31</v>
      </c>
      <c r="F307" t="s">
        <v>113</v>
      </c>
      <c r="G307" t="s">
        <v>15</v>
      </c>
      <c r="H307" t="s">
        <v>850</v>
      </c>
      <c r="I307" t="s">
        <v>468</v>
      </c>
      <c r="J307" t="s">
        <v>245</v>
      </c>
      <c r="K307">
        <v>800</v>
      </c>
      <c r="L307" t="s">
        <v>278</v>
      </c>
      <c r="M307" t="s">
        <v>278</v>
      </c>
      <c r="Q307" t="b">
        <f t="shared" si="9"/>
        <v>1</v>
      </c>
    </row>
    <row r="308" spans="1:17">
      <c r="A308">
        <f t="shared" si="8"/>
        <v>83</v>
      </c>
      <c r="B308" t="s">
        <v>464</v>
      </c>
      <c r="C308" t="s">
        <v>1023</v>
      </c>
      <c r="D308" t="s">
        <v>1150</v>
      </c>
      <c r="E308">
        <v>31</v>
      </c>
      <c r="F308" t="s">
        <v>113</v>
      </c>
      <c r="G308" t="s">
        <v>15</v>
      </c>
      <c r="H308" t="s">
        <v>850</v>
      </c>
      <c r="I308" t="s">
        <v>465</v>
      </c>
      <c r="J308" t="s">
        <v>263</v>
      </c>
      <c r="K308">
        <v>1</v>
      </c>
      <c r="L308">
        <v>4</v>
      </c>
      <c r="M308">
        <v>2</v>
      </c>
      <c r="Q308" t="b">
        <f t="shared" si="9"/>
        <v>1</v>
      </c>
    </row>
    <row r="309" spans="1:17">
      <c r="A309">
        <f t="shared" si="8"/>
        <v>84</v>
      </c>
      <c r="B309" t="s">
        <v>469</v>
      </c>
      <c r="C309" t="s">
        <v>1024</v>
      </c>
      <c r="D309" t="s">
        <v>278</v>
      </c>
      <c r="E309">
        <v>32</v>
      </c>
      <c r="F309" t="s">
        <v>244</v>
      </c>
      <c r="G309" t="s">
        <v>15</v>
      </c>
      <c r="H309" t="s">
        <v>850</v>
      </c>
      <c r="I309" t="s">
        <v>470</v>
      </c>
      <c r="J309" t="s">
        <v>245</v>
      </c>
      <c r="K309">
        <v>800</v>
      </c>
      <c r="L309">
        <v>5</v>
      </c>
      <c r="M309">
        <v>0</v>
      </c>
      <c r="Q309" t="b">
        <f t="shared" si="9"/>
        <v>0</v>
      </c>
    </row>
    <row r="310" spans="1:17">
      <c r="A310">
        <f t="shared" si="8"/>
        <v>84</v>
      </c>
      <c r="B310" t="s">
        <v>469</v>
      </c>
      <c r="C310" t="s">
        <v>1024</v>
      </c>
      <c r="D310" t="s">
        <v>278</v>
      </c>
      <c r="E310">
        <v>32</v>
      </c>
      <c r="F310" t="s">
        <v>244</v>
      </c>
      <c r="G310" t="s">
        <v>15</v>
      </c>
      <c r="H310" t="s">
        <v>850</v>
      </c>
      <c r="I310" t="s">
        <v>471</v>
      </c>
      <c r="J310" t="s">
        <v>263</v>
      </c>
      <c r="K310">
        <v>1</v>
      </c>
      <c r="L310">
        <v>8</v>
      </c>
      <c r="M310">
        <v>0</v>
      </c>
      <c r="Q310" t="b">
        <f t="shared" si="9"/>
        <v>0</v>
      </c>
    </row>
    <row r="311" spans="1:17">
      <c r="A311">
        <f t="shared" si="8"/>
        <v>84</v>
      </c>
      <c r="B311" t="s">
        <v>469</v>
      </c>
      <c r="C311" t="s">
        <v>1024</v>
      </c>
      <c r="D311" t="s">
        <v>278</v>
      </c>
      <c r="E311">
        <v>32</v>
      </c>
      <c r="F311" t="s">
        <v>244</v>
      </c>
      <c r="G311" t="s">
        <v>15</v>
      </c>
      <c r="H311" t="s">
        <v>850</v>
      </c>
      <c r="I311" t="s">
        <v>472</v>
      </c>
      <c r="J311" t="s">
        <v>245</v>
      </c>
      <c r="K311">
        <v>800</v>
      </c>
      <c r="L311">
        <v>4</v>
      </c>
      <c r="M311">
        <v>3</v>
      </c>
      <c r="Q311" t="b">
        <f t="shared" si="9"/>
        <v>0</v>
      </c>
    </row>
    <row r="312" spans="1:17">
      <c r="A312">
        <f t="shared" si="8"/>
        <v>84</v>
      </c>
      <c r="B312" t="s">
        <v>469</v>
      </c>
      <c r="C312" t="s">
        <v>1024</v>
      </c>
      <c r="D312" t="s">
        <v>278</v>
      </c>
      <c r="E312">
        <v>32</v>
      </c>
      <c r="F312" t="s">
        <v>244</v>
      </c>
      <c r="G312" t="s">
        <v>15</v>
      </c>
      <c r="H312" t="s">
        <v>850</v>
      </c>
      <c r="I312" t="s">
        <v>473</v>
      </c>
      <c r="J312" t="s">
        <v>263</v>
      </c>
      <c r="K312">
        <v>2</v>
      </c>
      <c r="L312">
        <v>5</v>
      </c>
      <c r="M312">
        <v>2</v>
      </c>
      <c r="Q312" t="b">
        <f t="shared" si="9"/>
        <v>0</v>
      </c>
    </row>
    <row r="313" spans="1:17">
      <c r="A313">
        <f t="shared" si="8"/>
        <v>84</v>
      </c>
      <c r="B313" t="s">
        <v>469</v>
      </c>
      <c r="C313" t="s">
        <v>1024</v>
      </c>
      <c r="D313" t="s">
        <v>278</v>
      </c>
      <c r="E313">
        <v>32</v>
      </c>
      <c r="F313" t="s">
        <v>244</v>
      </c>
      <c r="G313" t="s">
        <v>15</v>
      </c>
      <c r="H313" t="s">
        <v>850</v>
      </c>
      <c r="I313" t="s">
        <v>474</v>
      </c>
      <c r="J313" t="s">
        <v>245</v>
      </c>
      <c r="K313">
        <v>800</v>
      </c>
      <c r="L313">
        <v>8</v>
      </c>
      <c r="M313">
        <v>4</v>
      </c>
      <c r="Q313" t="b">
        <f t="shared" si="9"/>
        <v>0</v>
      </c>
    </row>
    <row r="314" spans="1:17">
      <c r="A314">
        <f t="shared" si="8"/>
        <v>84</v>
      </c>
      <c r="B314" t="s">
        <v>469</v>
      </c>
      <c r="C314" t="s">
        <v>1024</v>
      </c>
      <c r="D314" t="s">
        <v>278</v>
      </c>
      <c r="E314">
        <v>32</v>
      </c>
      <c r="F314" t="s">
        <v>244</v>
      </c>
      <c r="G314" t="s">
        <v>15</v>
      </c>
      <c r="H314" t="s">
        <v>850</v>
      </c>
      <c r="I314" t="s">
        <v>474</v>
      </c>
      <c r="J314" t="s">
        <v>263</v>
      </c>
      <c r="K314">
        <v>1</v>
      </c>
      <c r="L314">
        <v>8</v>
      </c>
      <c r="M314">
        <v>4</v>
      </c>
      <c r="Q314" t="b">
        <f t="shared" si="9"/>
        <v>0</v>
      </c>
    </row>
    <row r="315" spans="1:17">
      <c r="A315">
        <f t="shared" si="8"/>
        <v>85</v>
      </c>
      <c r="B315" t="s">
        <v>475</v>
      </c>
      <c r="C315" t="s">
        <v>1025</v>
      </c>
      <c r="D315" t="s">
        <v>1151</v>
      </c>
      <c r="E315">
        <v>27</v>
      </c>
      <c r="F315" t="s">
        <v>14</v>
      </c>
      <c r="G315" t="s">
        <v>15</v>
      </c>
      <c r="H315" t="s">
        <v>850</v>
      </c>
      <c r="I315" t="s">
        <v>477</v>
      </c>
      <c r="J315" t="s">
        <v>245</v>
      </c>
      <c r="K315">
        <v>800</v>
      </c>
      <c r="L315">
        <v>7</v>
      </c>
      <c r="M315">
        <v>4</v>
      </c>
      <c r="Q315" t="b">
        <f t="shared" si="9"/>
        <v>1</v>
      </c>
    </row>
    <row r="316" spans="1:17">
      <c r="A316">
        <f t="shared" si="8"/>
        <v>85</v>
      </c>
      <c r="B316" t="s">
        <v>475</v>
      </c>
      <c r="C316" t="s">
        <v>1025</v>
      </c>
      <c r="D316" t="s">
        <v>1151</v>
      </c>
      <c r="E316">
        <v>27</v>
      </c>
      <c r="F316" t="s">
        <v>14</v>
      </c>
      <c r="G316" t="s">
        <v>15</v>
      </c>
      <c r="H316" t="s">
        <v>850</v>
      </c>
      <c r="I316" t="s">
        <v>477</v>
      </c>
      <c r="J316" t="s">
        <v>263</v>
      </c>
      <c r="K316">
        <v>1</v>
      </c>
      <c r="L316">
        <v>7</v>
      </c>
      <c r="M316">
        <v>4</v>
      </c>
      <c r="Q316" t="b">
        <f t="shared" si="9"/>
        <v>1</v>
      </c>
    </row>
    <row r="317" spans="1:17">
      <c r="A317">
        <f t="shared" si="8"/>
        <v>85</v>
      </c>
      <c r="B317" t="s">
        <v>475</v>
      </c>
      <c r="C317" t="s">
        <v>1025</v>
      </c>
      <c r="D317" t="s">
        <v>1151</v>
      </c>
      <c r="E317">
        <v>27</v>
      </c>
      <c r="F317" t="s">
        <v>14</v>
      </c>
      <c r="G317" t="s">
        <v>15</v>
      </c>
      <c r="H317" t="s">
        <v>850</v>
      </c>
      <c r="I317" t="s">
        <v>478</v>
      </c>
      <c r="J317" t="s">
        <v>245</v>
      </c>
      <c r="K317">
        <v>800</v>
      </c>
      <c r="L317">
        <v>5</v>
      </c>
      <c r="M317">
        <v>3</v>
      </c>
      <c r="Q317" t="b">
        <f t="shared" si="9"/>
        <v>1</v>
      </c>
    </row>
    <row r="318" spans="1:17">
      <c r="A318">
        <f t="shared" si="8"/>
        <v>85</v>
      </c>
      <c r="B318" t="s">
        <v>475</v>
      </c>
      <c r="C318" t="s">
        <v>1025</v>
      </c>
      <c r="D318" t="s">
        <v>1151</v>
      </c>
      <c r="E318">
        <v>27</v>
      </c>
      <c r="F318" t="s">
        <v>14</v>
      </c>
      <c r="G318" t="s">
        <v>15</v>
      </c>
      <c r="H318" t="s">
        <v>850</v>
      </c>
      <c r="I318" t="s">
        <v>479</v>
      </c>
      <c r="J318" t="s">
        <v>263</v>
      </c>
      <c r="K318">
        <v>1</v>
      </c>
      <c r="L318">
        <v>7</v>
      </c>
      <c r="M318">
        <v>2</v>
      </c>
      <c r="Q318" t="b">
        <f t="shared" si="9"/>
        <v>1</v>
      </c>
    </row>
    <row r="319" spans="1:17">
      <c r="A319">
        <f t="shared" si="8"/>
        <v>85</v>
      </c>
      <c r="B319" t="s">
        <v>475</v>
      </c>
      <c r="C319" t="s">
        <v>1025</v>
      </c>
      <c r="D319" t="s">
        <v>1151</v>
      </c>
      <c r="E319">
        <v>27</v>
      </c>
      <c r="F319" t="s">
        <v>14</v>
      </c>
      <c r="G319" t="s">
        <v>15</v>
      </c>
      <c r="H319" t="s">
        <v>850</v>
      </c>
      <c r="I319" t="s">
        <v>476</v>
      </c>
      <c r="J319" t="s">
        <v>245</v>
      </c>
      <c r="K319">
        <v>800</v>
      </c>
      <c r="L319">
        <v>7</v>
      </c>
      <c r="M319">
        <v>3</v>
      </c>
      <c r="Q319" t="b">
        <f t="shared" si="9"/>
        <v>1</v>
      </c>
    </row>
    <row r="320" spans="1:17">
      <c r="A320">
        <f t="shared" si="8"/>
        <v>85</v>
      </c>
      <c r="B320" t="s">
        <v>475</v>
      </c>
      <c r="C320" t="s">
        <v>1025</v>
      </c>
      <c r="D320" t="s">
        <v>1151</v>
      </c>
      <c r="E320">
        <v>27</v>
      </c>
      <c r="F320" t="s">
        <v>14</v>
      </c>
      <c r="G320" t="s">
        <v>15</v>
      </c>
      <c r="H320" t="s">
        <v>850</v>
      </c>
      <c r="I320" t="s">
        <v>476</v>
      </c>
      <c r="J320" t="s">
        <v>263</v>
      </c>
      <c r="K320">
        <v>1</v>
      </c>
      <c r="L320">
        <v>7</v>
      </c>
      <c r="M320">
        <v>3</v>
      </c>
      <c r="Q320" t="b">
        <f t="shared" si="9"/>
        <v>1</v>
      </c>
    </row>
    <row r="321" spans="1:17">
      <c r="A321">
        <f t="shared" si="8"/>
        <v>86</v>
      </c>
      <c r="B321" t="s">
        <v>480</v>
      </c>
      <c r="C321" t="s">
        <v>1026</v>
      </c>
      <c r="D321" t="s">
        <v>1152</v>
      </c>
      <c r="E321">
        <v>29</v>
      </c>
      <c r="F321" t="s">
        <v>14</v>
      </c>
      <c r="G321" t="s">
        <v>15</v>
      </c>
      <c r="H321" t="s">
        <v>850</v>
      </c>
      <c r="I321" t="s">
        <v>482</v>
      </c>
      <c r="J321" t="s">
        <v>245</v>
      </c>
      <c r="K321">
        <v>800</v>
      </c>
      <c r="L321">
        <v>4</v>
      </c>
      <c r="M321">
        <v>0</v>
      </c>
      <c r="Q321" t="b">
        <f t="shared" si="9"/>
        <v>0</v>
      </c>
    </row>
    <row r="322" spans="1:17">
      <c r="A322">
        <f t="shared" ref="A322:A385" si="10">IF(ROW()=2,1,IF(B322=B321,A321,A321+1))</f>
        <v>86</v>
      </c>
      <c r="B322" t="s">
        <v>480</v>
      </c>
      <c r="C322" t="s">
        <v>1026</v>
      </c>
      <c r="D322" t="s">
        <v>1152</v>
      </c>
      <c r="E322">
        <v>29</v>
      </c>
      <c r="F322" t="s">
        <v>14</v>
      </c>
      <c r="G322" t="s">
        <v>15</v>
      </c>
      <c r="H322" t="s">
        <v>850</v>
      </c>
      <c r="I322" t="s">
        <v>483</v>
      </c>
      <c r="J322" t="s">
        <v>245</v>
      </c>
      <c r="K322">
        <v>800</v>
      </c>
      <c r="L322">
        <v>3</v>
      </c>
      <c r="M322">
        <v>0</v>
      </c>
      <c r="Q322" t="b">
        <f t="shared" ref="Q322:Q385" si="11">ISODD(A322)</f>
        <v>0</v>
      </c>
    </row>
    <row r="323" spans="1:17">
      <c r="A323">
        <f t="shared" si="10"/>
        <v>86</v>
      </c>
      <c r="B323" t="s">
        <v>480</v>
      </c>
      <c r="C323" t="s">
        <v>1026</v>
      </c>
      <c r="D323" t="s">
        <v>1152</v>
      </c>
      <c r="E323">
        <v>29</v>
      </c>
      <c r="F323" t="s">
        <v>14</v>
      </c>
      <c r="G323" t="s">
        <v>15</v>
      </c>
      <c r="H323" t="s">
        <v>850</v>
      </c>
      <c r="I323" t="s">
        <v>484</v>
      </c>
      <c r="J323" t="s">
        <v>245</v>
      </c>
      <c r="K323">
        <v>800</v>
      </c>
      <c r="L323">
        <v>4</v>
      </c>
      <c r="M323">
        <v>0</v>
      </c>
      <c r="Q323" t="b">
        <f t="shared" si="11"/>
        <v>0</v>
      </c>
    </row>
    <row r="324" spans="1:17">
      <c r="A324">
        <f t="shared" si="10"/>
        <v>86</v>
      </c>
      <c r="B324" t="s">
        <v>480</v>
      </c>
      <c r="C324" t="s">
        <v>1026</v>
      </c>
      <c r="D324" t="s">
        <v>1152</v>
      </c>
      <c r="E324">
        <v>29</v>
      </c>
      <c r="F324" t="s">
        <v>14</v>
      </c>
      <c r="G324" t="s">
        <v>15</v>
      </c>
      <c r="H324" t="s">
        <v>850</v>
      </c>
      <c r="I324" t="s">
        <v>481</v>
      </c>
      <c r="J324" t="s">
        <v>245</v>
      </c>
      <c r="K324">
        <v>800</v>
      </c>
      <c r="L324">
        <v>3</v>
      </c>
      <c r="M324">
        <v>0</v>
      </c>
      <c r="Q324" t="b">
        <f t="shared" si="11"/>
        <v>0</v>
      </c>
    </row>
    <row r="325" spans="1:17">
      <c r="A325">
        <f t="shared" si="10"/>
        <v>87</v>
      </c>
      <c r="B325" t="s">
        <v>485</v>
      </c>
      <c r="C325" t="s">
        <v>1027</v>
      </c>
      <c r="D325" t="s">
        <v>1153</v>
      </c>
      <c r="E325">
        <v>21</v>
      </c>
      <c r="F325" t="s">
        <v>14</v>
      </c>
      <c r="G325" t="s">
        <v>15</v>
      </c>
      <c r="H325" t="s">
        <v>850</v>
      </c>
      <c r="I325" t="s">
        <v>487</v>
      </c>
      <c r="J325" t="s">
        <v>245</v>
      </c>
      <c r="K325">
        <v>800</v>
      </c>
      <c r="L325">
        <v>3</v>
      </c>
      <c r="M325">
        <v>2</v>
      </c>
      <c r="Q325" t="b">
        <f t="shared" si="11"/>
        <v>1</v>
      </c>
    </row>
    <row r="326" spans="1:17">
      <c r="A326">
        <f t="shared" si="10"/>
        <v>87</v>
      </c>
      <c r="B326" t="s">
        <v>485</v>
      </c>
      <c r="C326" t="s">
        <v>1027</v>
      </c>
      <c r="D326" t="s">
        <v>1153</v>
      </c>
      <c r="E326">
        <v>21</v>
      </c>
      <c r="F326" t="s">
        <v>14</v>
      </c>
      <c r="G326" t="s">
        <v>15</v>
      </c>
      <c r="H326" t="s">
        <v>850</v>
      </c>
      <c r="I326" t="s">
        <v>486</v>
      </c>
      <c r="J326" t="s">
        <v>263</v>
      </c>
      <c r="K326">
        <v>1</v>
      </c>
      <c r="L326">
        <v>3</v>
      </c>
      <c r="M326">
        <v>2</v>
      </c>
      <c r="Q326" t="b">
        <f t="shared" si="11"/>
        <v>1</v>
      </c>
    </row>
    <row r="327" spans="1:17">
      <c r="A327">
        <f t="shared" si="10"/>
        <v>87</v>
      </c>
      <c r="B327" t="s">
        <v>485</v>
      </c>
      <c r="C327" t="s">
        <v>1027</v>
      </c>
      <c r="D327" t="s">
        <v>1153</v>
      </c>
      <c r="E327">
        <v>21</v>
      </c>
      <c r="F327" t="s">
        <v>14</v>
      </c>
      <c r="G327" t="s">
        <v>15</v>
      </c>
      <c r="H327" t="s">
        <v>850</v>
      </c>
      <c r="I327" t="s">
        <v>486</v>
      </c>
      <c r="J327" t="s">
        <v>245</v>
      </c>
      <c r="K327">
        <v>800</v>
      </c>
      <c r="L327">
        <v>4</v>
      </c>
      <c r="M327">
        <v>2</v>
      </c>
      <c r="Q327" t="b">
        <f t="shared" si="11"/>
        <v>1</v>
      </c>
    </row>
    <row r="328" spans="1:17">
      <c r="A328">
        <f t="shared" si="10"/>
        <v>88</v>
      </c>
      <c r="B328" t="s">
        <v>488</v>
      </c>
      <c r="C328" t="s">
        <v>1028</v>
      </c>
      <c r="D328" t="s">
        <v>278</v>
      </c>
      <c r="E328">
        <v>24</v>
      </c>
      <c r="F328" t="s">
        <v>14</v>
      </c>
      <c r="G328" t="s">
        <v>15</v>
      </c>
      <c r="H328" t="s">
        <v>850</v>
      </c>
      <c r="I328" t="s">
        <v>489</v>
      </c>
      <c r="J328" t="s">
        <v>245</v>
      </c>
      <c r="K328">
        <v>800</v>
      </c>
      <c r="L328">
        <v>7</v>
      </c>
      <c r="M328">
        <v>0</v>
      </c>
      <c r="N328">
        <v>2</v>
      </c>
      <c r="Q328" t="b">
        <f t="shared" si="11"/>
        <v>0</v>
      </c>
    </row>
    <row r="329" spans="1:17">
      <c r="A329">
        <f t="shared" si="10"/>
        <v>88</v>
      </c>
      <c r="B329" t="s">
        <v>488</v>
      </c>
      <c r="C329" t="s">
        <v>1028</v>
      </c>
      <c r="D329" t="s">
        <v>278</v>
      </c>
      <c r="E329">
        <v>24</v>
      </c>
      <c r="F329" t="s">
        <v>14</v>
      </c>
      <c r="G329" t="s">
        <v>15</v>
      </c>
      <c r="H329" t="s">
        <v>850</v>
      </c>
      <c r="I329" t="s">
        <v>490</v>
      </c>
      <c r="J329" t="s">
        <v>385</v>
      </c>
      <c r="K329">
        <v>1</v>
      </c>
      <c r="L329">
        <v>8</v>
      </c>
      <c r="M329">
        <v>2</v>
      </c>
      <c r="N329">
        <v>2</v>
      </c>
      <c r="Q329" t="b">
        <f t="shared" si="11"/>
        <v>0</v>
      </c>
    </row>
    <row r="330" spans="1:17">
      <c r="A330">
        <f t="shared" si="10"/>
        <v>88</v>
      </c>
      <c r="B330" t="s">
        <v>488</v>
      </c>
      <c r="C330" t="s">
        <v>1028</v>
      </c>
      <c r="D330" t="s">
        <v>278</v>
      </c>
      <c r="E330">
        <v>24</v>
      </c>
      <c r="F330" t="s">
        <v>14</v>
      </c>
      <c r="G330" t="s">
        <v>15</v>
      </c>
      <c r="H330" t="s">
        <v>850</v>
      </c>
      <c r="I330" t="s">
        <v>491</v>
      </c>
      <c r="J330" t="s">
        <v>385</v>
      </c>
      <c r="K330">
        <v>1</v>
      </c>
      <c r="L330">
        <v>8</v>
      </c>
      <c r="M330">
        <v>2</v>
      </c>
      <c r="N330">
        <v>2</v>
      </c>
      <c r="Q330" t="b">
        <f t="shared" si="11"/>
        <v>0</v>
      </c>
    </row>
    <row r="331" spans="1:17">
      <c r="A331">
        <f t="shared" si="10"/>
        <v>88</v>
      </c>
      <c r="B331" t="s">
        <v>488</v>
      </c>
      <c r="C331" t="s">
        <v>1028</v>
      </c>
      <c r="D331" t="s">
        <v>278</v>
      </c>
      <c r="E331">
        <v>24</v>
      </c>
      <c r="F331" t="s">
        <v>14</v>
      </c>
      <c r="G331" t="s">
        <v>15</v>
      </c>
      <c r="H331" t="s">
        <v>850</v>
      </c>
      <c r="I331" t="s">
        <v>492</v>
      </c>
      <c r="J331" t="s">
        <v>263</v>
      </c>
      <c r="K331">
        <v>1</v>
      </c>
      <c r="L331">
        <v>9</v>
      </c>
      <c r="M331">
        <v>6</v>
      </c>
      <c r="N331">
        <v>6</v>
      </c>
      <c r="Q331" t="b">
        <f t="shared" si="11"/>
        <v>0</v>
      </c>
    </row>
    <row r="332" spans="1:17">
      <c r="A332">
        <f t="shared" si="10"/>
        <v>88</v>
      </c>
      <c r="B332" t="s">
        <v>488</v>
      </c>
      <c r="C332" t="s">
        <v>1028</v>
      </c>
      <c r="D332" t="s">
        <v>278</v>
      </c>
      <c r="E332">
        <v>24</v>
      </c>
      <c r="F332" t="s">
        <v>14</v>
      </c>
      <c r="G332" t="s">
        <v>15</v>
      </c>
      <c r="H332" t="s">
        <v>850</v>
      </c>
      <c r="I332" t="s">
        <v>493</v>
      </c>
      <c r="J332" t="s">
        <v>263</v>
      </c>
      <c r="K332">
        <v>1</v>
      </c>
      <c r="L332">
        <v>8</v>
      </c>
      <c r="M332">
        <v>4</v>
      </c>
      <c r="N332">
        <v>6</v>
      </c>
      <c r="Q332" t="b">
        <f t="shared" si="11"/>
        <v>0</v>
      </c>
    </row>
    <row r="333" spans="1:17">
      <c r="A333">
        <f t="shared" si="10"/>
        <v>88</v>
      </c>
      <c r="B333" t="s">
        <v>488</v>
      </c>
      <c r="C333" t="s">
        <v>1028</v>
      </c>
      <c r="D333" t="s">
        <v>278</v>
      </c>
      <c r="E333">
        <v>24</v>
      </c>
      <c r="F333" t="s">
        <v>14</v>
      </c>
      <c r="G333" t="s">
        <v>15</v>
      </c>
      <c r="H333" t="s">
        <v>850</v>
      </c>
      <c r="I333" t="s">
        <v>494</v>
      </c>
      <c r="J333" t="s">
        <v>263</v>
      </c>
      <c r="K333">
        <v>2</v>
      </c>
      <c r="L333">
        <v>7</v>
      </c>
      <c r="M333">
        <v>4</v>
      </c>
      <c r="N333">
        <v>6</v>
      </c>
      <c r="Q333" t="b">
        <f t="shared" si="11"/>
        <v>0</v>
      </c>
    </row>
    <row r="334" spans="1:17">
      <c r="A334">
        <f t="shared" si="10"/>
        <v>88</v>
      </c>
      <c r="B334" t="s">
        <v>488</v>
      </c>
      <c r="C334" t="s">
        <v>1028</v>
      </c>
      <c r="D334" t="s">
        <v>278</v>
      </c>
      <c r="E334">
        <v>24</v>
      </c>
      <c r="F334" t="s">
        <v>14</v>
      </c>
      <c r="G334" t="s">
        <v>15</v>
      </c>
      <c r="H334" t="s">
        <v>850</v>
      </c>
      <c r="I334" t="s">
        <v>495</v>
      </c>
      <c r="J334" t="s">
        <v>245</v>
      </c>
      <c r="K334">
        <v>800</v>
      </c>
      <c r="L334">
        <v>5</v>
      </c>
      <c r="M334">
        <v>4</v>
      </c>
      <c r="N334">
        <v>2</v>
      </c>
      <c r="Q334" t="b">
        <f t="shared" si="11"/>
        <v>0</v>
      </c>
    </row>
    <row r="335" spans="1:17">
      <c r="A335">
        <f t="shared" si="10"/>
        <v>88</v>
      </c>
      <c r="B335" t="s">
        <v>488</v>
      </c>
      <c r="C335" t="s">
        <v>1028</v>
      </c>
      <c r="D335" t="s">
        <v>278</v>
      </c>
      <c r="E335">
        <v>24</v>
      </c>
      <c r="F335" t="s">
        <v>14</v>
      </c>
      <c r="G335" t="s">
        <v>15</v>
      </c>
      <c r="H335" t="s">
        <v>850</v>
      </c>
      <c r="I335" t="s">
        <v>496</v>
      </c>
      <c r="J335" t="s">
        <v>263</v>
      </c>
      <c r="K335">
        <v>2</v>
      </c>
      <c r="L335">
        <v>7</v>
      </c>
      <c r="M335">
        <v>3</v>
      </c>
      <c r="N335">
        <v>6</v>
      </c>
      <c r="Q335" t="b">
        <f t="shared" si="11"/>
        <v>0</v>
      </c>
    </row>
    <row r="336" spans="1:17">
      <c r="A336">
        <f t="shared" si="10"/>
        <v>89</v>
      </c>
      <c r="B336" t="s">
        <v>497</v>
      </c>
      <c r="C336" t="s">
        <v>1029</v>
      </c>
      <c r="D336" t="s">
        <v>1154</v>
      </c>
      <c r="E336">
        <v>34</v>
      </c>
      <c r="F336" t="s">
        <v>14</v>
      </c>
      <c r="G336" t="s">
        <v>30</v>
      </c>
      <c r="H336" t="s">
        <v>850</v>
      </c>
      <c r="I336" t="s">
        <v>499</v>
      </c>
      <c r="J336" t="s">
        <v>256</v>
      </c>
      <c r="K336">
        <v>30</v>
      </c>
      <c r="L336">
        <v>4</v>
      </c>
      <c r="M336">
        <v>0</v>
      </c>
      <c r="N336">
        <v>4</v>
      </c>
      <c r="Q336" t="b">
        <f t="shared" si="11"/>
        <v>1</v>
      </c>
    </row>
    <row r="337" spans="1:17">
      <c r="A337">
        <f t="shared" si="10"/>
        <v>89</v>
      </c>
      <c r="B337" t="s">
        <v>497</v>
      </c>
      <c r="C337" t="s">
        <v>1029</v>
      </c>
      <c r="D337" t="s">
        <v>1154</v>
      </c>
      <c r="E337">
        <v>34</v>
      </c>
      <c r="F337" t="s">
        <v>14</v>
      </c>
      <c r="G337" t="s">
        <v>30</v>
      </c>
      <c r="H337" t="s">
        <v>850</v>
      </c>
      <c r="I337" t="s">
        <v>500</v>
      </c>
      <c r="J337" t="s">
        <v>256</v>
      </c>
      <c r="K337">
        <v>30</v>
      </c>
      <c r="L337">
        <v>4</v>
      </c>
      <c r="M337">
        <v>0</v>
      </c>
      <c r="N337">
        <v>4</v>
      </c>
      <c r="Q337" t="b">
        <f t="shared" si="11"/>
        <v>1</v>
      </c>
    </row>
    <row r="338" spans="1:17">
      <c r="A338">
        <f t="shared" si="10"/>
        <v>89</v>
      </c>
      <c r="B338" t="s">
        <v>497</v>
      </c>
      <c r="C338" t="s">
        <v>1029</v>
      </c>
      <c r="D338" t="s">
        <v>1154</v>
      </c>
      <c r="E338">
        <v>34</v>
      </c>
      <c r="F338" t="s">
        <v>14</v>
      </c>
      <c r="G338" t="s">
        <v>30</v>
      </c>
      <c r="H338" t="s">
        <v>850</v>
      </c>
      <c r="I338" t="s">
        <v>501</v>
      </c>
      <c r="J338" t="s">
        <v>256</v>
      </c>
      <c r="K338">
        <v>30</v>
      </c>
      <c r="L338">
        <v>5</v>
      </c>
      <c r="M338">
        <v>1</v>
      </c>
      <c r="N338">
        <v>4</v>
      </c>
      <c r="Q338" t="b">
        <f t="shared" si="11"/>
        <v>1</v>
      </c>
    </row>
    <row r="339" spans="1:17">
      <c r="A339">
        <f t="shared" si="10"/>
        <v>89</v>
      </c>
      <c r="B339" t="s">
        <v>497</v>
      </c>
      <c r="C339" t="s">
        <v>1029</v>
      </c>
      <c r="D339" t="s">
        <v>1154</v>
      </c>
      <c r="E339">
        <v>34</v>
      </c>
      <c r="F339" t="s">
        <v>14</v>
      </c>
      <c r="G339" t="s">
        <v>30</v>
      </c>
      <c r="H339" t="s">
        <v>850</v>
      </c>
      <c r="I339" t="s">
        <v>502</v>
      </c>
      <c r="J339" t="s">
        <v>256</v>
      </c>
      <c r="K339">
        <v>30</v>
      </c>
      <c r="L339">
        <v>7</v>
      </c>
      <c r="M339">
        <v>3</v>
      </c>
      <c r="N339">
        <v>4</v>
      </c>
      <c r="Q339" t="b">
        <f t="shared" si="11"/>
        <v>1</v>
      </c>
    </row>
    <row r="340" spans="1:17">
      <c r="A340">
        <f t="shared" si="10"/>
        <v>89</v>
      </c>
      <c r="B340" t="s">
        <v>497</v>
      </c>
      <c r="C340" t="s">
        <v>1029</v>
      </c>
      <c r="D340" t="s">
        <v>1154</v>
      </c>
      <c r="E340">
        <v>34</v>
      </c>
      <c r="F340" t="s">
        <v>14</v>
      </c>
      <c r="G340" t="s">
        <v>30</v>
      </c>
      <c r="H340" t="s">
        <v>850</v>
      </c>
      <c r="I340" t="s">
        <v>498</v>
      </c>
      <c r="J340" t="s">
        <v>263</v>
      </c>
      <c r="K340">
        <v>1</v>
      </c>
      <c r="L340">
        <v>6</v>
      </c>
      <c r="M340">
        <v>1</v>
      </c>
      <c r="N340">
        <v>1</v>
      </c>
      <c r="Q340" t="b">
        <f t="shared" si="11"/>
        <v>1</v>
      </c>
    </row>
    <row r="341" spans="1:17">
      <c r="A341">
        <f t="shared" si="10"/>
        <v>90</v>
      </c>
      <c r="B341" t="s">
        <v>503</v>
      </c>
      <c r="C341" t="s">
        <v>1030</v>
      </c>
      <c r="D341" t="s">
        <v>1155</v>
      </c>
      <c r="E341">
        <v>27</v>
      </c>
      <c r="F341" t="s">
        <v>14</v>
      </c>
      <c r="G341" t="s">
        <v>15</v>
      </c>
      <c r="H341" t="s">
        <v>850</v>
      </c>
      <c r="I341" t="s">
        <v>26</v>
      </c>
      <c r="J341" t="s">
        <v>26</v>
      </c>
      <c r="K341" t="s">
        <v>26</v>
      </c>
      <c r="L341" t="s">
        <v>26</v>
      </c>
      <c r="M341" t="s">
        <v>26</v>
      </c>
      <c r="N341" t="s">
        <v>26</v>
      </c>
      <c r="Q341" t="b">
        <f t="shared" si="11"/>
        <v>0</v>
      </c>
    </row>
    <row r="342" spans="1:17">
      <c r="A342">
        <f t="shared" si="10"/>
        <v>91</v>
      </c>
      <c r="B342" t="s">
        <v>504</v>
      </c>
      <c r="C342" t="s">
        <v>1031</v>
      </c>
      <c r="D342" t="s">
        <v>1156</v>
      </c>
      <c r="E342">
        <v>34</v>
      </c>
      <c r="F342" t="s">
        <v>14</v>
      </c>
      <c r="G342" t="s">
        <v>15</v>
      </c>
      <c r="H342" t="s">
        <v>850</v>
      </c>
      <c r="I342" t="s">
        <v>506</v>
      </c>
      <c r="J342" t="s">
        <v>263</v>
      </c>
      <c r="K342">
        <v>1</v>
      </c>
      <c r="L342">
        <v>2</v>
      </c>
      <c r="M342">
        <v>1</v>
      </c>
      <c r="N342">
        <v>8</v>
      </c>
      <c r="Q342" t="b">
        <f t="shared" si="11"/>
        <v>1</v>
      </c>
    </row>
    <row r="343" spans="1:17">
      <c r="A343">
        <f t="shared" si="10"/>
        <v>91</v>
      </c>
      <c r="B343" t="s">
        <v>504</v>
      </c>
      <c r="C343" t="s">
        <v>1031</v>
      </c>
      <c r="D343" t="s">
        <v>1156</v>
      </c>
      <c r="E343">
        <v>34</v>
      </c>
      <c r="F343" t="s">
        <v>14</v>
      </c>
      <c r="G343" t="s">
        <v>15</v>
      </c>
      <c r="H343" t="s">
        <v>850</v>
      </c>
      <c r="I343" t="s">
        <v>507</v>
      </c>
      <c r="J343" t="s">
        <v>263</v>
      </c>
      <c r="K343">
        <v>1</v>
      </c>
      <c r="L343">
        <v>2</v>
      </c>
      <c r="M343">
        <v>1</v>
      </c>
      <c r="N343">
        <v>8</v>
      </c>
      <c r="Q343" t="b">
        <f t="shared" si="11"/>
        <v>1</v>
      </c>
    </row>
    <row r="344" spans="1:17">
      <c r="A344">
        <f t="shared" si="10"/>
        <v>91</v>
      </c>
      <c r="B344" t="s">
        <v>504</v>
      </c>
      <c r="C344" t="s">
        <v>1031</v>
      </c>
      <c r="D344" t="s">
        <v>1156</v>
      </c>
      <c r="E344">
        <v>34</v>
      </c>
      <c r="F344" t="s">
        <v>14</v>
      </c>
      <c r="G344" t="s">
        <v>15</v>
      </c>
      <c r="H344" t="s">
        <v>850</v>
      </c>
      <c r="I344" t="s">
        <v>508</v>
      </c>
      <c r="J344" t="s">
        <v>263</v>
      </c>
      <c r="K344">
        <v>2</v>
      </c>
      <c r="L344">
        <v>6</v>
      </c>
      <c r="M344">
        <v>2</v>
      </c>
      <c r="N344">
        <v>8</v>
      </c>
      <c r="Q344" t="b">
        <f t="shared" si="11"/>
        <v>1</v>
      </c>
    </row>
    <row r="345" spans="1:17">
      <c r="A345">
        <f t="shared" si="10"/>
        <v>91</v>
      </c>
      <c r="B345" t="s">
        <v>504</v>
      </c>
      <c r="C345" t="s">
        <v>1031</v>
      </c>
      <c r="D345" t="s">
        <v>1156</v>
      </c>
      <c r="E345">
        <v>34</v>
      </c>
      <c r="F345" t="s">
        <v>14</v>
      </c>
      <c r="G345" t="s">
        <v>15</v>
      </c>
      <c r="H345" t="s">
        <v>850</v>
      </c>
      <c r="I345" t="s">
        <v>509</v>
      </c>
      <c r="J345" t="s">
        <v>263</v>
      </c>
      <c r="K345">
        <v>2</v>
      </c>
      <c r="L345" t="s">
        <v>278</v>
      </c>
      <c r="M345" t="s">
        <v>278</v>
      </c>
      <c r="O345" t="s">
        <v>512</v>
      </c>
      <c r="Q345" t="b">
        <f t="shared" si="11"/>
        <v>1</v>
      </c>
    </row>
    <row r="346" spans="1:17">
      <c r="A346">
        <f t="shared" si="10"/>
        <v>91</v>
      </c>
      <c r="B346" t="s">
        <v>504</v>
      </c>
      <c r="C346" t="s">
        <v>1031</v>
      </c>
      <c r="D346" t="s">
        <v>1156</v>
      </c>
      <c r="E346">
        <v>34</v>
      </c>
      <c r="F346" t="s">
        <v>14</v>
      </c>
      <c r="G346" t="s">
        <v>15</v>
      </c>
      <c r="H346" t="s">
        <v>850</v>
      </c>
      <c r="I346" t="s">
        <v>510</v>
      </c>
      <c r="J346" t="s">
        <v>263</v>
      </c>
      <c r="K346">
        <v>2</v>
      </c>
      <c r="L346">
        <v>2</v>
      </c>
      <c r="M346">
        <v>2</v>
      </c>
      <c r="N346">
        <v>8</v>
      </c>
      <c r="Q346" t="b">
        <f t="shared" si="11"/>
        <v>1</v>
      </c>
    </row>
    <row r="347" spans="1:17">
      <c r="A347">
        <f t="shared" si="10"/>
        <v>91</v>
      </c>
      <c r="B347" t="s">
        <v>504</v>
      </c>
      <c r="C347" t="s">
        <v>1031</v>
      </c>
      <c r="D347" t="s">
        <v>1156</v>
      </c>
      <c r="E347">
        <v>34</v>
      </c>
      <c r="F347" t="s">
        <v>14</v>
      </c>
      <c r="G347" t="s">
        <v>15</v>
      </c>
      <c r="H347" t="s">
        <v>850</v>
      </c>
      <c r="I347" t="s">
        <v>511</v>
      </c>
      <c r="J347" t="s">
        <v>263</v>
      </c>
      <c r="K347">
        <v>2</v>
      </c>
      <c r="L347">
        <v>5</v>
      </c>
      <c r="M347">
        <v>2</v>
      </c>
      <c r="N347">
        <v>8</v>
      </c>
      <c r="Q347" t="b">
        <f t="shared" si="11"/>
        <v>1</v>
      </c>
    </row>
    <row r="348" spans="1:17">
      <c r="A348">
        <f t="shared" si="10"/>
        <v>91</v>
      </c>
      <c r="B348" t="s">
        <v>504</v>
      </c>
      <c r="C348" t="s">
        <v>1031</v>
      </c>
      <c r="D348" t="s">
        <v>1156</v>
      </c>
      <c r="E348">
        <v>34</v>
      </c>
      <c r="F348" t="s">
        <v>14</v>
      </c>
      <c r="G348" t="s">
        <v>15</v>
      </c>
      <c r="H348" t="s">
        <v>850</v>
      </c>
      <c r="I348" t="s">
        <v>505</v>
      </c>
      <c r="J348" t="s">
        <v>263</v>
      </c>
      <c r="K348">
        <v>2</v>
      </c>
      <c r="L348" t="s">
        <v>278</v>
      </c>
      <c r="M348" t="s">
        <v>278</v>
      </c>
      <c r="O348" t="s">
        <v>512</v>
      </c>
      <c r="Q348" t="b">
        <f t="shared" si="11"/>
        <v>1</v>
      </c>
    </row>
    <row r="349" spans="1:17">
      <c r="A349">
        <f t="shared" si="10"/>
        <v>92</v>
      </c>
      <c r="B349" t="s">
        <v>513</v>
      </c>
      <c r="C349" t="s">
        <v>1032</v>
      </c>
      <c r="D349" t="s">
        <v>1157</v>
      </c>
      <c r="E349">
        <v>23</v>
      </c>
      <c r="F349" t="s">
        <v>244</v>
      </c>
      <c r="G349" t="s">
        <v>15</v>
      </c>
      <c r="H349" t="s">
        <v>850</v>
      </c>
      <c r="I349" t="s">
        <v>515</v>
      </c>
      <c r="J349" t="s">
        <v>245</v>
      </c>
      <c r="K349">
        <v>800</v>
      </c>
      <c r="L349" t="s">
        <v>278</v>
      </c>
      <c r="M349" t="s">
        <v>278</v>
      </c>
      <c r="Q349" t="b">
        <f t="shared" si="11"/>
        <v>0</v>
      </c>
    </row>
    <row r="350" spans="1:17">
      <c r="A350">
        <f t="shared" si="10"/>
        <v>92</v>
      </c>
      <c r="B350" t="s">
        <v>513</v>
      </c>
      <c r="C350" t="s">
        <v>1032</v>
      </c>
      <c r="D350" t="s">
        <v>1157</v>
      </c>
      <c r="E350">
        <v>23</v>
      </c>
      <c r="F350" t="s">
        <v>244</v>
      </c>
      <c r="G350" t="s">
        <v>15</v>
      </c>
      <c r="H350" t="s">
        <v>850</v>
      </c>
      <c r="I350" t="s">
        <v>516</v>
      </c>
      <c r="J350" t="s">
        <v>245</v>
      </c>
      <c r="K350">
        <v>800</v>
      </c>
      <c r="L350" t="s">
        <v>278</v>
      </c>
      <c r="M350" t="s">
        <v>278</v>
      </c>
      <c r="Q350" t="b">
        <f t="shared" si="11"/>
        <v>0</v>
      </c>
    </row>
    <row r="351" spans="1:17">
      <c r="A351">
        <f t="shared" si="10"/>
        <v>92</v>
      </c>
      <c r="B351" t="s">
        <v>513</v>
      </c>
      <c r="C351" t="s">
        <v>1032</v>
      </c>
      <c r="D351" t="s">
        <v>1157</v>
      </c>
      <c r="E351">
        <v>23</v>
      </c>
      <c r="F351" t="s">
        <v>244</v>
      </c>
      <c r="G351" t="s">
        <v>15</v>
      </c>
      <c r="H351" t="s">
        <v>850</v>
      </c>
      <c r="I351" t="s">
        <v>517</v>
      </c>
      <c r="J351" t="s">
        <v>245</v>
      </c>
      <c r="K351">
        <v>800</v>
      </c>
      <c r="L351" t="s">
        <v>278</v>
      </c>
      <c r="M351" t="s">
        <v>278</v>
      </c>
      <c r="Q351" t="b">
        <f t="shared" si="11"/>
        <v>0</v>
      </c>
    </row>
    <row r="352" spans="1:17">
      <c r="A352">
        <f t="shared" si="10"/>
        <v>92</v>
      </c>
      <c r="B352" t="s">
        <v>513</v>
      </c>
      <c r="C352" t="s">
        <v>1032</v>
      </c>
      <c r="D352" t="s">
        <v>1157</v>
      </c>
      <c r="E352">
        <v>23</v>
      </c>
      <c r="F352" t="s">
        <v>244</v>
      </c>
      <c r="G352" t="s">
        <v>15</v>
      </c>
      <c r="H352" t="s">
        <v>850</v>
      </c>
      <c r="I352" t="s">
        <v>514</v>
      </c>
      <c r="J352" t="s">
        <v>385</v>
      </c>
      <c r="K352">
        <v>1</v>
      </c>
      <c r="L352">
        <v>5</v>
      </c>
      <c r="M352">
        <v>0</v>
      </c>
      <c r="N352">
        <v>1</v>
      </c>
      <c r="Q352" t="b">
        <f t="shared" si="11"/>
        <v>0</v>
      </c>
    </row>
    <row r="353" spans="1:17">
      <c r="A353">
        <f t="shared" si="10"/>
        <v>93</v>
      </c>
      <c r="B353" t="s">
        <v>518</v>
      </c>
      <c r="C353" t="s">
        <v>1033</v>
      </c>
      <c r="D353" t="s">
        <v>1158</v>
      </c>
      <c r="E353">
        <v>30</v>
      </c>
      <c r="F353" t="s">
        <v>14</v>
      </c>
      <c r="G353" t="s">
        <v>30</v>
      </c>
      <c r="H353" t="s">
        <v>850</v>
      </c>
      <c r="I353" t="s">
        <v>520</v>
      </c>
      <c r="J353" t="s">
        <v>256</v>
      </c>
      <c r="K353">
        <v>30</v>
      </c>
      <c r="L353">
        <v>0</v>
      </c>
      <c r="M353">
        <v>0</v>
      </c>
      <c r="Q353" t="b">
        <f t="shared" si="11"/>
        <v>1</v>
      </c>
    </row>
    <row r="354" spans="1:17">
      <c r="A354">
        <f t="shared" si="10"/>
        <v>93</v>
      </c>
      <c r="B354" t="s">
        <v>518</v>
      </c>
      <c r="C354" t="s">
        <v>1033</v>
      </c>
      <c r="D354" t="s">
        <v>1158</v>
      </c>
      <c r="E354">
        <v>30</v>
      </c>
      <c r="F354" t="s">
        <v>14</v>
      </c>
      <c r="G354" t="s">
        <v>30</v>
      </c>
      <c r="H354" t="s">
        <v>850</v>
      </c>
      <c r="I354" t="s">
        <v>521</v>
      </c>
      <c r="J354" t="s">
        <v>256</v>
      </c>
      <c r="K354">
        <v>30</v>
      </c>
      <c r="L354">
        <v>0</v>
      </c>
      <c r="M354">
        <v>0</v>
      </c>
      <c r="Q354" t="b">
        <f t="shared" si="11"/>
        <v>1</v>
      </c>
    </row>
    <row r="355" spans="1:17">
      <c r="A355">
        <f t="shared" si="10"/>
        <v>93</v>
      </c>
      <c r="B355" t="s">
        <v>518</v>
      </c>
      <c r="C355" t="s">
        <v>1033</v>
      </c>
      <c r="D355" t="s">
        <v>1158</v>
      </c>
      <c r="E355">
        <v>30</v>
      </c>
      <c r="F355" t="s">
        <v>14</v>
      </c>
      <c r="G355" t="s">
        <v>30</v>
      </c>
      <c r="H355" t="s">
        <v>850</v>
      </c>
      <c r="I355" t="s">
        <v>522</v>
      </c>
      <c r="J355" t="s">
        <v>256</v>
      </c>
      <c r="K355">
        <v>30</v>
      </c>
      <c r="L355">
        <v>0</v>
      </c>
      <c r="M355">
        <v>0</v>
      </c>
      <c r="Q355" t="b">
        <f t="shared" si="11"/>
        <v>1</v>
      </c>
    </row>
    <row r="356" spans="1:17">
      <c r="A356">
        <f t="shared" si="10"/>
        <v>93</v>
      </c>
      <c r="B356" t="s">
        <v>518</v>
      </c>
      <c r="C356" t="s">
        <v>1033</v>
      </c>
      <c r="D356" t="s">
        <v>1158</v>
      </c>
      <c r="E356">
        <v>30</v>
      </c>
      <c r="F356" t="s">
        <v>14</v>
      </c>
      <c r="G356" t="s">
        <v>30</v>
      </c>
      <c r="H356" t="s">
        <v>850</v>
      </c>
      <c r="I356" t="s">
        <v>519</v>
      </c>
      <c r="J356" t="s">
        <v>256</v>
      </c>
      <c r="K356">
        <v>30</v>
      </c>
      <c r="L356">
        <v>1</v>
      </c>
      <c r="M356">
        <v>0</v>
      </c>
      <c r="Q356" t="b">
        <f t="shared" si="11"/>
        <v>1</v>
      </c>
    </row>
    <row r="357" spans="1:17">
      <c r="A357">
        <f t="shared" si="10"/>
        <v>94</v>
      </c>
      <c r="B357" t="s">
        <v>523</v>
      </c>
      <c r="C357" t="s">
        <v>1034</v>
      </c>
      <c r="D357" t="s">
        <v>1159</v>
      </c>
      <c r="E357">
        <v>26</v>
      </c>
      <c r="F357" t="s">
        <v>244</v>
      </c>
      <c r="G357" t="s">
        <v>15</v>
      </c>
      <c r="H357" t="s">
        <v>850</v>
      </c>
      <c r="I357" t="s">
        <v>524</v>
      </c>
      <c r="J357" t="s">
        <v>245</v>
      </c>
      <c r="K357">
        <v>800</v>
      </c>
      <c r="L357">
        <v>2</v>
      </c>
      <c r="M357">
        <v>0</v>
      </c>
      <c r="Q357" t="b">
        <f t="shared" si="11"/>
        <v>0</v>
      </c>
    </row>
    <row r="358" spans="1:17">
      <c r="A358">
        <f t="shared" si="10"/>
        <v>95</v>
      </c>
      <c r="B358" t="s">
        <v>525</v>
      </c>
      <c r="C358" t="s">
        <v>1035</v>
      </c>
      <c r="D358" s="2">
        <v>43280</v>
      </c>
      <c r="E358">
        <v>25</v>
      </c>
      <c r="F358" t="s">
        <v>244</v>
      </c>
      <c r="G358" t="s">
        <v>30</v>
      </c>
      <c r="H358" t="s">
        <v>850</v>
      </c>
      <c r="I358" t="s">
        <v>526</v>
      </c>
      <c r="J358" t="s">
        <v>245</v>
      </c>
      <c r="K358">
        <v>800</v>
      </c>
      <c r="L358" t="s">
        <v>278</v>
      </c>
      <c r="M358" t="s">
        <v>278</v>
      </c>
      <c r="Q358" t="b">
        <f t="shared" si="11"/>
        <v>1</v>
      </c>
    </row>
    <row r="359" spans="1:17">
      <c r="A359">
        <f t="shared" si="10"/>
        <v>95</v>
      </c>
      <c r="B359" t="s">
        <v>525</v>
      </c>
      <c r="C359" t="s">
        <v>1035</v>
      </c>
      <c r="D359" s="2">
        <v>43280</v>
      </c>
      <c r="E359">
        <v>25</v>
      </c>
      <c r="F359" t="s">
        <v>244</v>
      </c>
      <c r="G359" t="s">
        <v>30</v>
      </c>
      <c r="H359" t="s">
        <v>850</v>
      </c>
      <c r="I359" t="s">
        <v>527</v>
      </c>
      <c r="J359" t="s">
        <v>256</v>
      </c>
      <c r="K359">
        <v>30</v>
      </c>
      <c r="L359">
        <v>3</v>
      </c>
      <c r="M359">
        <v>0</v>
      </c>
      <c r="N359">
        <v>1</v>
      </c>
      <c r="Q359" t="b">
        <f t="shared" si="11"/>
        <v>1</v>
      </c>
    </row>
    <row r="360" spans="1:17">
      <c r="A360">
        <f t="shared" si="10"/>
        <v>96</v>
      </c>
      <c r="B360" t="s">
        <v>528</v>
      </c>
      <c r="C360" t="s">
        <v>1036</v>
      </c>
      <c r="D360" t="s">
        <v>1160</v>
      </c>
      <c r="E360">
        <v>30</v>
      </c>
      <c r="F360" t="s">
        <v>244</v>
      </c>
      <c r="G360" t="s">
        <v>15</v>
      </c>
      <c r="H360" t="s">
        <v>850</v>
      </c>
      <c r="I360" t="s">
        <v>530</v>
      </c>
      <c r="J360" t="s">
        <v>268</v>
      </c>
      <c r="K360">
        <v>650</v>
      </c>
      <c r="L360">
        <v>8</v>
      </c>
      <c r="M360">
        <v>2</v>
      </c>
      <c r="Q360" t="b">
        <f t="shared" si="11"/>
        <v>0</v>
      </c>
    </row>
    <row r="361" spans="1:17">
      <c r="A361">
        <f t="shared" si="10"/>
        <v>96</v>
      </c>
      <c r="B361" t="s">
        <v>528</v>
      </c>
      <c r="C361" t="s">
        <v>1036</v>
      </c>
      <c r="D361" t="s">
        <v>1160</v>
      </c>
      <c r="E361">
        <v>30</v>
      </c>
      <c r="F361" t="s">
        <v>244</v>
      </c>
      <c r="G361" t="s">
        <v>15</v>
      </c>
      <c r="H361" t="s">
        <v>850</v>
      </c>
      <c r="I361" t="s">
        <v>530</v>
      </c>
      <c r="J361" t="s">
        <v>245</v>
      </c>
      <c r="K361">
        <v>800</v>
      </c>
      <c r="L361">
        <v>8</v>
      </c>
      <c r="M361">
        <v>2</v>
      </c>
      <c r="Q361" t="b">
        <f t="shared" si="11"/>
        <v>0</v>
      </c>
    </row>
    <row r="362" spans="1:17">
      <c r="A362">
        <f t="shared" si="10"/>
        <v>96</v>
      </c>
      <c r="B362" t="s">
        <v>528</v>
      </c>
      <c r="C362" t="s">
        <v>1036</v>
      </c>
      <c r="D362" t="s">
        <v>1160</v>
      </c>
      <c r="E362">
        <v>30</v>
      </c>
      <c r="F362" t="s">
        <v>244</v>
      </c>
      <c r="G362" t="s">
        <v>15</v>
      </c>
      <c r="H362" t="s">
        <v>850</v>
      </c>
      <c r="I362" t="s">
        <v>531</v>
      </c>
      <c r="J362" t="s">
        <v>245</v>
      </c>
      <c r="K362">
        <v>800</v>
      </c>
      <c r="L362">
        <v>8</v>
      </c>
      <c r="M362">
        <v>2</v>
      </c>
      <c r="Q362" t="b">
        <f t="shared" si="11"/>
        <v>0</v>
      </c>
    </row>
    <row r="363" spans="1:17">
      <c r="A363">
        <f t="shared" si="10"/>
        <v>96</v>
      </c>
      <c r="B363" t="s">
        <v>528</v>
      </c>
      <c r="C363" t="s">
        <v>1036</v>
      </c>
      <c r="D363" t="s">
        <v>1160</v>
      </c>
      <c r="E363">
        <v>30</v>
      </c>
      <c r="F363" t="s">
        <v>244</v>
      </c>
      <c r="G363" t="s">
        <v>15</v>
      </c>
      <c r="H363" t="s">
        <v>850</v>
      </c>
      <c r="I363" t="s">
        <v>531</v>
      </c>
      <c r="J363" t="s">
        <v>263</v>
      </c>
      <c r="K363">
        <v>1</v>
      </c>
      <c r="L363">
        <v>8</v>
      </c>
      <c r="M363">
        <v>2</v>
      </c>
      <c r="Q363" t="b">
        <f t="shared" si="11"/>
        <v>0</v>
      </c>
    </row>
    <row r="364" spans="1:17">
      <c r="A364">
        <f t="shared" si="10"/>
        <v>96</v>
      </c>
      <c r="B364" t="s">
        <v>528</v>
      </c>
      <c r="C364" t="s">
        <v>1036</v>
      </c>
      <c r="D364" t="s">
        <v>1160</v>
      </c>
      <c r="E364">
        <v>30</v>
      </c>
      <c r="F364" t="s">
        <v>244</v>
      </c>
      <c r="G364" t="s">
        <v>15</v>
      </c>
      <c r="H364" t="s">
        <v>850</v>
      </c>
      <c r="I364" t="s">
        <v>529</v>
      </c>
      <c r="J364" t="s">
        <v>245</v>
      </c>
      <c r="K364">
        <v>800</v>
      </c>
      <c r="L364" t="s">
        <v>278</v>
      </c>
      <c r="M364" t="s">
        <v>278</v>
      </c>
      <c r="Q364" t="b">
        <f t="shared" si="11"/>
        <v>0</v>
      </c>
    </row>
    <row r="365" spans="1:17">
      <c r="A365">
        <f t="shared" si="10"/>
        <v>97</v>
      </c>
      <c r="B365" t="s">
        <v>532</v>
      </c>
      <c r="C365" t="s">
        <v>1037</v>
      </c>
      <c r="D365" s="2">
        <v>43281</v>
      </c>
      <c r="E365">
        <v>34</v>
      </c>
      <c r="F365" t="s">
        <v>244</v>
      </c>
      <c r="G365" t="s">
        <v>30</v>
      </c>
      <c r="H365" t="s">
        <v>850</v>
      </c>
      <c r="I365" t="s">
        <v>533</v>
      </c>
      <c r="J365" t="s">
        <v>824</v>
      </c>
      <c r="K365">
        <v>1000</v>
      </c>
      <c r="L365">
        <v>8</v>
      </c>
      <c r="M365">
        <v>5</v>
      </c>
      <c r="N365" t="s">
        <v>278</v>
      </c>
      <c r="Q365" t="b">
        <f t="shared" si="11"/>
        <v>1</v>
      </c>
    </row>
    <row r="366" spans="1:17">
      <c r="A366">
        <f t="shared" si="10"/>
        <v>97</v>
      </c>
      <c r="B366" t="s">
        <v>532</v>
      </c>
      <c r="C366" t="s">
        <v>1037</v>
      </c>
      <c r="D366" s="2">
        <v>43281</v>
      </c>
      <c r="E366">
        <v>34</v>
      </c>
      <c r="F366" t="s">
        <v>244</v>
      </c>
      <c r="G366" t="s">
        <v>30</v>
      </c>
      <c r="H366" t="s">
        <v>850</v>
      </c>
      <c r="I366" t="s">
        <v>534</v>
      </c>
      <c r="J366" t="s">
        <v>256</v>
      </c>
      <c r="K366">
        <v>30</v>
      </c>
      <c r="L366">
        <v>8</v>
      </c>
      <c r="M366">
        <v>3</v>
      </c>
      <c r="N366">
        <v>4</v>
      </c>
      <c r="Q366" t="b">
        <f t="shared" si="11"/>
        <v>1</v>
      </c>
    </row>
    <row r="367" spans="1:17">
      <c r="A367">
        <f t="shared" si="10"/>
        <v>97</v>
      </c>
      <c r="B367" t="s">
        <v>532</v>
      </c>
      <c r="C367" t="s">
        <v>1037</v>
      </c>
      <c r="D367" s="2">
        <v>43281</v>
      </c>
      <c r="E367">
        <v>34</v>
      </c>
      <c r="F367" t="s">
        <v>244</v>
      </c>
      <c r="G367" t="s">
        <v>30</v>
      </c>
      <c r="H367" t="s">
        <v>850</v>
      </c>
      <c r="I367" t="s">
        <v>535</v>
      </c>
      <c r="J367" t="s">
        <v>256</v>
      </c>
      <c r="K367">
        <v>30</v>
      </c>
      <c r="L367">
        <v>6</v>
      </c>
      <c r="M367">
        <v>3</v>
      </c>
      <c r="N367">
        <v>4</v>
      </c>
      <c r="Q367" t="b">
        <f t="shared" si="11"/>
        <v>1</v>
      </c>
    </row>
    <row r="368" spans="1:17">
      <c r="A368">
        <f t="shared" si="10"/>
        <v>97</v>
      </c>
      <c r="B368" t="s">
        <v>532</v>
      </c>
      <c r="C368" t="s">
        <v>1037</v>
      </c>
      <c r="D368" s="2">
        <v>43281</v>
      </c>
      <c r="E368">
        <v>34</v>
      </c>
      <c r="F368" t="s">
        <v>244</v>
      </c>
      <c r="G368" t="s">
        <v>30</v>
      </c>
      <c r="H368" t="s">
        <v>850</v>
      </c>
      <c r="I368" t="s">
        <v>536</v>
      </c>
      <c r="J368" t="s">
        <v>263</v>
      </c>
      <c r="K368">
        <v>1</v>
      </c>
      <c r="L368">
        <v>5</v>
      </c>
      <c r="M368">
        <v>4</v>
      </c>
      <c r="N368">
        <v>2</v>
      </c>
      <c r="Q368" t="b">
        <f t="shared" si="11"/>
        <v>1</v>
      </c>
    </row>
    <row r="369" spans="1:17">
      <c r="A369">
        <f t="shared" si="10"/>
        <v>97</v>
      </c>
      <c r="B369" t="s">
        <v>532</v>
      </c>
      <c r="C369" t="s">
        <v>1037</v>
      </c>
      <c r="D369" s="2">
        <v>43281</v>
      </c>
      <c r="E369">
        <v>34</v>
      </c>
      <c r="F369" t="s">
        <v>244</v>
      </c>
      <c r="G369" t="s">
        <v>30</v>
      </c>
      <c r="H369" t="s">
        <v>850</v>
      </c>
      <c r="I369" t="s">
        <v>537</v>
      </c>
      <c r="J369" t="s">
        <v>256</v>
      </c>
      <c r="K369">
        <v>30</v>
      </c>
      <c r="L369">
        <v>3</v>
      </c>
      <c r="M369">
        <v>5</v>
      </c>
      <c r="N369">
        <v>4</v>
      </c>
      <c r="Q369" t="b">
        <f t="shared" si="11"/>
        <v>1</v>
      </c>
    </row>
    <row r="370" spans="1:17">
      <c r="A370">
        <f t="shared" si="10"/>
        <v>97</v>
      </c>
      <c r="B370" t="s">
        <v>532</v>
      </c>
      <c r="C370" t="s">
        <v>1037</v>
      </c>
      <c r="D370" s="2">
        <v>43281</v>
      </c>
      <c r="E370">
        <v>34</v>
      </c>
      <c r="F370" t="s">
        <v>244</v>
      </c>
      <c r="G370" t="s">
        <v>30</v>
      </c>
      <c r="H370" t="s">
        <v>850</v>
      </c>
      <c r="I370" t="s">
        <v>538</v>
      </c>
      <c r="J370" t="s">
        <v>263</v>
      </c>
      <c r="K370">
        <v>1</v>
      </c>
      <c r="L370">
        <v>5</v>
      </c>
      <c r="M370">
        <v>4</v>
      </c>
      <c r="N370">
        <v>2</v>
      </c>
      <c r="Q370" t="b">
        <f t="shared" si="11"/>
        <v>1</v>
      </c>
    </row>
    <row r="371" spans="1:17">
      <c r="A371">
        <f t="shared" si="10"/>
        <v>98</v>
      </c>
      <c r="B371" t="s">
        <v>539</v>
      </c>
      <c r="C371" t="s">
        <v>1038</v>
      </c>
      <c r="D371" t="s">
        <v>1161</v>
      </c>
      <c r="E371">
        <v>32</v>
      </c>
      <c r="F371" t="s">
        <v>14</v>
      </c>
      <c r="G371" t="s">
        <v>15</v>
      </c>
      <c r="H371" t="s">
        <v>850</v>
      </c>
      <c r="I371" t="s">
        <v>540</v>
      </c>
      <c r="J371" t="s">
        <v>245</v>
      </c>
      <c r="K371">
        <v>800</v>
      </c>
      <c r="L371">
        <v>3</v>
      </c>
      <c r="M371">
        <v>0</v>
      </c>
      <c r="Q371" t="b">
        <f t="shared" si="11"/>
        <v>0</v>
      </c>
    </row>
    <row r="372" spans="1:17">
      <c r="A372">
        <f t="shared" si="10"/>
        <v>98</v>
      </c>
      <c r="B372" t="s">
        <v>539</v>
      </c>
      <c r="C372" t="s">
        <v>1038</v>
      </c>
      <c r="D372" t="s">
        <v>1161</v>
      </c>
      <c r="E372">
        <v>32</v>
      </c>
      <c r="F372" t="s">
        <v>14</v>
      </c>
      <c r="G372" t="s">
        <v>15</v>
      </c>
      <c r="H372" t="s">
        <v>850</v>
      </c>
      <c r="I372" t="s">
        <v>541</v>
      </c>
      <c r="J372" t="s">
        <v>245</v>
      </c>
      <c r="K372">
        <v>800</v>
      </c>
      <c r="L372">
        <v>3</v>
      </c>
      <c r="M372">
        <v>0</v>
      </c>
      <c r="Q372" t="b">
        <f t="shared" si="11"/>
        <v>0</v>
      </c>
    </row>
    <row r="373" spans="1:17">
      <c r="A373">
        <f t="shared" si="10"/>
        <v>99</v>
      </c>
      <c r="B373" t="s">
        <v>542</v>
      </c>
      <c r="C373" t="s">
        <v>1039</v>
      </c>
      <c r="D373" t="s">
        <v>1162</v>
      </c>
      <c r="E373">
        <v>33</v>
      </c>
      <c r="F373" t="s">
        <v>14</v>
      </c>
      <c r="G373" t="s">
        <v>30</v>
      </c>
      <c r="H373" t="s">
        <v>850</v>
      </c>
      <c r="I373" t="s">
        <v>544</v>
      </c>
      <c r="J373" t="s">
        <v>824</v>
      </c>
      <c r="K373">
        <v>1000</v>
      </c>
      <c r="L373">
        <v>6</v>
      </c>
      <c r="M373">
        <v>3</v>
      </c>
      <c r="Q373" t="b">
        <f t="shared" si="11"/>
        <v>1</v>
      </c>
    </row>
    <row r="374" spans="1:17">
      <c r="A374">
        <f t="shared" si="10"/>
        <v>99</v>
      </c>
      <c r="B374" t="s">
        <v>542</v>
      </c>
      <c r="C374" t="s">
        <v>1039</v>
      </c>
      <c r="D374" t="s">
        <v>1162</v>
      </c>
      <c r="E374">
        <v>33</v>
      </c>
      <c r="F374" t="s">
        <v>14</v>
      </c>
      <c r="G374" t="s">
        <v>30</v>
      </c>
      <c r="H374" t="s">
        <v>850</v>
      </c>
      <c r="I374" t="s">
        <v>543</v>
      </c>
      <c r="J374" t="s">
        <v>256</v>
      </c>
      <c r="K374">
        <v>30</v>
      </c>
      <c r="L374">
        <v>4</v>
      </c>
      <c r="M374">
        <v>0</v>
      </c>
      <c r="Q374" t="b">
        <f t="shared" si="11"/>
        <v>1</v>
      </c>
    </row>
    <row r="375" spans="1:17">
      <c r="A375">
        <f t="shared" si="10"/>
        <v>100</v>
      </c>
      <c r="B375" t="s">
        <v>545</v>
      </c>
      <c r="C375" t="s">
        <v>1040</v>
      </c>
      <c r="D375" t="s">
        <v>1163</v>
      </c>
      <c r="E375">
        <v>34</v>
      </c>
      <c r="F375" t="s">
        <v>14</v>
      </c>
      <c r="G375" t="s">
        <v>30</v>
      </c>
      <c r="H375" t="s">
        <v>850</v>
      </c>
      <c r="I375" t="s">
        <v>547</v>
      </c>
      <c r="J375" t="s">
        <v>256</v>
      </c>
      <c r="K375">
        <v>30</v>
      </c>
      <c r="L375">
        <v>4</v>
      </c>
      <c r="M375">
        <v>4</v>
      </c>
      <c r="Q375" t="b">
        <f t="shared" si="11"/>
        <v>0</v>
      </c>
    </row>
    <row r="376" spans="1:17">
      <c r="A376">
        <f t="shared" si="10"/>
        <v>100</v>
      </c>
      <c r="B376" t="s">
        <v>545</v>
      </c>
      <c r="C376" t="s">
        <v>1040</v>
      </c>
      <c r="D376" t="s">
        <v>1163</v>
      </c>
      <c r="E376">
        <v>34</v>
      </c>
      <c r="F376" t="s">
        <v>14</v>
      </c>
      <c r="G376" t="s">
        <v>30</v>
      </c>
      <c r="H376" t="s">
        <v>850</v>
      </c>
      <c r="I376" t="s">
        <v>548</v>
      </c>
      <c r="J376" t="s">
        <v>256</v>
      </c>
      <c r="K376">
        <v>30</v>
      </c>
      <c r="L376">
        <v>4</v>
      </c>
      <c r="M376">
        <v>3</v>
      </c>
      <c r="Q376" t="b">
        <f t="shared" si="11"/>
        <v>0</v>
      </c>
    </row>
    <row r="377" spans="1:17">
      <c r="A377">
        <f t="shared" si="10"/>
        <v>100</v>
      </c>
      <c r="B377" t="s">
        <v>545</v>
      </c>
      <c r="C377" t="s">
        <v>1040</v>
      </c>
      <c r="D377" t="s">
        <v>1163</v>
      </c>
      <c r="E377">
        <v>34</v>
      </c>
      <c r="F377" t="s">
        <v>14</v>
      </c>
      <c r="G377" t="s">
        <v>30</v>
      </c>
      <c r="H377" t="s">
        <v>850</v>
      </c>
      <c r="I377" t="s">
        <v>549</v>
      </c>
      <c r="J377" t="s">
        <v>263</v>
      </c>
      <c r="K377">
        <v>2</v>
      </c>
      <c r="L377">
        <v>5</v>
      </c>
      <c r="M377">
        <v>4</v>
      </c>
      <c r="Q377" t="b">
        <f t="shared" si="11"/>
        <v>0</v>
      </c>
    </row>
    <row r="378" spans="1:17">
      <c r="A378">
        <f t="shared" si="10"/>
        <v>100</v>
      </c>
      <c r="B378" t="s">
        <v>545</v>
      </c>
      <c r="C378" t="s">
        <v>1040</v>
      </c>
      <c r="D378" t="s">
        <v>1163</v>
      </c>
      <c r="E378">
        <v>34</v>
      </c>
      <c r="F378" t="s">
        <v>14</v>
      </c>
      <c r="G378" t="s">
        <v>30</v>
      </c>
      <c r="H378" t="s">
        <v>850</v>
      </c>
      <c r="I378" t="s">
        <v>546</v>
      </c>
      <c r="J378" t="s">
        <v>256</v>
      </c>
      <c r="K378">
        <v>30</v>
      </c>
      <c r="L378">
        <v>4</v>
      </c>
      <c r="M378">
        <v>4</v>
      </c>
      <c r="Q378" t="b">
        <f t="shared" si="11"/>
        <v>0</v>
      </c>
    </row>
    <row r="379" spans="1:17">
      <c r="A379">
        <f t="shared" si="10"/>
        <v>101</v>
      </c>
      <c r="B379" t="s">
        <v>550</v>
      </c>
      <c r="C379" t="s">
        <v>1041</v>
      </c>
      <c r="D379" t="s">
        <v>1164</v>
      </c>
      <c r="E379">
        <v>26</v>
      </c>
      <c r="F379" t="s">
        <v>14</v>
      </c>
      <c r="G379" t="s">
        <v>15</v>
      </c>
      <c r="H379" t="s">
        <v>850</v>
      </c>
      <c r="I379" t="s">
        <v>552</v>
      </c>
      <c r="J379" t="s">
        <v>245</v>
      </c>
      <c r="K379">
        <v>800</v>
      </c>
      <c r="L379">
        <v>4</v>
      </c>
      <c r="M379">
        <v>2</v>
      </c>
      <c r="Q379" t="b">
        <f t="shared" si="11"/>
        <v>1</v>
      </c>
    </row>
    <row r="380" spans="1:17">
      <c r="A380">
        <f t="shared" si="10"/>
        <v>101</v>
      </c>
      <c r="B380" t="s">
        <v>550</v>
      </c>
      <c r="C380" t="s">
        <v>1041</v>
      </c>
      <c r="D380" t="s">
        <v>1164</v>
      </c>
      <c r="E380">
        <v>26</v>
      </c>
      <c r="F380" t="s">
        <v>14</v>
      </c>
      <c r="G380" t="s">
        <v>15</v>
      </c>
      <c r="H380" t="s">
        <v>850</v>
      </c>
      <c r="I380" t="s">
        <v>552</v>
      </c>
      <c r="J380" t="s">
        <v>385</v>
      </c>
      <c r="K380">
        <v>1</v>
      </c>
      <c r="L380">
        <v>4</v>
      </c>
      <c r="M380">
        <v>2</v>
      </c>
      <c r="Q380" t="b">
        <f t="shared" si="11"/>
        <v>1</v>
      </c>
    </row>
    <row r="381" spans="1:17">
      <c r="A381">
        <f t="shared" si="10"/>
        <v>101</v>
      </c>
      <c r="B381" t="s">
        <v>550</v>
      </c>
      <c r="C381" t="s">
        <v>1041</v>
      </c>
      <c r="D381" t="s">
        <v>1164</v>
      </c>
      <c r="E381">
        <v>26</v>
      </c>
      <c r="F381" t="s">
        <v>14</v>
      </c>
      <c r="G381" t="s">
        <v>15</v>
      </c>
      <c r="H381" t="s">
        <v>850</v>
      </c>
      <c r="I381" t="s">
        <v>553</v>
      </c>
      <c r="J381" t="s">
        <v>245</v>
      </c>
      <c r="K381">
        <v>800</v>
      </c>
      <c r="L381">
        <v>4</v>
      </c>
      <c r="M381">
        <v>0</v>
      </c>
      <c r="Q381" t="b">
        <f t="shared" si="11"/>
        <v>1</v>
      </c>
    </row>
    <row r="382" spans="1:17">
      <c r="A382">
        <f t="shared" si="10"/>
        <v>101</v>
      </c>
      <c r="B382" t="s">
        <v>550</v>
      </c>
      <c r="C382" t="s">
        <v>1041</v>
      </c>
      <c r="D382" t="s">
        <v>1164</v>
      </c>
      <c r="E382">
        <v>26</v>
      </c>
      <c r="F382" t="s">
        <v>14</v>
      </c>
      <c r="G382" t="s">
        <v>15</v>
      </c>
      <c r="H382" t="s">
        <v>850</v>
      </c>
      <c r="I382" t="s">
        <v>553</v>
      </c>
      <c r="J382" t="s">
        <v>263</v>
      </c>
      <c r="K382">
        <v>1</v>
      </c>
      <c r="L382">
        <v>4</v>
      </c>
      <c r="M382">
        <v>0</v>
      </c>
      <c r="Q382" t="b">
        <f t="shared" si="11"/>
        <v>1</v>
      </c>
    </row>
    <row r="383" spans="1:17">
      <c r="A383">
        <f t="shared" si="10"/>
        <v>101</v>
      </c>
      <c r="B383" t="s">
        <v>550</v>
      </c>
      <c r="C383" t="s">
        <v>1041</v>
      </c>
      <c r="D383" t="s">
        <v>1164</v>
      </c>
      <c r="E383">
        <v>26</v>
      </c>
      <c r="F383" t="s">
        <v>14</v>
      </c>
      <c r="G383" t="s">
        <v>15</v>
      </c>
      <c r="H383" t="s">
        <v>850</v>
      </c>
      <c r="I383" t="s">
        <v>551</v>
      </c>
      <c r="J383" t="s">
        <v>245</v>
      </c>
      <c r="K383">
        <v>800</v>
      </c>
      <c r="L383">
        <v>3</v>
      </c>
      <c r="M383">
        <v>0</v>
      </c>
      <c r="Q383" t="b">
        <f t="shared" si="11"/>
        <v>1</v>
      </c>
    </row>
    <row r="384" spans="1:17">
      <c r="A384">
        <f t="shared" si="10"/>
        <v>102</v>
      </c>
      <c r="B384" t="s">
        <v>554</v>
      </c>
      <c r="C384" t="s">
        <v>1042</v>
      </c>
      <c r="D384" t="s">
        <v>1165</v>
      </c>
      <c r="E384">
        <v>37</v>
      </c>
      <c r="F384" t="s">
        <v>14</v>
      </c>
      <c r="G384" t="s">
        <v>15</v>
      </c>
      <c r="H384" t="s">
        <v>850</v>
      </c>
      <c r="I384" t="s">
        <v>26</v>
      </c>
      <c r="J384" t="s">
        <v>26</v>
      </c>
      <c r="K384" t="s">
        <v>26</v>
      </c>
      <c r="L384" t="s">
        <v>26</v>
      </c>
      <c r="M384" t="s">
        <v>26</v>
      </c>
      <c r="N384" t="s">
        <v>26</v>
      </c>
      <c r="Q384" t="b">
        <f t="shared" si="11"/>
        <v>0</v>
      </c>
    </row>
    <row r="385" spans="1:17">
      <c r="A385">
        <f t="shared" si="10"/>
        <v>103</v>
      </c>
      <c r="B385" t="s">
        <v>555</v>
      </c>
      <c r="C385" t="s">
        <v>1043</v>
      </c>
      <c r="D385" t="s">
        <v>1166</v>
      </c>
      <c r="E385">
        <v>27</v>
      </c>
      <c r="F385" t="s">
        <v>244</v>
      </c>
      <c r="G385" t="s">
        <v>15</v>
      </c>
      <c r="H385" t="s">
        <v>850</v>
      </c>
      <c r="I385" t="s">
        <v>557</v>
      </c>
      <c r="J385" t="s">
        <v>245</v>
      </c>
      <c r="K385">
        <v>800</v>
      </c>
      <c r="L385">
        <v>6</v>
      </c>
      <c r="M385">
        <v>2</v>
      </c>
      <c r="Q385" t="b">
        <f t="shared" si="11"/>
        <v>1</v>
      </c>
    </row>
    <row r="386" spans="1:17">
      <c r="A386">
        <f t="shared" ref="A386:A449" si="12">IF(ROW()=2,1,IF(B386=B385,A385,A385+1))</f>
        <v>103</v>
      </c>
      <c r="B386" t="s">
        <v>555</v>
      </c>
      <c r="C386" t="s">
        <v>1043</v>
      </c>
      <c r="D386" t="s">
        <v>1166</v>
      </c>
      <c r="E386">
        <v>27</v>
      </c>
      <c r="F386" t="s">
        <v>244</v>
      </c>
      <c r="G386" t="s">
        <v>15</v>
      </c>
      <c r="H386" t="s">
        <v>850</v>
      </c>
      <c r="I386" t="s">
        <v>556</v>
      </c>
      <c r="J386" t="s">
        <v>245</v>
      </c>
      <c r="K386">
        <v>800</v>
      </c>
      <c r="L386">
        <v>0</v>
      </c>
      <c r="M386">
        <v>0</v>
      </c>
      <c r="Q386" t="b">
        <f t="shared" ref="Q386:Q449" si="13">ISODD(A386)</f>
        <v>1</v>
      </c>
    </row>
    <row r="387" spans="1:17">
      <c r="A387">
        <f t="shared" si="12"/>
        <v>104</v>
      </c>
      <c r="B387" t="s">
        <v>558</v>
      </c>
      <c r="C387" t="s">
        <v>1044</v>
      </c>
      <c r="D387" t="s">
        <v>1167</v>
      </c>
      <c r="E387">
        <v>29</v>
      </c>
      <c r="F387" t="s">
        <v>244</v>
      </c>
      <c r="G387" t="s">
        <v>15</v>
      </c>
      <c r="H387" t="s">
        <v>850</v>
      </c>
      <c r="I387" t="s">
        <v>560</v>
      </c>
      <c r="J387" t="s">
        <v>245</v>
      </c>
      <c r="K387">
        <v>800</v>
      </c>
      <c r="L387">
        <v>3</v>
      </c>
      <c r="M387">
        <v>0</v>
      </c>
      <c r="Q387" t="b">
        <f t="shared" si="13"/>
        <v>0</v>
      </c>
    </row>
    <row r="388" spans="1:17">
      <c r="A388">
        <f t="shared" si="12"/>
        <v>104</v>
      </c>
      <c r="B388" t="s">
        <v>558</v>
      </c>
      <c r="C388" t="s">
        <v>1044</v>
      </c>
      <c r="D388" t="s">
        <v>1167</v>
      </c>
      <c r="E388">
        <v>29</v>
      </c>
      <c r="F388" t="s">
        <v>244</v>
      </c>
      <c r="G388" t="s">
        <v>15</v>
      </c>
      <c r="H388" t="s">
        <v>850</v>
      </c>
      <c r="I388" t="s">
        <v>559</v>
      </c>
      <c r="J388" t="s">
        <v>245</v>
      </c>
      <c r="K388">
        <v>800</v>
      </c>
      <c r="L388">
        <v>4</v>
      </c>
      <c r="M388">
        <v>0</v>
      </c>
      <c r="Q388" t="b">
        <f t="shared" si="13"/>
        <v>0</v>
      </c>
    </row>
    <row r="389" spans="1:17">
      <c r="A389">
        <f t="shared" si="12"/>
        <v>105</v>
      </c>
      <c r="B389" t="s">
        <v>561</v>
      </c>
      <c r="C389" t="s">
        <v>1045</v>
      </c>
      <c r="D389" t="s">
        <v>1168</v>
      </c>
      <c r="E389">
        <v>27</v>
      </c>
      <c r="F389" t="s">
        <v>14</v>
      </c>
      <c r="G389" t="s">
        <v>15</v>
      </c>
      <c r="H389" t="s">
        <v>850</v>
      </c>
      <c r="I389" t="s">
        <v>563</v>
      </c>
      <c r="J389" t="s">
        <v>245</v>
      </c>
      <c r="K389">
        <v>800</v>
      </c>
      <c r="L389">
        <v>0</v>
      </c>
      <c r="M389">
        <v>0</v>
      </c>
      <c r="Q389" t="b">
        <f t="shared" si="13"/>
        <v>1</v>
      </c>
    </row>
    <row r="390" spans="1:17">
      <c r="A390">
        <f t="shared" si="12"/>
        <v>105</v>
      </c>
      <c r="B390" t="s">
        <v>561</v>
      </c>
      <c r="C390" t="s">
        <v>1045</v>
      </c>
      <c r="D390" t="s">
        <v>1168</v>
      </c>
      <c r="E390">
        <v>27</v>
      </c>
      <c r="F390" t="s">
        <v>14</v>
      </c>
      <c r="G390" t="s">
        <v>15</v>
      </c>
      <c r="H390" t="s">
        <v>850</v>
      </c>
      <c r="I390" t="s">
        <v>562</v>
      </c>
      <c r="J390" t="s">
        <v>245</v>
      </c>
      <c r="K390">
        <v>800</v>
      </c>
      <c r="L390">
        <v>1</v>
      </c>
      <c r="M390">
        <v>3</v>
      </c>
      <c r="Q390" t="b">
        <f t="shared" si="13"/>
        <v>1</v>
      </c>
    </row>
    <row r="391" spans="1:17">
      <c r="A391">
        <f t="shared" si="12"/>
        <v>106</v>
      </c>
      <c r="B391" t="s">
        <v>564</v>
      </c>
      <c r="C391" t="s">
        <v>1046</v>
      </c>
      <c r="D391" t="s">
        <v>1169</v>
      </c>
      <c r="E391">
        <v>37</v>
      </c>
      <c r="F391" t="s">
        <v>244</v>
      </c>
      <c r="G391" t="s">
        <v>15</v>
      </c>
      <c r="H391" t="s">
        <v>850</v>
      </c>
      <c r="I391" t="s">
        <v>565</v>
      </c>
      <c r="J391" t="s">
        <v>245</v>
      </c>
      <c r="K391">
        <v>800</v>
      </c>
      <c r="L391">
        <v>0</v>
      </c>
      <c r="M391">
        <v>0</v>
      </c>
      <c r="Q391" t="b">
        <f t="shared" si="13"/>
        <v>0</v>
      </c>
    </row>
    <row r="392" spans="1:17">
      <c r="A392">
        <f t="shared" si="12"/>
        <v>106</v>
      </c>
      <c r="B392" t="s">
        <v>564</v>
      </c>
      <c r="C392" t="s">
        <v>1046</v>
      </c>
      <c r="D392" t="s">
        <v>1169</v>
      </c>
      <c r="E392">
        <v>37</v>
      </c>
      <c r="F392" t="s">
        <v>244</v>
      </c>
      <c r="G392" t="s">
        <v>15</v>
      </c>
      <c r="H392" t="s">
        <v>850</v>
      </c>
      <c r="I392" t="s">
        <v>566</v>
      </c>
      <c r="J392" t="s">
        <v>245</v>
      </c>
      <c r="K392">
        <v>800</v>
      </c>
      <c r="L392">
        <v>3</v>
      </c>
      <c r="M392">
        <v>0</v>
      </c>
      <c r="Q392" t="b">
        <f t="shared" si="13"/>
        <v>0</v>
      </c>
    </row>
    <row r="393" spans="1:17">
      <c r="A393">
        <f t="shared" si="12"/>
        <v>107</v>
      </c>
      <c r="B393" t="s">
        <v>567</v>
      </c>
      <c r="C393" t="s">
        <v>1047</v>
      </c>
      <c r="D393" t="s">
        <v>1170</v>
      </c>
      <c r="E393">
        <v>36</v>
      </c>
      <c r="F393" t="s">
        <v>118</v>
      </c>
      <c r="G393" t="s">
        <v>15</v>
      </c>
      <c r="H393" t="s">
        <v>850</v>
      </c>
      <c r="I393" t="s">
        <v>26</v>
      </c>
      <c r="J393" t="s">
        <v>26</v>
      </c>
      <c r="K393" t="s">
        <v>26</v>
      </c>
      <c r="L393" t="s">
        <v>26</v>
      </c>
      <c r="M393" t="s">
        <v>26</v>
      </c>
      <c r="N393" t="s">
        <v>26</v>
      </c>
      <c r="Q393" t="b">
        <f t="shared" si="13"/>
        <v>1</v>
      </c>
    </row>
    <row r="394" spans="1:17">
      <c r="A394">
        <f t="shared" si="12"/>
        <v>108</v>
      </c>
      <c r="B394" t="s">
        <v>568</v>
      </c>
      <c r="C394" t="s">
        <v>1048</v>
      </c>
      <c r="D394" t="s">
        <v>1171</v>
      </c>
      <c r="E394">
        <v>28</v>
      </c>
      <c r="F394" t="s">
        <v>14</v>
      </c>
      <c r="G394" t="s">
        <v>15</v>
      </c>
      <c r="H394" t="s">
        <v>850</v>
      </c>
      <c r="I394" t="s">
        <v>570</v>
      </c>
      <c r="J394" t="s">
        <v>245</v>
      </c>
      <c r="K394">
        <v>800</v>
      </c>
      <c r="L394">
        <v>6</v>
      </c>
      <c r="M394">
        <v>2</v>
      </c>
      <c r="Q394" t="b">
        <f t="shared" si="13"/>
        <v>0</v>
      </c>
    </row>
    <row r="395" spans="1:17">
      <c r="A395">
        <f t="shared" si="12"/>
        <v>108</v>
      </c>
      <c r="B395" t="s">
        <v>568</v>
      </c>
      <c r="C395" t="s">
        <v>1048</v>
      </c>
      <c r="D395" t="s">
        <v>1171</v>
      </c>
      <c r="E395">
        <v>28</v>
      </c>
      <c r="F395" t="s">
        <v>14</v>
      </c>
      <c r="G395" t="s">
        <v>15</v>
      </c>
      <c r="H395" t="s">
        <v>850</v>
      </c>
      <c r="I395" t="s">
        <v>571</v>
      </c>
      <c r="J395" t="s">
        <v>245</v>
      </c>
      <c r="K395">
        <v>800</v>
      </c>
      <c r="L395">
        <v>6</v>
      </c>
      <c r="M395">
        <v>2</v>
      </c>
      <c r="Q395" t="b">
        <f t="shared" si="13"/>
        <v>0</v>
      </c>
    </row>
    <row r="396" spans="1:17">
      <c r="A396">
        <f t="shared" si="12"/>
        <v>108</v>
      </c>
      <c r="B396" t="s">
        <v>568</v>
      </c>
      <c r="C396" t="s">
        <v>1048</v>
      </c>
      <c r="D396" t="s">
        <v>1171</v>
      </c>
      <c r="E396">
        <v>28</v>
      </c>
      <c r="F396" t="s">
        <v>14</v>
      </c>
      <c r="G396" t="s">
        <v>15</v>
      </c>
      <c r="H396" t="s">
        <v>850</v>
      </c>
      <c r="I396" t="s">
        <v>572</v>
      </c>
      <c r="J396" t="s">
        <v>245</v>
      </c>
      <c r="K396">
        <v>800</v>
      </c>
      <c r="L396">
        <v>0</v>
      </c>
      <c r="M396">
        <v>4</v>
      </c>
      <c r="Q396" t="b">
        <f t="shared" si="13"/>
        <v>0</v>
      </c>
    </row>
    <row r="397" spans="1:17">
      <c r="A397">
        <f t="shared" si="12"/>
        <v>108</v>
      </c>
      <c r="B397" t="s">
        <v>568</v>
      </c>
      <c r="C397" t="s">
        <v>1048</v>
      </c>
      <c r="D397" t="s">
        <v>1171</v>
      </c>
      <c r="E397">
        <v>28</v>
      </c>
      <c r="F397" t="s">
        <v>14</v>
      </c>
      <c r="G397" t="s">
        <v>15</v>
      </c>
      <c r="H397" t="s">
        <v>850</v>
      </c>
      <c r="I397" t="s">
        <v>573</v>
      </c>
      <c r="J397" t="s">
        <v>268</v>
      </c>
      <c r="K397">
        <v>650</v>
      </c>
      <c r="L397">
        <v>5</v>
      </c>
      <c r="M397">
        <v>4</v>
      </c>
      <c r="Q397" t="b">
        <f t="shared" si="13"/>
        <v>0</v>
      </c>
    </row>
    <row r="398" spans="1:17">
      <c r="A398">
        <f t="shared" si="12"/>
        <v>108</v>
      </c>
      <c r="B398" t="s">
        <v>568</v>
      </c>
      <c r="C398" t="s">
        <v>1048</v>
      </c>
      <c r="D398" t="s">
        <v>1171</v>
      </c>
      <c r="E398">
        <v>28</v>
      </c>
      <c r="F398" t="s">
        <v>14</v>
      </c>
      <c r="G398" t="s">
        <v>15</v>
      </c>
      <c r="H398" t="s">
        <v>850</v>
      </c>
      <c r="I398" t="s">
        <v>569</v>
      </c>
      <c r="J398" t="s">
        <v>245</v>
      </c>
      <c r="K398">
        <v>800</v>
      </c>
      <c r="L398">
        <v>5</v>
      </c>
      <c r="M398">
        <v>0</v>
      </c>
      <c r="O398" t="s">
        <v>574</v>
      </c>
      <c r="Q398" t="b">
        <f t="shared" si="13"/>
        <v>0</v>
      </c>
    </row>
    <row r="399" spans="1:17">
      <c r="A399">
        <f t="shared" si="12"/>
        <v>109</v>
      </c>
      <c r="B399" t="s">
        <v>575</v>
      </c>
      <c r="C399" t="s">
        <v>1049</v>
      </c>
      <c r="D399" t="s">
        <v>1172</v>
      </c>
      <c r="E399">
        <v>25</v>
      </c>
      <c r="F399" t="s">
        <v>14</v>
      </c>
      <c r="G399" t="s">
        <v>15</v>
      </c>
      <c r="H399" t="s">
        <v>850</v>
      </c>
      <c r="I399" t="s">
        <v>577</v>
      </c>
      <c r="J399" t="s">
        <v>245</v>
      </c>
      <c r="K399">
        <v>800</v>
      </c>
      <c r="L399">
        <v>2</v>
      </c>
      <c r="M399">
        <v>1</v>
      </c>
      <c r="Q399" t="b">
        <f t="shared" si="13"/>
        <v>1</v>
      </c>
    </row>
    <row r="400" spans="1:17">
      <c r="A400">
        <f t="shared" si="12"/>
        <v>109</v>
      </c>
      <c r="B400" t="s">
        <v>575</v>
      </c>
      <c r="C400" t="s">
        <v>1049</v>
      </c>
      <c r="D400" t="s">
        <v>1172</v>
      </c>
      <c r="E400">
        <v>25</v>
      </c>
      <c r="F400" t="s">
        <v>14</v>
      </c>
      <c r="G400" t="s">
        <v>15</v>
      </c>
      <c r="H400" t="s">
        <v>850</v>
      </c>
      <c r="I400" t="s">
        <v>578</v>
      </c>
      <c r="J400" t="s">
        <v>245</v>
      </c>
      <c r="K400">
        <v>800</v>
      </c>
      <c r="L400">
        <v>5</v>
      </c>
      <c r="M400">
        <v>0</v>
      </c>
      <c r="Q400" t="b">
        <f t="shared" si="13"/>
        <v>1</v>
      </c>
    </row>
    <row r="401" spans="1:17">
      <c r="A401">
        <f t="shared" si="12"/>
        <v>109</v>
      </c>
      <c r="B401" t="s">
        <v>575</v>
      </c>
      <c r="C401" t="s">
        <v>1049</v>
      </c>
      <c r="D401" t="s">
        <v>1172</v>
      </c>
      <c r="E401">
        <v>25</v>
      </c>
      <c r="F401" t="s">
        <v>14</v>
      </c>
      <c r="G401" t="s">
        <v>15</v>
      </c>
      <c r="H401" t="s">
        <v>850</v>
      </c>
      <c r="I401" t="s">
        <v>579</v>
      </c>
      <c r="J401" t="s">
        <v>245</v>
      </c>
      <c r="K401">
        <v>800</v>
      </c>
      <c r="L401">
        <v>4</v>
      </c>
      <c r="M401">
        <v>1</v>
      </c>
      <c r="Q401" t="b">
        <f t="shared" si="13"/>
        <v>1</v>
      </c>
    </row>
    <row r="402" spans="1:17">
      <c r="A402">
        <f t="shared" si="12"/>
        <v>109</v>
      </c>
      <c r="B402" t="s">
        <v>575</v>
      </c>
      <c r="C402" t="s">
        <v>1049</v>
      </c>
      <c r="D402" t="s">
        <v>1172</v>
      </c>
      <c r="E402">
        <v>25</v>
      </c>
      <c r="F402" t="s">
        <v>14</v>
      </c>
      <c r="G402" t="s">
        <v>15</v>
      </c>
      <c r="H402" t="s">
        <v>850</v>
      </c>
      <c r="I402" t="s">
        <v>576</v>
      </c>
      <c r="J402" t="s">
        <v>245</v>
      </c>
      <c r="K402">
        <v>800</v>
      </c>
      <c r="L402">
        <v>3</v>
      </c>
      <c r="M402">
        <v>1</v>
      </c>
      <c r="Q402" t="b">
        <f t="shared" si="13"/>
        <v>1</v>
      </c>
    </row>
    <row r="403" spans="1:17">
      <c r="A403">
        <f t="shared" si="12"/>
        <v>110</v>
      </c>
      <c r="B403" t="s">
        <v>580</v>
      </c>
      <c r="C403" t="s">
        <v>1050</v>
      </c>
      <c r="D403" t="s">
        <v>1173</v>
      </c>
      <c r="E403">
        <v>36</v>
      </c>
      <c r="F403" t="s">
        <v>14</v>
      </c>
      <c r="G403" t="s">
        <v>15</v>
      </c>
      <c r="H403" t="s">
        <v>850</v>
      </c>
      <c r="I403" t="s">
        <v>582</v>
      </c>
      <c r="J403" t="s">
        <v>245</v>
      </c>
      <c r="K403">
        <v>800</v>
      </c>
      <c r="L403">
        <v>6</v>
      </c>
      <c r="M403">
        <v>3</v>
      </c>
      <c r="Q403" t="b">
        <f t="shared" si="13"/>
        <v>0</v>
      </c>
    </row>
    <row r="404" spans="1:17">
      <c r="A404">
        <f t="shared" si="12"/>
        <v>110</v>
      </c>
      <c r="B404" t="s">
        <v>580</v>
      </c>
      <c r="C404" t="s">
        <v>1050</v>
      </c>
      <c r="D404" t="s">
        <v>1173</v>
      </c>
      <c r="E404">
        <v>36</v>
      </c>
      <c r="F404" t="s">
        <v>14</v>
      </c>
      <c r="G404" t="s">
        <v>15</v>
      </c>
      <c r="H404" t="s">
        <v>850</v>
      </c>
      <c r="I404" t="s">
        <v>583</v>
      </c>
      <c r="J404" t="s">
        <v>245</v>
      </c>
      <c r="K404">
        <v>800</v>
      </c>
      <c r="L404">
        <v>1</v>
      </c>
      <c r="M404">
        <v>0</v>
      </c>
      <c r="Q404" t="b">
        <f t="shared" si="13"/>
        <v>0</v>
      </c>
    </row>
    <row r="405" spans="1:17">
      <c r="A405">
        <f t="shared" si="12"/>
        <v>110</v>
      </c>
      <c r="B405" t="s">
        <v>580</v>
      </c>
      <c r="C405" t="s">
        <v>1050</v>
      </c>
      <c r="D405" t="s">
        <v>1173</v>
      </c>
      <c r="E405">
        <v>36</v>
      </c>
      <c r="F405" t="s">
        <v>14</v>
      </c>
      <c r="G405" t="s">
        <v>15</v>
      </c>
      <c r="H405" t="s">
        <v>850</v>
      </c>
      <c r="I405" t="s">
        <v>581</v>
      </c>
      <c r="J405" t="s">
        <v>245</v>
      </c>
      <c r="K405">
        <v>800</v>
      </c>
      <c r="L405" t="s">
        <v>278</v>
      </c>
      <c r="M405" t="s">
        <v>278</v>
      </c>
      <c r="Q405" t="b">
        <f t="shared" si="13"/>
        <v>0</v>
      </c>
    </row>
    <row r="406" spans="1:17">
      <c r="A406">
        <f t="shared" si="12"/>
        <v>111</v>
      </c>
      <c r="B406" t="s">
        <v>584</v>
      </c>
      <c r="C406" t="s">
        <v>1051</v>
      </c>
      <c r="D406" t="s">
        <v>1174</v>
      </c>
      <c r="E406">
        <v>39</v>
      </c>
      <c r="F406" t="s">
        <v>14</v>
      </c>
      <c r="G406" t="s">
        <v>30</v>
      </c>
      <c r="H406" t="s">
        <v>850</v>
      </c>
      <c r="I406" t="s">
        <v>586</v>
      </c>
      <c r="J406" t="s">
        <v>256</v>
      </c>
      <c r="K406">
        <v>30</v>
      </c>
      <c r="L406">
        <v>6</v>
      </c>
      <c r="M406">
        <v>2</v>
      </c>
      <c r="Q406" t="b">
        <f t="shared" si="13"/>
        <v>1</v>
      </c>
    </row>
    <row r="407" spans="1:17">
      <c r="A407">
        <f t="shared" si="12"/>
        <v>111</v>
      </c>
      <c r="B407" t="s">
        <v>584</v>
      </c>
      <c r="C407" t="s">
        <v>1051</v>
      </c>
      <c r="D407" t="s">
        <v>1174</v>
      </c>
      <c r="E407">
        <v>39</v>
      </c>
      <c r="F407" t="s">
        <v>14</v>
      </c>
      <c r="G407" t="s">
        <v>30</v>
      </c>
      <c r="H407" t="s">
        <v>850</v>
      </c>
      <c r="I407" t="s">
        <v>587</v>
      </c>
      <c r="J407" t="s">
        <v>256</v>
      </c>
      <c r="K407">
        <v>30</v>
      </c>
      <c r="L407">
        <v>2</v>
      </c>
      <c r="M407">
        <v>1</v>
      </c>
      <c r="Q407" t="b">
        <f t="shared" si="13"/>
        <v>1</v>
      </c>
    </row>
    <row r="408" spans="1:17">
      <c r="A408">
        <f t="shared" si="12"/>
        <v>111</v>
      </c>
      <c r="B408" t="s">
        <v>584</v>
      </c>
      <c r="C408" t="s">
        <v>1051</v>
      </c>
      <c r="D408" t="s">
        <v>1174</v>
      </c>
      <c r="E408">
        <v>39</v>
      </c>
      <c r="F408" t="s">
        <v>14</v>
      </c>
      <c r="G408" t="s">
        <v>30</v>
      </c>
      <c r="H408" t="s">
        <v>850</v>
      </c>
      <c r="I408" t="s">
        <v>588</v>
      </c>
      <c r="J408" t="s">
        <v>256</v>
      </c>
      <c r="K408">
        <v>30</v>
      </c>
      <c r="L408" t="s">
        <v>278</v>
      </c>
      <c r="M408" t="s">
        <v>278</v>
      </c>
      <c r="Q408" t="b">
        <f t="shared" si="13"/>
        <v>1</v>
      </c>
    </row>
    <row r="409" spans="1:17">
      <c r="A409">
        <f t="shared" si="12"/>
        <v>111</v>
      </c>
      <c r="B409" t="s">
        <v>584</v>
      </c>
      <c r="C409" t="s">
        <v>1051</v>
      </c>
      <c r="D409" t="s">
        <v>1174</v>
      </c>
      <c r="E409">
        <v>39</v>
      </c>
      <c r="F409" t="s">
        <v>14</v>
      </c>
      <c r="G409" t="s">
        <v>30</v>
      </c>
      <c r="H409" t="s">
        <v>850</v>
      </c>
      <c r="I409" t="s">
        <v>589</v>
      </c>
      <c r="J409" t="s">
        <v>263</v>
      </c>
      <c r="K409">
        <v>1</v>
      </c>
      <c r="L409" t="s">
        <v>278</v>
      </c>
      <c r="M409" t="s">
        <v>278</v>
      </c>
      <c r="Q409" t="b">
        <f t="shared" si="13"/>
        <v>1</v>
      </c>
    </row>
    <row r="410" spans="1:17">
      <c r="A410">
        <f t="shared" si="12"/>
        <v>111</v>
      </c>
      <c r="B410" t="s">
        <v>584</v>
      </c>
      <c r="C410" t="s">
        <v>1051</v>
      </c>
      <c r="D410" t="s">
        <v>1174</v>
      </c>
      <c r="E410">
        <v>39</v>
      </c>
      <c r="F410" t="s">
        <v>14</v>
      </c>
      <c r="G410" t="s">
        <v>30</v>
      </c>
      <c r="H410" t="s">
        <v>850</v>
      </c>
      <c r="I410" t="s">
        <v>590</v>
      </c>
      <c r="J410" t="s">
        <v>256</v>
      </c>
      <c r="K410">
        <v>30</v>
      </c>
      <c r="L410" t="s">
        <v>278</v>
      </c>
      <c r="M410" t="s">
        <v>278</v>
      </c>
      <c r="Q410" t="b">
        <f t="shared" si="13"/>
        <v>1</v>
      </c>
    </row>
    <row r="411" spans="1:17">
      <c r="A411">
        <f t="shared" si="12"/>
        <v>111</v>
      </c>
      <c r="B411" t="s">
        <v>584</v>
      </c>
      <c r="C411" t="s">
        <v>1051</v>
      </c>
      <c r="D411" t="s">
        <v>1174</v>
      </c>
      <c r="E411">
        <v>39</v>
      </c>
      <c r="F411" t="s">
        <v>14</v>
      </c>
      <c r="G411" t="s">
        <v>30</v>
      </c>
      <c r="H411" t="s">
        <v>850</v>
      </c>
      <c r="I411" t="s">
        <v>585</v>
      </c>
      <c r="J411" t="s">
        <v>263</v>
      </c>
      <c r="K411">
        <v>1</v>
      </c>
      <c r="L411" t="s">
        <v>278</v>
      </c>
      <c r="M411" t="s">
        <v>278</v>
      </c>
      <c r="Q411" t="b">
        <f t="shared" si="13"/>
        <v>1</v>
      </c>
    </row>
    <row r="412" spans="1:17">
      <c r="A412">
        <f t="shared" si="12"/>
        <v>112</v>
      </c>
      <c r="B412" t="s">
        <v>591</v>
      </c>
      <c r="C412" t="s">
        <v>1052</v>
      </c>
      <c r="D412" t="s">
        <v>1052</v>
      </c>
      <c r="E412">
        <v>35</v>
      </c>
      <c r="F412" t="s">
        <v>244</v>
      </c>
      <c r="G412" t="s">
        <v>15</v>
      </c>
      <c r="H412" t="s">
        <v>850</v>
      </c>
      <c r="I412" t="s">
        <v>26</v>
      </c>
      <c r="J412" t="s">
        <v>26</v>
      </c>
      <c r="K412" t="s">
        <v>26</v>
      </c>
      <c r="L412" t="s">
        <v>26</v>
      </c>
      <c r="M412" t="s">
        <v>26</v>
      </c>
      <c r="N412" t="s">
        <v>26</v>
      </c>
      <c r="Q412" t="b">
        <f t="shared" si="13"/>
        <v>0</v>
      </c>
    </row>
    <row r="413" spans="1:17">
      <c r="A413">
        <f t="shared" si="12"/>
        <v>113</v>
      </c>
      <c r="B413" t="s">
        <v>592</v>
      </c>
      <c r="C413" t="s">
        <v>1053</v>
      </c>
      <c r="D413" t="s">
        <v>1175</v>
      </c>
      <c r="E413">
        <v>29</v>
      </c>
      <c r="F413" t="s">
        <v>14</v>
      </c>
      <c r="G413" t="s">
        <v>15</v>
      </c>
      <c r="H413" t="s">
        <v>850</v>
      </c>
      <c r="I413" t="s">
        <v>594</v>
      </c>
      <c r="J413" t="s">
        <v>245</v>
      </c>
      <c r="K413">
        <v>800</v>
      </c>
      <c r="L413">
        <v>0</v>
      </c>
      <c r="M413">
        <v>0</v>
      </c>
      <c r="Q413" t="b">
        <f t="shared" si="13"/>
        <v>1</v>
      </c>
    </row>
    <row r="414" spans="1:17">
      <c r="A414">
        <f t="shared" si="12"/>
        <v>113</v>
      </c>
      <c r="B414" t="s">
        <v>592</v>
      </c>
      <c r="C414" t="s">
        <v>1053</v>
      </c>
      <c r="D414" t="s">
        <v>1175</v>
      </c>
      <c r="E414">
        <v>29</v>
      </c>
      <c r="F414" t="s">
        <v>14</v>
      </c>
      <c r="G414" t="s">
        <v>15</v>
      </c>
      <c r="H414" t="s">
        <v>850</v>
      </c>
      <c r="I414" t="s">
        <v>595</v>
      </c>
      <c r="J414" t="s">
        <v>245</v>
      </c>
      <c r="K414">
        <v>800</v>
      </c>
      <c r="L414">
        <v>0</v>
      </c>
      <c r="M414">
        <v>0</v>
      </c>
      <c r="Q414" t="b">
        <f t="shared" si="13"/>
        <v>1</v>
      </c>
    </row>
    <row r="415" spans="1:17">
      <c r="A415">
        <f t="shared" si="12"/>
        <v>113</v>
      </c>
      <c r="B415" t="s">
        <v>592</v>
      </c>
      <c r="C415" t="s">
        <v>1053</v>
      </c>
      <c r="D415" t="s">
        <v>1175</v>
      </c>
      <c r="E415">
        <v>29</v>
      </c>
      <c r="F415" t="s">
        <v>14</v>
      </c>
      <c r="G415" t="s">
        <v>15</v>
      </c>
      <c r="H415" t="s">
        <v>850</v>
      </c>
      <c r="I415" t="s">
        <v>596</v>
      </c>
      <c r="J415" t="s">
        <v>245</v>
      </c>
      <c r="K415">
        <v>800</v>
      </c>
      <c r="L415" t="s">
        <v>278</v>
      </c>
      <c r="M415" t="s">
        <v>278</v>
      </c>
      <c r="Q415" t="b">
        <f t="shared" si="13"/>
        <v>1</v>
      </c>
    </row>
    <row r="416" spans="1:17">
      <c r="A416">
        <f t="shared" si="12"/>
        <v>113</v>
      </c>
      <c r="B416" t="s">
        <v>592</v>
      </c>
      <c r="C416" t="s">
        <v>1053</v>
      </c>
      <c r="D416" t="s">
        <v>1175</v>
      </c>
      <c r="E416">
        <v>29</v>
      </c>
      <c r="F416" t="s">
        <v>14</v>
      </c>
      <c r="G416" t="s">
        <v>15</v>
      </c>
      <c r="H416" t="s">
        <v>850</v>
      </c>
      <c r="I416" t="s">
        <v>593</v>
      </c>
      <c r="J416" t="s">
        <v>263</v>
      </c>
      <c r="K416">
        <v>1</v>
      </c>
      <c r="L416">
        <v>4</v>
      </c>
      <c r="M416">
        <v>2</v>
      </c>
      <c r="Q416" t="b">
        <f t="shared" si="13"/>
        <v>1</v>
      </c>
    </row>
    <row r="417" spans="1:17">
      <c r="A417">
        <f t="shared" si="12"/>
        <v>114</v>
      </c>
      <c r="B417" t="s">
        <v>597</v>
      </c>
      <c r="C417" t="s">
        <v>1054</v>
      </c>
      <c r="D417" t="s">
        <v>1176</v>
      </c>
      <c r="E417">
        <v>30</v>
      </c>
      <c r="F417" t="s">
        <v>14</v>
      </c>
      <c r="G417" t="s">
        <v>15</v>
      </c>
      <c r="H417" t="s">
        <v>850</v>
      </c>
      <c r="I417" t="s">
        <v>599</v>
      </c>
      <c r="J417" t="s">
        <v>245</v>
      </c>
      <c r="K417">
        <v>800</v>
      </c>
      <c r="L417">
        <v>6</v>
      </c>
      <c r="M417">
        <v>0</v>
      </c>
      <c r="Q417" t="b">
        <f t="shared" si="13"/>
        <v>0</v>
      </c>
    </row>
    <row r="418" spans="1:17">
      <c r="A418">
        <f t="shared" si="12"/>
        <v>114</v>
      </c>
      <c r="B418" t="s">
        <v>597</v>
      </c>
      <c r="C418" t="s">
        <v>1054</v>
      </c>
      <c r="D418" t="s">
        <v>1176</v>
      </c>
      <c r="E418">
        <v>30</v>
      </c>
      <c r="F418" t="s">
        <v>14</v>
      </c>
      <c r="G418" t="s">
        <v>15</v>
      </c>
      <c r="H418" t="s">
        <v>850</v>
      </c>
      <c r="I418" t="s">
        <v>598</v>
      </c>
      <c r="J418" t="s">
        <v>245</v>
      </c>
      <c r="K418">
        <v>800</v>
      </c>
      <c r="L418">
        <v>5</v>
      </c>
      <c r="M418">
        <v>0</v>
      </c>
      <c r="Q418" t="b">
        <f t="shared" si="13"/>
        <v>0</v>
      </c>
    </row>
    <row r="419" spans="1:17">
      <c r="A419">
        <f t="shared" si="12"/>
        <v>115</v>
      </c>
      <c r="B419" t="s">
        <v>600</v>
      </c>
      <c r="C419" t="s">
        <v>1055</v>
      </c>
      <c r="D419" s="2">
        <v>43284</v>
      </c>
      <c r="E419">
        <v>27</v>
      </c>
      <c r="F419" t="s">
        <v>14</v>
      </c>
      <c r="G419" t="s">
        <v>30</v>
      </c>
      <c r="H419" t="s">
        <v>850</v>
      </c>
      <c r="I419" t="s">
        <v>601</v>
      </c>
      <c r="J419" t="s">
        <v>263</v>
      </c>
      <c r="K419">
        <v>1</v>
      </c>
      <c r="L419">
        <v>5</v>
      </c>
      <c r="M419">
        <v>3</v>
      </c>
      <c r="Q419" t="b">
        <f t="shared" si="13"/>
        <v>1</v>
      </c>
    </row>
    <row r="420" spans="1:17">
      <c r="A420">
        <f t="shared" si="12"/>
        <v>115</v>
      </c>
      <c r="B420" t="s">
        <v>600</v>
      </c>
      <c r="C420" t="s">
        <v>1055</v>
      </c>
      <c r="D420" s="2">
        <v>43284</v>
      </c>
      <c r="E420">
        <v>27</v>
      </c>
      <c r="F420" t="s">
        <v>14</v>
      </c>
      <c r="G420" t="s">
        <v>30</v>
      </c>
      <c r="H420" t="s">
        <v>850</v>
      </c>
      <c r="I420" t="s">
        <v>602</v>
      </c>
      <c r="J420" t="s">
        <v>263</v>
      </c>
      <c r="K420">
        <v>1</v>
      </c>
      <c r="L420">
        <v>4</v>
      </c>
      <c r="M420">
        <v>2</v>
      </c>
      <c r="Q420" t="b">
        <f t="shared" si="13"/>
        <v>1</v>
      </c>
    </row>
    <row r="421" spans="1:17">
      <c r="A421">
        <f t="shared" si="12"/>
        <v>115</v>
      </c>
      <c r="B421" t="s">
        <v>600</v>
      </c>
      <c r="C421" t="s">
        <v>1055</v>
      </c>
      <c r="D421" s="2">
        <v>43284</v>
      </c>
      <c r="E421">
        <v>27</v>
      </c>
      <c r="F421" t="s">
        <v>14</v>
      </c>
      <c r="G421" t="s">
        <v>30</v>
      </c>
      <c r="H421" t="s">
        <v>850</v>
      </c>
      <c r="I421" t="s">
        <v>603</v>
      </c>
      <c r="J421" t="s">
        <v>263</v>
      </c>
      <c r="K421">
        <v>1</v>
      </c>
      <c r="L421">
        <v>2</v>
      </c>
      <c r="M421">
        <v>0</v>
      </c>
      <c r="Q421" t="b">
        <f t="shared" si="13"/>
        <v>1</v>
      </c>
    </row>
    <row r="422" spans="1:17">
      <c r="A422">
        <f t="shared" si="12"/>
        <v>115</v>
      </c>
      <c r="B422" t="s">
        <v>600</v>
      </c>
      <c r="C422" t="s">
        <v>1055</v>
      </c>
      <c r="D422" s="2">
        <v>43284</v>
      </c>
      <c r="E422">
        <v>27</v>
      </c>
      <c r="F422" t="s">
        <v>14</v>
      </c>
      <c r="G422" t="s">
        <v>30</v>
      </c>
      <c r="H422" t="s">
        <v>850</v>
      </c>
      <c r="I422" t="s">
        <v>604</v>
      </c>
      <c r="J422" t="s">
        <v>263</v>
      </c>
      <c r="K422">
        <v>2</v>
      </c>
      <c r="L422">
        <v>5</v>
      </c>
      <c r="M422">
        <v>4</v>
      </c>
      <c r="Q422" t="b">
        <f t="shared" si="13"/>
        <v>1</v>
      </c>
    </row>
    <row r="423" spans="1:17">
      <c r="A423">
        <f t="shared" si="12"/>
        <v>115</v>
      </c>
      <c r="B423" t="s">
        <v>600</v>
      </c>
      <c r="C423" t="s">
        <v>1055</v>
      </c>
      <c r="D423" s="2">
        <v>43284</v>
      </c>
      <c r="E423">
        <v>27</v>
      </c>
      <c r="F423" t="s">
        <v>14</v>
      </c>
      <c r="G423" t="s">
        <v>30</v>
      </c>
      <c r="H423" t="s">
        <v>850</v>
      </c>
      <c r="I423" t="s">
        <v>605</v>
      </c>
      <c r="J423" t="s">
        <v>263</v>
      </c>
      <c r="K423">
        <v>2</v>
      </c>
      <c r="L423">
        <v>6</v>
      </c>
      <c r="M423">
        <v>1</v>
      </c>
      <c r="Q423" t="b">
        <f t="shared" si="13"/>
        <v>1</v>
      </c>
    </row>
    <row r="424" spans="1:17">
      <c r="A424">
        <f t="shared" si="12"/>
        <v>115</v>
      </c>
      <c r="B424" t="s">
        <v>600</v>
      </c>
      <c r="C424" t="s">
        <v>1055</v>
      </c>
      <c r="D424" s="2">
        <v>43284</v>
      </c>
      <c r="E424">
        <v>27</v>
      </c>
      <c r="F424" t="s">
        <v>14</v>
      </c>
      <c r="G424" t="s">
        <v>30</v>
      </c>
      <c r="H424" t="s">
        <v>850</v>
      </c>
      <c r="I424" t="s">
        <v>606</v>
      </c>
      <c r="J424" t="s">
        <v>263</v>
      </c>
      <c r="K424">
        <v>2</v>
      </c>
      <c r="L424">
        <v>6</v>
      </c>
      <c r="M424">
        <v>1</v>
      </c>
      <c r="Q424" t="b">
        <f t="shared" si="13"/>
        <v>1</v>
      </c>
    </row>
    <row r="425" spans="1:17">
      <c r="A425">
        <f t="shared" si="12"/>
        <v>116</v>
      </c>
      <c r="B425" t="s">
        <v>607</v>
      </c>
      <c r="C425" t="s">
        <v>1056</v>
      </c>
      <c r="D425" t="s">
        <v>1177</v>
      </c>
      <c r="E425">
        <v>37</v>
      </c>
      <c r="F425" t="s">
        <v>244</v>
      </c>
      <c r="G425" t="s">
        <v>30</v>
      </c>
      <c r="H425" t="s">
        <v>850</v>
      </c>
      <c r="I425" t="s">
        <v>609</v>
      </c>
      <c r="J425" t="s">
        <v>263</v>
      </c>
      <c r="K425">
        <v>1</v>
      </c>
      <c r="L425">
        <v>6</v>
      </c>
      <c r="M425">
        <v>0</v>
      </c>
      <c r="Q425" t="b">
        <f t="shared" si="13"/>
        <v>0</v>
      </c>
    </row>
    <row r="426" spans="1:17">
      <c r="A426">
        <f t="shared" si="12"/>
        <v>116</v>
      </c>
      <c r="B426" t="s">
        <v>607</v>
      </c>
      <c r="C426" t="s">
        <v>1056</v>
      </c>
      <c r="D426" t="s">
        <v>1177</v>
      </c>
      <c r="E426">
        <v>37</v>
      </c>
      <c r="F426" t="s">
        <v>244</v>
      </c>
      <c r="G426" t="s">
        <v>30</v>
      </c>
      <c r="H426" t="s">
        <v>850</v>
      </c>
      <c r="I426" t="s">
        <v>610</v>
      </c>
      <c r="J426" t="s">
        <v>256</v>
      </c>
      <c r="K426">
        <v>30</v>
      </c>
      <c r="L426">
        <v>3</v>
      </c>
      <c r="M426">
        <v>4</v>
      </c>
      <c r="Q426" t="b">
        <f t="shared" si="13"/>
        <v>0</v>
      </c>
    </row>
    <row r="427" spans="1:17">
      <c r="A427">
        <f t="shared" si="12"/>
        <v>116</v>
      </c>
      <c r="B427" t="s">
        <v>607</v>
      </c>
      <c r="C427" t="s">
        <v>1056</v>
      </c>
      <c r="D427" t="s">
        <v>1177</v>
      </c>
      <c r="E427">
        <v>37</v>
      </c>
      <c r="F427" t="s">
        <v>244</v>
      </c>
      <c r="G427" t="s">
        <v>30</v>
      </c>
      <c r="H427" t="s">
        <v>850</v>
      </c>
      <c r="I427" t="s">
        <v>611</v>
      </c>
      <c r="J427" t="s">
        <v>256</v>
      </c>
      <c r="K427">
        <v>30</v>
      </c>
      <c r="L427">
        <v>4</v>
      </c>
      <c r="M427">
        <v>6</v>
      </c>
      <c r="Q427" t="b">
        <f t="shared" si="13"/>
        <v>0</v>
      </c>
    </row>
    <row r="428" spans="1:17">
      <c r="A428">
        <f t="shared" si="12"/>
        <v>116</v>
      </c>
      <c r="B428" t="s">
        <v>607</v>
      </c>
      <c r="C428" t="s">
        <v>1056</v>
      </c>
      <c r="D428" t="s">
        <v>1177</v>
      </c>
      <c r="E428">
        <v>37</v>
      </c>
      <c r="F428" t="s">
        <v>244</v>
      </c>
      <c r="G428" t="s">
        <v>30</v>
      </c>
      <c r="H428" t="s">
        <v>850</v>
      </c>
      <c r="I428" t="s">
        <v>608</v>
      </c>
      <c r="J428" t="s">
        <v>263</v>
      </c>
      <c r="K428">
        <v>1</v>
      </c>
      <c r="L428">
        <v>6</v>
      </c>
      <c r="M428">
        <v>2</v>
      </c>
      <c r="Q428" t="b">
        <f t="shared" si="13"/>
        <v>0</v>
      </c>
    </row>
    <row r="429" spans="1:17">
      <c r="A429">
        <f t="shared" si="12"/>
        <v>117</v>
      </c>
      <c r="B429" t="s">
        <v>612</v>
      </c>
      <c r="C429" t="s">
        <v>1057</v>
      </c>
      <c r="D429" t="s">
        <v>278</v>
      </c>
      <c r="E429">
        <v>28</v>
      </c>
      <c r="F429" t="s">
        <v>14</v>
      </c>
      <c r="G429" t="s">
        <v>15</v>
      </c>
      <c r="H429" t="s">
        <v>850</v>
      </c>
      <c r="I429" t="s">
        <v>613</v>
      </c>
      <c r="J429" t="s">
        <v>245</v>
      </c>
      <c r="K429">
        <v>800</v>
      </c>
      <c r="L429">
        <v>7</v>
      </c>
      <c r="M429">
        <v>1</v>
      </c>
      <c r="Q429" t="b">
        <f t="shared" si="13"/>
        <v>1</v>
      </c>
    </row>
    <row r="430" spans="1:17">
      <c r="A430">
        <f t="shared" si="12"/>
        <v>117</v>
      </c>
      <c r="B430" t="s">
        <v>612</v>
      </c>
      <c r="C430" t="s">
        <v>1057</v>
      </c>
      <c r="D430" t="s">
        <v>278</v>
      </c>
      <c r="E430">
        <v>28</v>
      </c>
      <c r="F430" t="s">
        <v>14</v>
      </c>
      <c r="G430" t="s">
        <v>15</v>
      </c>
      <c r="H430" t="s">
        <v>850</v>
      </c>
      <c r="I430" t="s">
        <v>614</v>
      </c>
      <c r="J430" t="s">
        <v>263</v>
      </c>
      <c r="K430">
        <v>1</v>
      </c>
      <c r="L430">
        <v>4</v>
      </c>
      <c r="M430">
        <v>1</v>
      </c>
      <c r="Q430" t="b">
        <f t="shared" si="13"/>
        <v>1</v>
      </c>
    </row>
    <row r="431" spans="1:17">
      <c r="A431">
        <f t="shared" si="12"/>
        <v>117</v>
      </c>
      <c r="B431" t="s">
        <v>612</v>
      </c>
      <c r="C431" t="s">
        <v>1057</v>
      </c>
      <c r="D431" t="s">
        <v>278</v>
      </c>
      <c r="E431">
        <v>28</v>
      </c>
      <c r="F431" t="s">
        <v>14</v>
      </c>
      <c r="G431" t="s">
        <v>15</v>
      </c>
      <c r="H431" t="s">
        <v>850</v>
      </c>
      <c r="I431" t="s">
        <v>615</v>
      </c>
      <c r="J431" t="s">
        <v>263</v>
      </c>
      <c r="K431">
        <v>1</v>
      </c>
      <c r="L431">
        <v>3</v>
      </c>
      <c r="M431">
        <v>2</v>
      </c>
      <c r="Q431" t="b">
        <f t="shared" si="13"/>
        <v>1</v>
      </c>
    </row>
    <row r="432" spans="1:17">
      <c r="A432">
        <f t="shared" si="12"/>
        <v>117</v>
      </c>
      <c r="B432" t="s">
        <v>612</v>
      </c>
      <c r="C432" t="s">
        <v>1057</v>
      </c>
      <c r="D432" t="s">
        <v>278</v>
      </c>
      <c r="E432">
        <v>28</v>
      </c>
      <c r="F432" t="s">
        <v>14</v>
      </c>
      <c r="G432" t="s">
        <v>15</v>
      </c>
      <c r="H432" t="s">
        <v>850</v>
      </c>
      <c r="I432" t="s">
        <v>615</v>
      </c>
      <c r="J432" t="s">
        <v>245</v>
      </c>
      <c r="K432">
        <v>800</v>
      </c>
      <c r="L432">
        <v>3</v>
      </c>
      <c r="M432">
        <v>2</v>
      </c>
      <c r="Q432" t="b">
        <f t="shared" si="13"/>
        <v>1</v>
      </c>
    </row>
    <row r="433" spans="1:17">
      <c r="A433">
        <f t="shared" si="12"/>
        <v>117</v>
      </c>
      <c r="B433" t="s">
        <v>612</v>
      </c>
      <c r="C433" t="s">
        <v>1057</v>
      </c>
      <c r="D433" t="s">
        <v>278</v>
      </c>
      <c r="E433">
        <v>28</v>
      </c>
      <c r="F433" t="s">
        <v>14</v>
      </c>
      <c r="G433" t="s">
        <v>15</v>
      </c>
      <c r="H433" t="s">
        <v>850</v>
      </c>
      <c r="I433" t="s">
        <v>616</v>
      </c>
      <c r="J433" t="s">
        <v>263</v>
      </c>
      <c r="K433">
        <v>1</v>
      </c>
      <c r="L433">
        <v>5</v>
      </c>
      <c r="M433">
        <v>2</v>
      </c>
      <c r="Q433" t="b">
        <f t="shared" si="13"/>
        <v>1</v>
      </c>
    </row>
    <row r="434" spans="1:17">
      <c r="A434">
        <f t="shared" si="12"/>
        <v>117</v>
      </c>
      <c r="B434" t="s">
        <v>612</v>
      </c>
      <c r="C434" t="s">
        <v>1057</v>
      </c>
      <c r="D434" t="s">
        <v>278</v>
      </c>
      <c r="E434">
        <v>28</v>
      </c>
      <c r="F434" t="s">
        <v>14</v>
      </c>
      <c r="G434" t="s">
        <v>15</v>
      </c>
      <c r="H434" t="s">
        <v>850</v>
      </c>
      <c r="I434" t="s">
        <v>617</v>
      </c>
      <c r="J434" t="s">
        <v>245</v>
      </c>
      <c r="K434">
        <v>800</v>
      </c>
      <c r="L434">
        <v>4</v>
      </c>
      <c r="M434">
        <v>2</v>
      </c>
      <c r="Q434" t="b">
        <f t="shared" si="13"/>
        <v>1</v>
      </c>
    </row>
    <row r="435" spans="1:17">
      <c r="A435">
        <f t="shared" si="12"/>
        <v>118</v>
      </c>
      <c r="B435" t="s">
        <v>618</v>
      </c>
      <c r="C435" t="s">
        <v>1058</v>
      </c>
      <c r="D435" t="s">
        <v>1178</v>
      </c>
      <c r="E435">
        <v>34</v>
      </c>
      <c r="F435" t="s">
        <v>14</v>
      </c>
      <c r="G435" t="s">
        <v>15</v>
      </c>
      <c r="H435" t="s">
        <v>850</v>
      </c>
      <c r="I435" t="s">
        <v>620</v>
      </c>
      <c r="J435" t="s">
        <v>245</v>
      </c>
      <c r="K435">
        <v>800</v>
      </c>
      <c r="L435">
        <v>2</v>
      </c>
      <c r="M435">
        <v>0</v>
      </c>
      <c r="Q435" t="b">
        <f t="shared" si="13"/>
        <v>0</v>
      </c>
    </row>
    <row r="436" spans="1:17">
      <c r="A436">
        <f t="shared" si="12"/>
        <v>118</v>
      </c>
      <c r="B436" t="s">
        <v>618</v>
      </c>
      <c r="C436" t="s">
        <v>1058</v>
      </c>
      <c r="D436" t="s">
        <v>1178</v>
      </c>
      <c r="E436">
        <v>34</v>
      </c>
      <c r="F436" t="s">
        <v>14</v>
      </c>
      <c r="G436" t="s">
        <v>15</v>
      </c>
      <c r="H436" t="s">
        <v>850</v>
      </c>
      <c r="I436" t="s">
        <v>621</v>
      </c>
      <c r="J436" t="s">
        <v>245</v>
      </c>
      <c r="K436">
        <v>800</v>
      </c>
      <c r="L436">
        <v>3</v>
      </c>
      <c r="M436">
        <v>2</v>
      </c>
      <c r="Q436" t="b">
        <f t="shared" si="13"/>
        <v>0</v>
      </c>
    </row>
    <row r="437" spans="1:17">
      <c r="A437">
        <f t="shared" si="12"/>
        <v>118</v>
      </c>
      <c r="B437" t="s">
        <v>618</v>
      </c>
      <c r="C437" t="s">
        <v>1058</v>
      </c>
      <c r="D437" t="s">
        <v>1178</v>
      </c>
      <c r="E437">
        <v>34</v>
      </c>
      <c r="F437" t="s">
        <v>14</v>
      </c>
      <c r="G437" t="s">
        <v>15</v>
      </c>
      <c r="H437" t="s">
        <v>850</v>
      </c>
      <c r="I437" t="s">
        <v>619</v>
      </c>
      <c r="J437" t="s">
        <v>245</v>
      </c>
      <c r="K437">
        <v>800</v>
      </c>
      <c r="L437" t="s">
        <v>278</v>
      </c>
      <c r="M437" t="s">
        <v>278</v>
      </c>
      <c r="Q437" t="b">
        <f t="shared" si="13"/>
        <v>0</v>
      </c>
    </row>
    <row r="438" spans="1:17">
      <c r="A438">
        <f t="shared" si="12"/>
        <v>119</v>
      </c>
      <c r="B438" t="s">
        <v>622</v>
      </c>
      <c r="C438" t="s">
        <v>1059</v>
      </c>
      <c r="D438" t="s">
        <v>1179</v>
      </c>
      <c r="E438">
        <v>39</v>
      </c>
      <c r="F438" t="s">
        <v>118</v>
      </c>
      <c r="G438" t="s">
        <v>30</v>
      </c>
      <c r="H438" t="s">
        <v>850</v>
      </c>
      <c r="I438" t="s">
        <v>624</v>
      </c>
      <c r="J438" t="s">
        <v>245</v>
      </c>
      <c r="K438">
        <v>800</v>
      </c>
      <c r="L438">
        <v>6</v>
      </c>
      <c r="M438">
        <v>2</v>
      </c>
      <c r="Q438" t="b">
        <f t="shared" si="13"/>
        <v>1</v>
      </c>
    </row>
    <row r="439" spans="1:17">
      <c r="A439">
        <f t="shared" si="12"/>
        <v>119</v>
      </c>
      <c r="B439" t="s">
        <v>622</v>
      </c>
      <c r="C439" t="s">
        <v>1059</v>
      </c>
      <c r="D439" t="s">
        <v>1179</v>
      </c>
      <c r="E439">
        <v>39</v>
      </c>
      <c r="F439" t="s">
        <v>118</v>
      </c>
      <c r="G439" t="s">
        <v>30</v>
      </c>
      <c r="H439" t="s">
        <v>850</v>
      </c>
      <c r="I439" t="s">
        <v>624</v>
      </c>
      <c r="J439" t="s">
        <v>263</v>
      </c>
      <c r="K439">
        <v>2</v>
      </c>
      <c r="L439">
        <v>6</v>
      </c>
      <c r="M439">
        <v>2</v>
      </c>
      <c r="Q439" t="b">
        <f t="shared" si="13"/>
        <v>1</v>
      </c>
    </row>
    <row r="440" spans="1:17">
      <c r="A440">
        <f t="shared" si="12"/>
        <v>119</v>
      </c>
      <c r="B440" t="s">
        <v>622</v>
      </c>
      <c r="C440" t="s">
        <v>1059</v>
      </c>
      <c r="D440" t="s">
        <v>1179</v>
      </c>
      <c r="E440">
        <v>39</v>
      </c>
      <c r="F440" t="s">
        <v>118</v>
      </c>
      <c r="G440" t="s">
        <v>30</v>
      </c>
      <c r="H440" t="s">
        <v>850</v>
      </c>
      <c r="I440" t="s">
        <v>625</v>
      </c>
      <c r="J440" t="s">
        <v>245</v>
      </c>
      <c r="K440">
        <v>800</v>
      </c>
      <c r="L440">
        <v>7</v>
      </c>
      <c r="M440">
        <v>3</v>
      </c>
      <c r="Q440" t="b">
        <f t="shared" si="13"/>
        <v>1</v>
      </c>
    </row>
    <row r="441" spans="1:17">
      <c r="A441">
        <f t="shared" si="12"/>
        <v>119</v>
      </c>
      <c r="B441" t="s">
        <v>622</v>
      </c>
      <c r="C441" t="s">
        <v>1059</v>
      </c>
      <c r="D441" t="s">
        <v>1179</v>
      </c>
      <c r="E441">
        <v>39</v>
      </c>
      <c r="F441" t="s">
        <v>118</v>
      </c>
      <c r="G441" t="s">
        <v>30</v>
      </c>
      <c r="H441" t="s">
        <v>850</v>
      </c>
      <c r="I441" t="s">
        <v>625</v>
      </c>
      <c r="J441" t="s">
        <v>263</v>
      </c>
      <c r="K441">
        <v>2</v>
      </c>
      <c r="L441">
        <v>7</v>
      </c>
      <c r="M441">
        <v>3</v>
      </c>
      <c r="Q441" t="b">
        <f t="shared" si="13"/>
        <v>1</v>
      </c>
    </row>
    <row r="442" spans="1:17">
      <c r="A442">
        <f t="shared" si="12"/>
        <v>119</v>
      </c>
      <c r="B442" t="s">
        <v>622</v>
      </c>
      <c r="C442" t="s">
        <v>1059</v>
      </c>
      <c r="D442" t="s">
        <v>1179</v>
      </c>
      <c r="E442">
        <v>39</v>
      </c>
      <c r="F442" t="s">
        <v>118</v>
      </c>
      <c r="G442" t="s">
        <v>30</v>
      </c>
      <c r="H442" t="s">
        <v>850</v>
      </c>
      <c r="I442" t="s">
        <v>626</v>
      </c>
      <c r="J442" t="s">
        <v>263</v>
      </c>
      <c r="K442">
        <v>2</v>
      </c>
      <c r="L442">
        <v>7</v>
      </c>
      <c r="M442">
        <v>3</v>
      </c>
      <c r="Q442" t="b">
        <f t="shared" si="13"/>
        <v>1</v>
      </c>
    </row>
    <row r="443" spans="1:17">
      <c r="A443">
        <f t="shared" si="12"/>
        <v>119</v>
      </c>
      <c r="B443" t="s">
        <v>622</v>
      </c>
      <c r="C443" t="s">
        <v>1059</v>
      </c>
      <c r="D443" t="s">
        <v>1179</v>
      </c>
      <c r="E443">
        <v>39</v>
      </c>
      <c r="F443" t="s">
        <v>118</v>
      </c>
      <c r="G443" t="s">
        <v>30</v>
      </c>
      <c r="H443" t="s">
        <v>850</v>
      </c>
      <c r="I443" t="s">
        <v>627</v>
      </c>
      <c r="J443" t="s">
        <v>245</v>
      </c>
      <c r="K443">
        <v>800</v>
      </c>
      <c r="L443">
        <v>7</v>
      </c>
      <c r="M443">
        <v>0</v>
      </c>
      <c r="Q443" t="b">
        <f t="shared" si="13"/>
        <v>1</v>
      </c>
    </row>
    <row r="444" spans="1:17">
      <c r="A444">
        <f t="shared" si="12"/>
        <v>119</v>
      </c>
      <c r="B444" t="s">
        <v>622</v>
      </c>
      <c r="C444" t="s">
        <v>1059</v>
      </c>
      <c r="D444" t="s">
        <v>1179</v>
      </c>
      <c r="E444">
        <v>39</v>
      </c>
      <c r="F444" t="s">
        <v>118</v>
      </c>
      <c r="G444" t="s">
        <v>30</v>
      </c>
      <c r="H444" t="s">
        <v>850</v>
      </c>
      <c r="I444" t="s">
        <v>627</v>
      </c>
      <c r="J444" t="s">
        <v>263</v>
      </c>
      <c r="K444">
        <v>2</v>
      </c>
      <c r="L444">
        <v>7</v>
      </c>
      <c r="M444">
        <v>0</v>
      </c>
      <c r="Q444" t="b">
        <f t="shared" si="13"/>
        <v>1</v>
      </c>
    </row>
    <row r="445" spans="1:17">
      <c r="A445">
        <f t="shared" si="12"/>
        <v>119</v>
      </c>
      <c r="B445" t="s">
        <v>622</v>
      </c>
      <c r="C445" t="s">
        <v>1059</v>
      </c>
      <c r="D445" t="s">
        <v>1179</v>
      </c>
      <c r="E445">
        <v>39</v>
      </c>
      <c r="F445" t="s">
        <v>118</v>
      </c>
      <c r="G445" t="s">
        <v>30</v>
      </c>
      <c r="H445" t="s">
        <v>850</v>
      </c>
      <c r="I445" t="s">
        <v>628</v>
      </c>
      <c r="J445" t="s">
        <v>263</v>
      </c>
      <c r="K445">
        <v>2</v>
      </c>
      <c r="L445">
        <v>5</v>
      </c>
      <c r="M445">
        <v>5</v>
      </c>
      <c r="Q445" t="b">
        <f t="shared" si="13"/>
        <v>1</v>
      </c>
    </row>
    <row r="446" spans="1:17">
      <c r="A446">
        <f t="shared" si="12"/>
        <v>119</v>
      </c>
      <c r="B446" t="s">
        <v>622</v>
      </c>
      <c r="C446" t="s">
        <v>1059</v>
      </c>
      <c r="D446" t="s">
        <v>1179</v>
      </c>
      <c r="E446">
        <v>39</v>
      </c>
      <c r="F446" t="s">
        <v>118</v>
      </c>
      <c r="G446" t="s">
        <v>30</v>
      </c>
      <c r="H446" t="s">
        <v>850</v>
      </c>
      <c r="I446" t="s">
        <v>623</v>
      </c>
      <c r="J446" t="s">
        <v>245</v>
      </c>
      <c r="K446">
        <v>800</v>
      </c>
      <c r="L446">
        <v>5</v>
      </c>
      <c r="M446">
        <v>5</v>
      </c>
      <c r="Q446" t="b">
        <f t="shared" si="13"/>
        <v>1</v>
      </c>
    </row>
    <row r="447" spans="1:17">
      <c r="A447">
        <f t="shared" si="12"/>
        <v>120</v>
      </c>
      <c r="B447" t="s">
        <v>629</v>
      </c>
      <c r="C447" t="s">
        <v>1060</v>
      </c>
      <c r="D447" s="2">
        <v>43285</v>
      </c>
      <c r="E447">
        <v>44</v>
      </c>
      <c r="F447" t="s">
        <v>14</v>
      </c>
      <c r="G447" t="s">
        <v>30</v>
      </c>
      <c r="H447" t="s">
        <v>850</v>
      </c>
      <c r="I447" t="s">
        <v>630</v>
      </c>
      <c r="J447" t="s">
        <v>824</v>
      </c>
      <c r="K447">
        <v>1000</v>
      </c>
      <c r="L447">
        <v>0</v>
      </c>
      <c r="M447">
        <v>0</v>
      </c>
      <c r="Q447" t="b">
        <f t="shared" si="13"/>
        <v>0</v>
      </c>
    </row>
    <row r="448" spans="1:17">
      <c r="A448">
        <f t="shared" si="12"/>
        <v>120</v>
      </c>
      <c r="B448" t="s">
        <v>629</v>
      </c>
      <c r="C448" t="s">
        <v>1060</v>
      </c>
      <c r="D448" s="2">
        <v>43285</v>
      </c>
      <c r="E448">
        <v>44</v>
      </c>
      <c r="F448" t="s">
        <v>14</v>
      </c>
      <c r="G448" t="s">
        <v>30</v>
      </c>
      <c r="H448" t="s">
        <v>850</v>
      </c>
      <c r="I448" t="s">
        <v>631</v>
      </c>
      <c r="J448" t="s">
        <v>256</v>
      </c>
      <c r="K448">
        <v>30</v>
      </c>
      <c r="L448">
        <v>0</v>
      </c>
      <c r="M448">
        <v>0</v>
      </c>
      <c r="Q448" t="b">
        <f t="shared" si="13"/>
        <v>0</v>
      </c>
    </row>
    <row r="449" spans="1:17">
      <c r="A449">
        <f t="shared" si="12"/>
        <v>120</v>
      </c>
      <c r="B449" t="s">
        <v>629</v>
      </c>
      <c r="C449" t="s">
        <v>1060</v>
      </c>
      <c r="D449" s="2">
        <v>43285</v>
      </c>
      <c r="E449">
        <v>44</v>
      </c>
      <c r="F449" t="s">
        <v>14</v>
      </c>
      <c r="G449" t="s">
        <v>30</v>
      </c>
      <c r="H449" t="s">
        <v>850</v>
      </c>
      <c r="I449" t="s">
        <v>632</v>
      </c>
      <c r="J449" t="s">
        <v>256</v>
      </c>
      <c r="K449">
        <v>30</v>
      </c>
      <c r="L449">
        <v>0</v>
      </c>
      <c r="M449">
        <v>0</v>
      </c>
      <c r="Q449" t="b">
        <f t="shared" si="13"/>
        <v>0</v>
      </c>
    </row>
    <row r="450" spans="1:17">
      <c r="A450">
        <f t="shared" ref="A450:A513" si="14">IF(ROW()=2,1,IF(B450=B449,A449,A449+1))</f>
        <v>120</v>
      </c>
      <c r="B450" t="s">
        <v>629</v>
      </c>
      <c r="C450" t="s">
        <v>1060</v>
      </c>
      <c r="D450" s="2">
        <v>43285</v>
      </c>
      <c r="E450">
        <v>44</v>
      </c>
      <c r="F450" t="s">
        <v>14</v>
      </c>
      <c r="G450" t="s">
        <v>30</v>
      </c>
      <c r="H450" t="s">
        <v>850</v>
      </c>
      <c r="I450" t="s">
        <v>633</v>
      </c>
      <c r="J450" t="s">
        <v>256</v>
      </c>
      <c r="K450">
        <v>30</v>
      </c>
      <c r="L450">
        <v>3</v>
      </c>
      <c r="M450">
        <v>0</v>
      </c>
      <c r="Q450" t="b">
        <f t="shared" ref="Q450:Q513" si="15">ISODD(A450)</f>
        <v>0</v>
      </c>
    </row>
    <row r="451" spans="1:17">
      <c r="A451">
        <f t="shared" si="14"/>
        <v>120</v>
      </c>
      <c r="B451" t="s">
        <v>629</v>
      </c>
      <c r="C451" t="s">
        <v>1060</v>
      </c>
      <c r="D451" s="2">
        <v>43285</v>
      </c>
      <c r="E451">
        <v>44</v>
      </c>
      <c r="F451" t="s">
        <v>14</v>
      </c>
      <c r="G451" t="s">
        <v>30</v>
      </c>
      <c r="H451" t="s">
        <v>850</v>
      </c>
      <c r="I451" t="s">
        <v>634</v>
      </c>
      <c r="J451" t="s">
        <v>268</v>
      </c>
      <c r="K451">
        <v>650</v>
      </c>
      <c r="L451">
        <v>7</v>
      </c>
      <c r="M451">
        <v>0</v>
      </c>
      <c r="Q451" t="b">
        <f t="shared" si="15"/>
        <v>0</v>
      </c>
    </row>
    <row r="452" spans="1:17">
      <c r="A452">
        <f t="shared" si="14"/>
        <v>120</v>
      </c>
      <c r="B452" t="s">
        <v>629</v>
      </c>
      <c r="C452" t="s">
        <v>1060</v>
      </c>
      <c r="D452" s="2">
        <v>43285</v>
      </c>
      <c r="E452">
        <v>44</v>
      </c>
      <c r="F452" t="s">
        <v>14</v>
      </c>
      <c r="G452" t="s">
        <v>30</v>
      </c>
      <c r="H452" t="s">
        <v>850</v>
      </c>
      <c r="I452" t="s">
        <v>634</v>
      </c>
      <c r="J452" t="s">
        <v>256</v>
      </c>
      <c r="K452">
        <v>30</v>
      </c>
      <c r="L452">
        <v>7</v>
      </c>
      <c r="M452">
        <v>0</v>
      </c>
      <c r="Q452" t="b">
        <f t="shared" si="15"/>
        <v>0</v>
      </c>
    </row>
    <row r="453" spans="1:17">
      <c r="A453">
        <f t="shared" si="14"/>
        <v>121</v>
      </c>
      <c r="B453" t="s">
        <v>635</v>
      </c>
      <c r="C453" t="s">
        <v>1061</v>
      </c>
      <c r="D453" t="s">
        <v>1180</v>
      </c>
      <c r="E453">
        <v>35</v>
      </c>
      <c r="F453" t="s">
        <v>14</v>
      </c>
      <c r="G453" t="s">
        <v>15</v>
      </c>
      <c r="H453" t="s">
        <v>850</v>
      </c>
      <c r="I453" t="s">
        <v>637</v>
      </c>
      <c r="J453" t="s">
        <v>245</v>
      </c>
      <c r="K453">
        <v>800</v>
      </c>
      <c r="L453">
        <v>4</v>
      </c>
      <c r="M453">
        <v>0</v>
      </c>
      <c r="Q453" t="b">
        <f t="shared" si="15"/>
        <v>1</v>
      </c>
    </row>
    <row r="454" spans="1:17">
      <c r="A454">
        <f t="shared" si="14"/>
        <v>121</v>
      </c>
      <c r="B454" t="s">
        <v>635</v>
      </c>
      <c r="C454" t="s">
        <v>1061</v>
      </c>
      <c r="D454" t="s">
        <v>1180</v>
      </c>
      <c r="E454">
        <v>35</v>
      </c>
      <c r="F454" t="s">
        <v>14</v>
      </c>
      <c r="G454" t="s">
        <v>15</v>
      </c>
      <c r="H454" t="s">
        <v>850</v>
      </c>
      <c r="I454" t="s">
        <v>616</v>
      </c>
      <c r="J454" t="s">
        <v>245</v>
      </c>
      <c r="K454">
        <v>800</v>
      </c>
      <c r="L454">
        <v>5</v>
      </c>
      <c r="M454">
        <v>0</v>
      </c>
      <c r="Q454" t="b">
        <f t="shared" si="15"/>
        <v>1</v>
      </c>
    </row>
    <row r="455" spans="1:17">
      <c r="A455">
        <f t="shared" si="14"/>
        <v>121</v>
      </c>
      <c r="B455" t="s">
        <v>635</v>
      </c>
      <c r="C455" t="s">
        <v>1061</v>
      </c>
      <c r="D455" t="s">
        <v>1180</v>
      </c>
      <c r="E455">
        <v>35</v>
      </c>
      <c r="F455" t="s">
        <v>14</v>
      </c>
      <c r="G455" t="s">
        <v>15</v>
      </c>
      <c r="H455" t="s">
        <v>850</v>
      </c>
      <c r="I455" t="s">
        <v>636</v>
      </c>
      <c r="J455" t="s">
        <v>245</v>
      </c>
      <c r="K455">
        <v>800</v>
      </c>
      <c r="L455">
        <v>5</v>
      </c>
      <c r="M455">
        <v>0</v>
      </c>
      <c r="Q455" t="b">
        <f t="shared" si="15"/>
        <v>1</v>
      </c>
    </row>
    <row r="456" spans="1:17">
      <c r="A456">
        <f t="shared" si="14"/>
        <v>121</v>
      </c>
      <c r="B456" t="s">
        <v>635</v>
      </c>
      <c r="C456" t="s">
        <v>1061</v>
      </c>
      <c r="D456" t="s">
        <v>1180</v>
      </c>
      <c r="E456">
        <v>35</v>
      </c>
      <c r="F456" t="s">
        <v>14</v>
      </c>
      <c r="G456" t="s">
        <v>15</v>
      </c>
      <c r="H456" t="s">
        <v>850</v>
      </c>
      <c r="I456" t="s">
        <v>636</v>
      </c>
      <c r="J456" t="s">
        <v>263</v>
      </c>
      <c r="K456">
        <v>1</v>
      </c>
      <c r="L456">
        <v>5</v>
      </c>
      <c r="M456">
        <v>0</v>
      </c>
      <c r="Q456" t="b">
        <f t="shared" si="15"/>
        <v>1</v>
      </c>
    </row>
    <row r="457" spans="1:17">
      <c r="A457">
        <f t="shared" si="14"/>
        <v>122</v>
      </c>
      <c r="B457" t="s">
        <v>638</v>
      </c>
      <c r="C457" t="s">
        <v>1062</v>
      </c>
      <c r="D457" t="s">
        <v>278</v>
      </c>
      <c r="E457">
        <v>34</v>
      </c>
      <c r="F457" t="s">
        <v>244</v>
      </c>
      <c r="G457" t="s">
        <v>15</v>
      </c>
      <c r="H457" t="s">
        <v>850</v>
      </c>
      <c r="I457" t="s">
        <v>639</v>
      </c>
      <c r="J457" t="s">
        <v>245</v>
      </c>
      <c r="K457">
        <v>800</v>
      </c>
      <c r="L457">
        <v>0</v>
      </c>
      <c r="M457">
        <v>0</v>
      </c>
      <c r="Q457" t="b">
        <f t="shared" si="15"/>
        <v>0</v>
      </c>
    </row>
    <row r="458" spans="1:17">
      <c r="A458">
        <f t="shared" si="14"/>
        <v>122</v>
      </c>
      <c r="B458" t="s">
        <v>638</v>
      </c>
      <c r="C458" t="s">
        <v>1062</v>
      </c>
      <c r="D458" t="s">
        <v>278</v>
      </c>
      <c r="E458">
        <v>34</v>
      </c>
      <c r="F458" t="s">
        <v>244</v>
      </c>
      <c r="G458" t="s">
        <v>15</v>
      </c>
      <c r="H458" t="s">
        <v>850</v>
      </c>
      <c r="I458" t="s">
        <v>640</v>
      </c>
      <c r="J458" t="s">
        <v>245</v>
      </c>
      <c r="K458">
        <v>800</v>
      </c>
      <c r="L458">
        <v>2</v>
      </c>
      <c r="M458">
        <v>0</v>
      </c>
      <c r="Q458" t="b">
        <f t="shared" si="15"/>
        <v>0</v>
      </c>
    </row>
    <row r="459" spans="1:17">
      <c r="A459">
        <f t="shared" si="14"/>
        <v>122</v>
      </c>
      <c r="B459" t="s">
        <v>638</v>
      </c>
      <c r="C459" t="s">
        <v>1062</v>
      </c>
      <c r="D459" t="s">
        <v>278</v>
      </c>
      <c r="E459">
        <v>34</v>
      </c>
      <c r="F459" t="s">
        <v>244</v>
      </c>
      <c r="G459" t="s">
        <v>15</v>
      </c>
      <c r="H459" t="s">
        <v>850</v>
      </c>
      <c r="I459" t="s">
        <v>641</v>
      </c>
      <c r="J459" t="s">
        <v>245</v>
      </c>
      <c r="K459">
        <v>800</v>
      </c>
      <c r="L459">
        <v>2</v>
      </c>
      <c r="M459">
        <v>0</v>
      </c>
      <c r="Q459" t="b">
        <f t="shared" si="15"/>
        <v>0</v>
      </c>
    </row>
    <row r="460" spans="1:17">
      <c r="A460">
        <f t="shared" si="14"/>
        <v>122</v>
      </c>
      <c r="B460" t="s">
        <v>638</v>
      </c>
      <c r="C460" t="s">
        <v>1062</v>
      </c>
      <c r="D460" t="s">
        <v>278</v>
      </c>
      <c r="E460">
        <v>34</v>
      </c>
      <c r="F460" t="s">
        <v>244</v>
      </c>
      <c r="G460" t="s">
        <v>15</v>
      </c>
      <c r="H460" t="s">
        <v>850</v>
      </c>
      <c r="I460" t="s">
        <v>642</v>
      </c>
      <c r="J460" t="s">
        <v>245</v>
      </c>
      <c r="K460">
        <v>800</v>
      </c>
      <c r="L460">
        <v>2</v>
      </c>
      <c r="M460">
        <v>0</v>
      </c>
      <c r="Q460" t="b">
        <f t="shared" si="15"/>
        <v>0</v>
      </c>
    </row>
    <row r="461" spans="1:17">
      <c r="A461">
        <f t="shared" si="14"/>
        <v>123</v>
      </c>
      <c r="B461" t="s">
        <v>643</v>
      </c>
      <c r="C461" t="s">
        <v>1063</v>
      </c>
      <c r="D461" t="s">
        <v>1181</v>
      </c>
      <c r="E461">
        <v>27</v>
      </c>
      <c r="F461" t="s">
        <v>244</v>
      </c>
      <c r="G461" t="s">
        <v>15</v>
      </c>
      <c r="H461" t="s">
        <v>850</v>
      </c>
      <c r="I461" t="s">
        <v>645</v>
      </c>
      <c r="J461" t="s">
        <v>245</v>
      </c>
      <c r="K461">
        <v>800</v>
      </c>
      <c r="L461">
        <v>5</v>
      </c>
      <c r="M461">
        <v>4</v>
      </c>
      <c r="Q461" t="b">
        <f t="shared" si="15"/>
        <v>1</v>
      </c>
    </row>
    <row r="462" spans="1:17">
      <c r="A462">
        <f t="shared" si="14"/>
        <v>123</v>
      </c>
      <c r="B462" t="s">
        <v>643</v>
      </c>
      <c r="C462" t="s">
        <v>1063</v>
      </c>
      <c r="D462" t="s">
        <v>1181</v>
      </c>
      <c r="E462">
        <v>27</v>
      </c>
      <c r="F462" t="s">
        <v>244</v>
      </c>
      <c r="G462" t="s">
        <v>15</v>
      </c>
      <c r="H462" t="s">
        <v>850</v>
      </c>
      <c r="I462" t="s">
        <v>646</v>
      </c>
      <c r="J462" t="s">
        <v>263</v>
      </c>
      <c r="K462">
        <v>2</v>
      </c>
      <c r="L462">
        <v>9</v>
      </c>
      <c r="M462">
        <v>1</v>
      </c>
      <c r="Q462" t="b">
        <f t="shared" si="15"/>
        <v>1</v>
      </c>
    </row>
    <row r="463" spans="1:17">
      <c r="A463">
        <f t="shared" si="14"/>
        <v>123</v>
      </c>
      <c r="B463" t="s">
        <v>643</v>
      </c>
      <c r="C463" t="s">
        <v>1063</v>
      </c>
      <c r="D463" t="s">
        <v>1181</v>
      </c>
      <c r="E463">
        <v>27</v>
      </c>
      <c r="F463" t="s">
        <v>244</v>
      </c>
      <c r="G463" t="s">
        <v>15</v>
      </c>
      <c r="H463" t="s">
        <v>850</v>
      </c>
      <c r="I463" t="s">
        <v>647</v>
      </c>
      <c r="J463" t="s">
        <v>245</v>
      </c>
      <c r="K463">
        <v>800</v>
      </c>
      <c r="L463">
        <v>7</v>
      </c>
      <c r="M463">
        <v>1</v>
      </c>
      <c r="Q463" t="b">
        <f t="shared" si="15"/>
        <v>1</v>
      </c>
    </row>
    <row r="464" spans="1:17">
      <c r="A464">
        <f t="shared" si="14"/>
        <v>123</v>
      </c>
      <c r="B464" t="s">
        <v>643</v>
      </c>
      <c r="C464" t="s">
        <v>1063</v>
      </c>
      <c r="D464" t="s">
        <v>1181</v>
      </c>
      <c r="E464">
        <v>27</v>
      </c>
      <c r="F464" t="s">
        <v>244</v>
      </c>
      <c r="G464" t="s">
        <v>15</v>
      </c>
      <c r="H464" t="s">
        <v>850</v>
      </c>
      <c r="I464" t="s">
        <v>644</v>
      </c>
      <c r="J464" t="s">
        <v>245</v>
      </c>
      <c r="K464">
        <v>800</v>
      </c>
      <c r="L464">
        <v>3</v>
      </c>
      <c r="M464">
        <v>0</v>
      </c>
      <c r="Q464" t="b">
        <f t="shared" si="15"/>
        <v>1</v>
      </c>
    </row>
    <row r="465" spans="1:17">
      <c r="A465">
        <f t="shared" si="14"/>
        <v>124</v>
      </c>
      <c r="B465" t="s">
        <v>649</v>
      </c>
      <c r="C465" t="s">
        <v>1064</v>
      </c>
      <c r="D465" t="s">
        <v>1182</v>
      </c>
      <c r="E465">
        <v>31</v>
      </c>
      <c r="F465" t="s">
        <v>14</v>
      </c>
      <c r="G465" t="s">
        <v>30</v>
      </c>
      <c r="H465" t="s">
        <v>850</v>
      </c>
      <c r="I465" t="s">
        <v>650</v>
      </c>
      <c r="J465" t="s">
        <v>256</v>
      </c>
      <c r="K465">
        <v>30</v>
      </c>
      <c r="L465">
        <v>10</v>
      </c>
      <c r="M465">
        <v>0</v>
      </c>
      <c r="Q465" t="b">
        <f t="shared" si="15"/>
        <v>0</v>
      </c>
    </row>
    <row r="466" spans="1:17">
      <c r="A466">
        <f t="shared" si="14"/>
        <v>124</v>
      </c>
      <c r="B466" t="s">
        <v>649</v>
      </c>
      <c r="C466" t="s">
        <v>1064</v>
      </c>
      <c r="D466" t="s">
        <v>1182</v>
      </c>
      <c r="E466">
        <v>31</v>
      </c>
      <c r="F466" t="s">
        <v>14</v>
      </c>
      <c r="G466" t="s">
        <v>30</v>
      </c>
      <c r="H466" t="s">
        <v>850</v>
      </c>
      <c r="I466" t="s">
        <v>651</v>
      </c>
      <c r="J466" t="s">
        <v>256</v>
      </c>
      <c r="K466">
        <v>30</v>
      </c>
      <c r="L466">
        <v>6</v>
      </c>
      <c r="M466">
        <v>0</v>
      </c>
      <c r="Q466" t="b">
        <f t="shared" si="15"/>
        <v>0</v>
      </c>
    </row>
    <row r="467" spans="1:17">
      <c r="A467">
        <f t="shared" si="14"/>
        <v>124</v>
      </c>
      <c r="B467" t="s">
        <v>649</v>
      </c>
      <c r="C467" t="s">
        <v>1064</v>
      </c>
      <c r="D467" t="s">
        <v>1182</v>
      </c>
      <c r="E467">
        <v>31</v>
      </c>
      <c r="F467" t="s">
        <v>14</v>
      </c>
      <c r="G467" t="s">
        <v>30</v>
      </c>
      <c r="H467" t="s">
        <v>850</v>
      </c>
      <c r="I467" t="s">
        <v>652</v>
      </c>
      <c r="J467" t="s">
        <v>256</v>
      </c>
      <c r="K467">
        <v>30</v>
      </c>
      <c r="L467">
        <v>5</v>
      </c>
      <c r="M467">
        <v>3</v>
      </c>
      <c r="Q467" t="b">
        <f t="shared" si="15"/>
        <v>0</v>
      </c>
    </row>
    <row r="468" spans="1:17">
      <c r="A468">
        <f t="shared" si="14"/>
        <v>124</v>
      </c>
      <c r="B468" t="s">
        <v>649</v>
      </c>
      <c r="C468" t="s">
        <v>1064</v>
      </c>
      <c r="D468" t="s">
        <v>1182</v>
      </c>
      <c r="E468">
        <v>31</v>
      </c>
      <c r="F468" t="s">
        <v>14</v>
      </c>
      <c r="G468" t="s">
        <v>30</v>
      </c>
      <c r="H468" t="s">
        <v>850</v>
      </c>
      <c r="I468" t="s">
        <v>648</v>
      </c>
      <c r="J468" t="s">
        <v>256</v>
      </c>
      <c r="K468">
        <v>30</v>
      </c>
      <c r="L468">
        <v>5</v>
      </c>
      <c r="M468">
        <v>3</v>
      </c>
      <c r="Q468" t="b">
        <f t="shared" si="15"/>
        <v>0</v>
      </c>
    </row>
    <row r="469" spans="1:17">
      <c r="A469">
        <f t="shared" si="14"/>
        <v>125</v>
      </c>
      <c r="B469" t="s">
        <v>653</v>
      </c>
      <c r="C469" t="s">
        <v>1065</v>
      </c>
      <c r="D469" t="s">
        <v>1183</v>
      </c>
      <c r="E469">
        <v>19</v>
      </c>
      <c r="F469" t="s">
        <v>14</v>
      </c>
      <c r="G469" t="s">
        <v>15</v>
      </c>
      <c r="H469" t="s">
        <v>850</v>
      </c>
      <c r="I469" t="s">
        <v>655</v>
      </c>
      <c r="J469" t="s">
        <v>245</v>
      </c>
      <c r="K469">
        <v>800</v>
      </c>
      <c r="L469">
        <v>8</v>
      </c>
      <c r="M469">
        <v>5</v>
      </c>
      <c r="Q469" t="b">
        <f t="shared" si="15"/>
        <v>1</v>
      </c>
    </row>
    <row r="470" spans="1:17">
      <c r="A470">
        <f t="shared" si="14"/>
        <v>125</v>
      </c>
      <c r="B470" t="s">
        <v>653</v>
      </c>
      <c r="C470" t="s">
        <v>1065</v>
      </c>
      <c r="D470" t="s">
        <v>1183</v>
      </c>
      <c r="E470">
        <v>19</v>
      </c>
      <c r="F470" t="s">
        <v>14</v>
      </c>
      <c r="G470" t="s">
        <v>15</v>
      </c>
      <c r="H470" t="s">
        <v>850</v>
      </c>
      <c r="I470" t="s">
        <v>656</v>
      </c>
      <c r="J470" t="s">
        <v>245</v>
      </c>
      <c r="K470">
        <v>800</v>
      </c>
      <c r="L470">
        <v>3</v>
      </c>
      <c r="M470">
        <v>0</v>
      </c>
      <c r="Q470" t="b">
        <f t="shared" si="15"/>
        <v>1</v>
      </c>
    </row>
    <row r="471" spans="1:17">
      <c r="A471">
        <f t="shared" si="14"/>
        <v>125</v>
      </c>
      <c r="B471" t="s">
        <v>653</v>
      </c>
      <c r="C471" t="s">
        <v>1065</v>
      </c>
      <c r="D471" t="s">
        <v>1183</v>
      </c>
      <c r="E471">
        <v>19</v>
      </c>
      <c r="F471" t="s">
        <v>14</v>
      </c>
      <c r="G471" t="s">
        <v>15</v>
      </c>
      <c r="H471" t="s">
        <v>850</v>
      </c>
      <c r="I471" t="s">
        <v>657</v>
      </c>
      <c r="J471" t="s">
        <v>245</v>
      </c>
      <c r="K471">
        <v>800</v>
      </c>
      <c r="L471">
        <v>5</v>
      </c>
      <c r="M471">
        <v>2</v>
      </c>
      <c r="Q471" t="b">
        <f t="shared" si="15"/>
        <v>1</v>
      </c>
    </row>
    <row r="472" spans="1:17">
      <c r="A472">
        <f t="shared" si="14"/>
        <v>125</v>
      </c>
      <c r="B472" t="s">
        <v>653</v>
      </c>
      <c r="C472" t="s">
        <v>1065</v>
      </c>
      <c r="D472" t="s">
        <v>1183</v>
      </c>
      <c r="E472">
        <v>19</v>
      </c>
      <c r="F472" t="s">
        <v>14</v>
      </c>
      <c r="G472" t="s">
        <v>15</v>
      </c>
      <c r="H472" t="s">
        <v>850</v>
      </c>
      <c r="I472" t="s">
        <v>654</v>
      </c>
      <c r="J472" t="s">
        <v>245</v>
      </c>
      <c r="K472">
        <v>800</v>
      </c>
      <c r="L472">
        <v>5</v>
      </c>
      <c r="M472">
        <v>1</v>
      </c>
      <c r="Q472" t="b">
        <f t="shared" si="15"/>
        <v>1</v>
      </c>
    </row>
    <row r="473" spans="1:17">
      <c r="A473">
        <f t="shared" si="14"/>
        <v>126</v>
      </c>
      <c r="B473" t="s">
        <v>658</v>
      </c>
      <c r="C473" t="s">
        <v>1066</v>
      </c>
      <c r="D473" t="s">
        <v>1184</v>
      </c>
      <c r="E473">
        <v>36</v>
      </c>
      <c r="F473" t="s">
        <v>14</v>
      </c>
      <c r="G473" t="s">
        <v>30</v>
      </c>
      <c r="H473" t="s">
        <v>850</v>
      </c>
      <c r="I473" t="s">
        <v>660</v>
      </c>
      <c r="J473" t="s">
        <v>256</v>
      </c>
      <c r="K473">
        <v>30</v>
      </c>
      <c r="L473">
        <v>6</v>
      </c>
      <c r="M473">
        <v>0</v>
      </c>
      <c r="Q473" t="b">
        <f t="shared" si="15"/>
        <v>0</v>
      </c>
    </row>
    <row r="474" spans="1:17">
      <c r="A474">
        <f t="shared" si="14"/>
        <v>126</v>
      </c>
      <c r="B474" t="s">
        <v>658</v>
      </c>
      <c r="C474" t="s">
        <v>1066</v>
      </c>
      <c r="D474" t="s">
        <v>1184</v>
      </c>
      <c r="E474">
        <v>36</v>
      </c>
      <c r="F474" t="s">
        <v>14</v>
      </c>
      <c r="G474" t="s">
        <v>30</v>
      </c>
      <c r="H474" t="s">
        <v>850</v>
      </c>
      <c r="I474" t="s">
        <v>659</v>
      </c>
      <c r="J474" t="s">
        <v>256</v>
      </c>
      <c r="K474">
        <v>30</v>
      </c>
      <c r="L474">
        <v>5</v>
      </c>
      <c r="M474">
        <v>3</v>
      </c>
      <c r="Q474" t="b">
        <f t="shared" si="15"/>
        <v>0</v>
      </c>
    </row>
    <row r="475" spans="1:17">
      <c r="A475">
        <f t="shared" si="14"/>
        <v>127</v>
      </c>
      <c r="B475" t="s">
        <v>661</v>
      </c>
      <c r="C475" t="s">
        <v>1067</v>
      </c>
      <c r="D475" t="s">
        <v>1185</v>
      </c>
      <c r="E475">
        <v>24</v>
      </c>
      <c r="F475" t="s">
        <v>146</v>
      </c>
      <c r="G475" t="s">
        <v>30</v>
      </c>
      <c r="H475" t="s">
        <v>850</v>
      </c>
      <c r="I475" t="s">
        <v>663</v>
      </c>
      <c r="J475" t="s">
        <v>256</v>
      </c>
      <c r="K475">
        <v>30</v>
      </c>
      <c r="L475">
        <v>3</v>
      </c>
      <c r="M475">
        <v>1</v>
      </c>
      <c r="Q475" t="b">
        <f t="shared" si="15"/>
        <v>1</v>
      </c>
    </row>
    <row r="476" spans="1:17">
      <c r="A476">
        <f t="shared" si="14"/>
        <v>127</v>
      </c>
      <c r="B476" t="s">
        <v>661</v>
      </c>
      <c r="C476" t="s">
        <v>1067</v>
      </c>
      <c r="D476" t="s">
        <v>1185</v>
      </c>
      <c r="E476">
        <v>24</v>
      </c>
      <c r="F476" t="s">
        <v>146</v>
      </c>
      <c r="G476" t="s">
        <v>30</v>
      </c>
      <c r="H476" t="s">
        <v>850</v>
      </c>
      <c r="I476" t="s">
        <v>664</v>
      </c>
      <c r="J476" t="s">
        <v>256</v>
      </c>
      <c r="K476">
        <v>30</v>
      </c>
      <c r="L476">
        <v>2</v>
      </c>
      <c r="M476">
        <v>1</v>
      </c>
      <c r="Q476" t="b">
        <f t="shared" si="15"/>
        <v>1</v>
      </c>
    </row>
    <row r="477" spans="1:17">
      <c r="A477">
        <f t="shared" si="14"/>
        <v>127</v>
      </c>
      <c r="B477" t="s">
        <v>661</v>
      </c>
      <c r="C477" t="s">
        <v>1067</v>
      </c>
      <c r="D477" t="s">
        <v>1185</v>
      </c>
      <c r="E477">
        <v>24</v>
      </c>
      <c r="F477" t="s">
        <v>146</v>
      </c>
      <c r="G477" t="s">
        <v>30</v>
      </c>
      <c r="H477" t="s">
        <v>850</v>
      </c>
      <c r="I477" t="s">
        <v>665</v>
      </c>
      <c r="J477" t="s">
        <v>256</v>
      </c>
      <c r="K477">
        <v>30</v>
      </c>
      <c r="L477">
        <v>3</v>
      </c>
      <c r="M477">
        <v>0</v>
      </c>
      <c r="Q477" t="b">
        <f t="shared" si="15"/>
        <v>1</v>
      </c>
    </row>
    <row r="478" spans="1:17">
      <c r="A478">
        <f t="shared" si="14"/>
        <v>127</v>
      </c>
      <c r="B478" t="s">
        <v>661</v>
      </c>
      <c r="C478" t="s">
        <v>1067</v>
      </c>
      <c r="D478" t="s">
        <v>1185</v>
      </c>
      <c r="E478">
        <v>24</v>
      </c>
      <c r="F478" t="s">
        <v>146</v>
      </c>
      <c r="G478" t="s">
        <v>30</v>
      </c>
      <c r="H478" t="s">
        <v>850</v>
      </c>
      <c r="I478" t="s">
        <v>662</v>
      </c>
      <c r="J478" t="s">
        <v>256</v>
      </c>
      <c r="K478">
        <v>30</v>
      </c>
      <c r="L478">
        <v>8</v>
      </c>
      <c r="M478">
        <v>4</v>
      </c>
      <c r="Q478" t="b">
        <f t="shared" si="15"/>
        <v>1</v>
      </c>
    </row>
    <row r="479" spans="1:17">
      <c r="A479">
        <f t="shared" si="14"/>
        <v>128</v>
      </c>
      <c r="B479" t="s">
        <v>666</v>
      </c>
      <c r="C479" t="s">
        <v>1068</v>
      </c>
      <c r="D479" t="s">
        <v>1186</v>
      </c>
      <c r="E479">
        <v>26</v>
      </c>
      <c r="F479" t="s">
        <v>14</v>
      </c>
      <c r="G479" t="s">
        <v>15</v>
      </c>
      <c r="H479" t="s">
        <v>850</v>
      </c>
      <c r="I479" t="s">
        <v>668</v>
      </c>
      <c r="J479" t="s">
        <v>245</v>
      </c>
      <c r="K479">
        <v>800</v>
      </c>
      <c r="L479" t="s">
        <v>278</v>
      </c>
      <c r="M479" t="s">
        <v>278</v>
      </c>
      <c r="Q479" t="b">
        <f t="shared" si="15"/>
        <v>0</v>
      </c>
    </row>
    <row r="480" spans="1:17">
      <c r="A480">
        <f t="shared" si="14"/>
        <v>128</v>
      </c>
      <c r="B480" t="s">
        <v>666</v>
      </c>
      <c r="C480" t="s">
        <v>1068</v>
      </c>
      <c r="D480" t="s">
        <v>1186</v>
      </c>
      <c r="E480">
        <v>26</v>
      </c>
      <c r="F480" t="s">
        <v>14</v>
      </c>
      <c r="G480" t="s">
        <v>15</v>
      </c>
      <c r="H480" t="s">
        <v>850</v>
      </c>
      <c r="I480" t="s">
        <v>669</v>
      </c>
      <c r="J480" t="s">
        <v>245</v>
      </c>
      <c r="K480">
        <v>800</v>
      </c>
      <c r="L480" t="s">
        <v>278</v>
      </c>
      <c r="M480" t="s">
        <v>278</v>
      </c>
      <c r="Q480" t="b">
        <f t="shared" si="15"/>
        <v>0</v>
      </c>
    </row>
    <row r="481" spans="1:17">
      <c r="A481">
        <f t="shared" si="14"/>
        <v>128</v>
      </c>
      <c r="B481" t="s">
        <v>666</v>
      </c>
      <c r="C481" t="s">
        <v>1068</v>
      </c>
      <c r="D481" t="s">
        <v>1186</v>
      </c>
      <c r="E481">
        <v>26</v>
      </c>
      <c r="F481" t="s">
        <v>14</v>
      </c>
      <c r="G481" t="s">
        <v>15</v>
      </c>
      <c r="H481" t="s">
        <v>850</v>
      </c>
      <c r="I481" t="s">
        <v>670</v>
      </c>
      <c r="J481" t="s">
        <v>263</v>
      </c>
      <c r="K481">
        <v>1</v>
      </c>
      <c r="L481">
        <v>6</v>
      </c>
      <c r="M481">
        <v>1</v>
      </c>
      <c r="Q481" t="b">
        <f t="shared" si="15"/>
        <v>0</v>
      </c>
    </row>
    <row r="482" spans="1:17">
      <c r="A482">
        <f t="shared" si="14"/>
        <v>128</v>
      </c>
      <c r="B482" t="s">
        <v>666</v>
      </c>
      <c r="C482" t="s">
        <v>1068</v>
      </c>
      <c r="D482" t="s">
        <v>1186</v>
      </c>
      <c r="E482">
        <v>26</v>
      </c>
      <c r="F482" t="s">
        <v>14</v>
      </c>
      <c r="G482" t="s">
        <v>15</v>
      </c>
      <c r="H482" t="s">
        <v>850</v>
      </c>
      <c r="I482" t="s">
        <v>671</v>
      </c>
      <c r="J482" t="s">
        <v>245</v>
      </c>
      <c r="K482">
        <v>800</v>
      </c>
      <c r="L482" t="s">
        <v>278</v>
      </c>
      <c r="M482" t="s">
        <v>278</v>
      </c>
      <c r="Q482" t="b">
        <f t="shared" si="15"/>
        <v>0</v>
      </c>
    </row>
    <row r="483" spans="1:17">
      <c r="A483">
        <f t="shared" si="14"/>
        <v>128</v>
      </c>
      <c r="B483" t="s">
        <v>666</v>
      </c>
      <c r="C483" t="s">
        <v>1068</v>
      </c>
      <c r="D483" t="s">
        <v>1186</v>
      </c>
      <c r="E483">
        <v>26</v>
      </c>
      <c r="F483" t="s">
        <v>14</v>
      </c>
      <c r="G483" t="s">
        <v>15</v>
      </c>
      <c r="H483" t="s">
        <v>850</v>
      </c>
      <c r="I483" t="s">
        <v>667</v>
      </c>
      <c r="J483" t="s">
        <v>245</v>
      </c>
      <c r="K483">
        <v>800</v>
      </c>
      <c r="L483">
        <v>5</v>
      </c>
      <c r="M483">
        <v>1</v>
      </c>
      <c r="Q483" t="b">
        <f t="shared" si="15"/>
        <v>0</v>
      </c>
    </row>
    <row r="484" spans="1:17">
      <c r="A484">
        <f t="shared" si="14"/>
        <v>128</v>
      </c>
      <c r="B484" t="s">
        <v>666</v>
      </c>
      <c r="C484" t="s">
        <v>1068</v>
      </c>
      <c r="D484" t="s">
        <v>1186</v>
      </c>
      <c r="E484">
        <v>26</v>
      </c>
      <c r="F484" t="s">
        <v>14</v>
      </c>
      <c r="G484" t="s">
        <v>15</v>
      </c>
      <c r="H484" t="s">
        <v>850</v>
      </c>
      <c r="I484" t="s">
        <v>667</v>
      </c>
      <c r="J484" t="s">
        <v>263</v>
      </c>
      <c r="K484">
        <v>1</v>
      </c>
      <c r="L484">
        <v>5</v>
      </c>
      <c r="M484">
        <v>1</v>
      </c>
      <c r="Q484" t="b">
        <f t="shared" si="15"/>
        <v>0</v>
      </c>
    </row>
    <row r="485" spans="1:17">
      <c r="A485">
        <f t="shared" si="14"/>
        <v>129</v>
      </c>
      <c r="B485" t="s">
        <v>672</v>
      </c>
      <c r="C485" t="s">
        <v>1069</v>
      </c>
      <c r="D485" s="2">
        <v>43296</v>
      </c>
      <c r="E485">
        <v>33</v>
      </c>
      <c r="F485" t="s">
        <v>14</v>
      </c>
      <c r="G485" t="s">
        <v>15</v>
      </c>
      <c r="H485" t="s">
        <v>850</v>
      </c>
      <c r="I485" t="s">
        <v>673</v>
      </c>
      <c r="J485" t="s">
        <v>263</v>
      </c>
      <c r="K485">
        <v>1</v>
      </c>
      <c r="L485">
        <v>3</v>
      </c>
      <c r="M485">
        <v>0</v>
      </c>
      <c r="Q485" t="b">
        <f t="shared" si="15"/>
        <v>1</v>
      </c>
    </row>
    <row r="486" spans="1:17">
      <c r="A486">
        <f t="shared" si="14"/>
        <v>129</v>
      </c>
      <c r="B486" t="s">
        <v>672</v>
      </c>
      <c r="C486" t="s">
        <v>1069</v>
      </c>
      <c r="D486" s="2">
        <v>43296</v>
      </c>
      <c r="E486">
        <v>33</v>
      </c>
      <c r="F486" t="s">
        <v>14</v>
      </c>
      <c r="G486" t="s">
        <v>15</v>
      </c>
      <c r="H486" t="s">
        <v>850</v>
      </c>
      <c r="I486" t="s">
        <v>674</v>
      </c>
      <c r="J486" t="s">
        <v>245</v>
      </c>
      <c r="K486">
        <v>800</v>
      </c>
      <c r="L486">
        <v>2</v>
      </c>
      <c r="M486">
        <v>0</v>
      </c>
      <c r="Q486" t="b">
        <f t="shared" si="15"/>
        <v>1</v>
      </c>
    </row>
    <row r="487" spans="1:17">
      <c r="A487">
        <f t="shared" si="14"/>
        <v>129</v>
      </c>
      <c r="B487" t="s">
        <v>672</v>
      </c>
      <c r="C487" t="s">
        <v>1069</v>
      </c>
      <c r="D487" s="2">
        <v>43296</v>
      </c>
      <c r="E487">
        <v>33</v>
      </c>
      <c r="F487" t="s">
        <v>14</v>
      </c>
      <c r="G487" t="s">
        <v>15</v>
      </c>
      <c r="H487" t="s">
        <v>850</v>
      </c>
      <c r="I487" t="s">
        <v>675</v>
      </c>
      <c r="J487" t="s">
        <v>245</v>
      </c>
      <c r="K487">
        <v>800</v>
      </c>
      <c r="L487">
        <v>7</v>
      </c>
      <c r="M487">
        <v>1</v>
      </c>
      <c r="Q487" t="b">
        <f t="shared" si="15"/>
        <v>1</v>
      </c>
    </row>
    <row r="488" spans="1:17">
      <c r="A488">
        <f t="shared" si="14"/>
        <v>130</v>
      </c>
      <c r="B488" t="s">
        <v>676</v>
      </c>
      <c r="C488" t="s">
        <v>1070</v>
      </c>
      <c r="D488" t="s">
        <v>1187</v>
      </c>
      <c r="E488">
        <v>33</v>
      </c>
      <c r="F488" t="s">
        <v>14</v>
      </c>
      <c r="G488" t="s">
        <v>15</v>
      </c>
      <c r="H488" t="s">
        <v>850</v>
      </c>
      <c r="I488" t="s">
        <v>678</v>
      </c>
      <c r="J488" t="s">
        <v>245</v>
      </c>
      <c r="K488">
        <v>800</v>
      </c>
      <c r="L488">
        <v>2</v>
      </c>
      <c r="M488">
        <v>0</v>
      </c>
      <c r="Q488" t="b">
        <f t="shared" si="15"/>
        <v>0</v>
      </c>
    </row>
    <row r="489" spans="1:17">
      <c r="A489">
        <f t="shared" si="14"/>
        <v>130</v>
      </c>
      <c r="B489" t="s">
        <v>676</v>
      </c>
      <c r="C489" t="s">
        <v>1070</v>
      </c>
      <c r="D489" t="s">
        <v>1187</v>
      </c>
      <c r="E489">
        <v>33</v>
      </c>
      <c r="F489" t="s">
        <v>14</v>
      </c>
      <c r="G489" t="s">
        <v>15</v>
      </c>
      <c r="H489" t="s">
        <v>850</v>
      </c>
      <c r="I489" t="s">
        <v>677</v>
      </c>
      <c r="J489" t="s">
        <v>245</v>
      </c>
      <c r="K489">
        <v>800</v>
      </c>
      <c r="L489">
        <v>1</v>
      </c>
      <c r="M489">
        <v>0</v>
      </c>
      <c r="Q489" t="b">
        <f t="shared" si="15"/>
        <v>0</v>
      </c>
    </row>
    <row r="490" spans="1:17">
      <c r="A490">
        <f t="shared" si="14"/>
        <v>131</v>
      </c>
      <c r="B490" t="s">
        <v>679</v>
      </c>
      <c r="C490" t="s">
        <v>1071</v>
      </c>
      <c r="D490" t="s">
        <v>1188</v>
      </c>
      <c r="E490">
        <v>27</v>
      </c>
      <c r="F490" t="s">
        <v>244</v>
      </c>
      <c r="G490" t="s">
        <v>15</v>
      </c>
      <c r="H490" t="s">
        <v>850</v>
      </c>
      <c r="I490" t="s">
        <v>681</v>
      </c>
      <c r="J490" t="s">
        <v>256</v>
      </c>
      <c r="K490">
        <v>30</v>
      </c>
      <c r="L490">
        <v>5</v>
      </c>
      <c r="M490">
        <v>2</v>
      </c>
      <c r="Q490" t="b">
        <f t="shared" si="15"/>
        <v>1</v>
      </c>
    </row>
    <row r="491" spans="1:17">
      <c r="A491">
        <f t="shared" si="14"/>
        <v>131</v>
      </c>
      <c r="B491" t="s">
        <v>679</v>
      </c>
      <c r="C491" t="s">
        <v>1071</v>
      </c>
      <c r="D491" t="s">
        <v>1188</v>
      </c>
      <c r="E491">
        <v>27</v>
      </c>
      <c r="F491" t="s">
        <v>244</v>
      </c>
      <c r="G491" t="s">
        <v>15</v>
      </c>
      <c r="H491" t="s">
        <v>850</v>
      </c>
      <c r="I491" t="s">
        <v>681</v>
      </c>
      <c r="J491" t="s">
        <v>263</v>
      </c>
      <c r="K491">
        <v>1</v>
      </c>
      <c r="L491">
        <v>5</v>
      </c>
      <c r="M491">
        <v>2</v>
      </c>
      <c r="Q491" t="b">
        <f t="shared" si="15"/>
        <v>1</v>
      </c>
    </row>
    <row r="492" spans="1:17">
      <c r="A492">
        <f t="shared" si="14"/>
        <v>131</v>
      </c>
      <c r="B492" t="s">
        <v>679</v>
      </c>
      <c r="C492" t="s">
        <v>1071</v>
      </c>
      <c r="D492" t="s">
        <v>1188</v>
      </c>
      <c r="E492">
        <v>27</v>
      </c>
      <c r="F492" t="s">
        <v>244</v>
      </c>
      <c r="G492" t="s">
        <v>15</v>
      </c>
      <c r="H492" t="s">
        <v>850</v>
      </c>
      <c r="I492" t="s">
        <v>682</v>
      </c>
      <c r="J492" t="s">
        <v>263</v>
      </c>
      <c r="K492">
        <v>1</v>
      </c>
      <c r="L492">
        <v>5</v>
      </c>
      <c r="M492">
        <v>5</v>
      </c>
      <c r="Q492" t="b">
        <f t="shared" si="15"/>
        <v>1</v>
      </c>
    </row>
    <row r="493" spans="1:17">
      <c r="A493">
        <f t="shared" si="14"/>
        <v>131</v>
      </c>
      <c r="B493" t="s">
        <v>679</v>
      </c>
      <c r="C493" t="s">
        <v>1071</v>
      </c>
      <c r="D493" t="s">
        <v>1188</v>
      </c>
      <c r="E493">
        <v>27</v>
      </c>
      <c r="F493" t="s">
        <v>244</v>
      </c>
      <c r="G493" t="s">
        <v>15</v>
      </c>
      <c r="H493" t="s">
        <v>850</v>
      </c>
      <c r="I493" t="s">
        <v>683</v>
      </c>
      <c r="J493" t="s">
        <v>245</v>
      </c>
      <c r="K493">
        <v>800</v>
      </c>
      <c r="L493">
        <v>5</v>
      </c>
      <c r="M493">
        <v>0</v>
      </c>
      <c r="Q493" t="b">
        <f t="shared" si="15"/>
        <v>1</v>
      </c>
    </row>
    <row r="494" spans="1:17">
      <c r="A494">
        <f t="shared" si="14"/>
        <v>131</v>
      </c>
      <c r="B494" t="s">
        <v>679</v>
      </c>
      <c r="C494" t="s">
        <v>1071</v>
      </c>
      <c r="D494" t="s">
        <v>1188</v>
      </c>
      <c r="E494">
        <v>27</v>
      </c>
      <c r="F494" t="s">
        <v>244</v>
      </c>
      <c r="G494" t="s">
        <v>15</v>
      </c>
      <c r="H494" t="s">
        <v>850</v>
      </c>
      <c r="I494" t="s">
        <v>684</v>
      </c>
      <c r="J494" t="s">
        <v>245</v>
      </c>
      <c r="K494">
        <v>800</v>
      </c>
      <c r="L494">
        <v>1</v>
      </c>
      <c r="M494">
        <v>0</v>
      </c>
      <c r="Q494" t="b">
        <f t="shared" si="15"/>
        <v>1</v>
      </c>
    </row>
    <row r="495" spans="1:17">
      <c r="A495">
        <f t="shared" si="14"/>
        <v>131</v>
      </c>
      <c r="B495" t="s">
        <v>679</v>
      </c>
      <c r="C495" t="s">
        <v>1071</v>
      </c>
      <c r="D495" t="s">
        <v>1188</v>
      </c>
      <c r="E495">
        <v>27</v>
      </c>
      <c r="F495" t="s">
        <v>244</v>
      </c>
      <c r="G495" t="s">
        <v>15</v>
      </c>
      <c r="H495" t="s">
        <v>850</v>
      </c>
      <c r="I495" t="s">
        <v>684</v>
      </c>
      <c r="J495" t="s">
        <v>263</v>
      </c>
      <c r="K495">
        <v>1</v>
      </c>
      <c r="L495">
        <v>1</v>
      </c>
      <c r="M495">
        <v>0</v>
      </c>
      <c r="Q495" t="b">
        <f t="shared" si="15"/>
        <v>1</v>
      </c>
    </row>
    <row r="496" spans="1:17">
      <c r="A496">
        <f t="shared" si="14"/>
        <v>131</v>
      </c>
      <c r="B496" t="s">
        <v>679</v>
      </c>
      <c r="C496" t="s">
        <v>1071</v>
      </c>
      <c r="D496" t="s">
        <v>1188</v>
      </c>
      <c r="E496">
        <v>27</v>
      </c>
      <c r="F496" t="s">
        <v>244</v>
      </c>
      <c r="G496" t="s">
        <v>15</v>
      </c>
      <c r="H496" t="s">
        <v>850</v>
      </c>
      <c r="I496" t="s">
        <v>680</v>
      </c>
      <c r="J496" t="s">
        <v>245</v>
      </c>
      <c r="K496">
        <v>800</v>
      </c>
      <c r="L496">
        <v>5</v>
      </c>
      <c r="M496">
        <v>4</v>
      </c>
      <c r="Q496" t="b">
        <f t="shared" si="15"/>
        <v>1</v>
      </c>
    </row>
    <row r="497" spans="1:17">
      <c r="A497">
        <f t="shared" si="14"/>
        <v>131</v>
      </c>
      <c r="B497" t="s">
        <v>679</v>
      </c>
      <c r="C497" t="s">
        <v>1071</v>
      </c>
      <c r="D497" t="s">
        <v>1188</v>
      </c>
      <c r="E497">
        <v>27</v>
      </c>
      <c r="F497" t="s">
        <v>244</v>
      </c>
      <c r="G497" t="s">
        <v>15</v>
      </c>
      <c r="H497" t="s">
        <v>850</v>
      </c>
      <c r="I497" t="s">
        <v>684</v>
      </c>
      <c r="J497" t="s">
        <v>263</v>
      </c>
      <c r="K497">
        <v>1</v>
      </c>
      <c r="L497">
        <v>5</v>
      </c>
      <c r="M497">
        <v>4</v>
      </c>
      <c r="Q497" t="b">
        <f t="shared" si="15"/>
        <v>1</v>
      </c>
    </row>
    <row r="498" spans="1:17">
      <c r="A498">
        <f t="shared" si="14"/>
        <v>132</v>
      </c>
      <c r="B498" t="s">
        <v>685</v>
      </c>
      <c r="C498" t="s">
        <v>1072</v>
      </c>
      <c r="D498" s="2">
        <v>43295</v>
      </c>
      <c r="E498">
        <v>25</v>
      </c>
      <c r="F498" t="s">
        <v>244</v>
      </c>
      <c r="G498" t="s">
        <v>15</v>
      </c>
      <c r="H498" t="s">
        <v>850</v>
      </c>
      <c r="I498" t="s">
        <v>686</v>
      </c>
      <c r="J498" t="s">
        <v>245</v>
      </c>
      <c r="K498">
        <v>800</v>
      </c>
      <c r="L498">
        <v>4</v>
      </c>
      <c r="M498">
        <v>2</v>
      </c>
      <c r="Q498" t="b">
        <f t="shared" si="15"/>
        <v>0</v>
      </c>
    </row>
    <row r="499" spans="1:17">
      <c r="A499">
        <f t="shared" si="14"/>
        <v>132</v>
      </c>
      <c r="B499" t="s">
        <v>685</v>
      </c>
      <c r="C499" t="s">
        <v>1072</v>
      </c>
      <c r="D499" s="2">
        <v>43295</v>
      </c>
      <c r="E499">
        <v>25</v>
      </c>
      <c r="F499" t="s">
        <v>244</v>
      </c>
      <c r="G499" t="s">
        <v>15</v>
      </c>
      <c r="H499" t="s">
        <v>850</v>
      </c>
      <c r="I499" t="s">
        <v>687</v>
      </c>
      <c r="J499" t="s">
        <v>263</v>
      </c>
      <c r="K499">
        <v>1</v>
      </c>
      <c r="L499">
        <v>4</v>
      </c>
      <c r="M499">
        <v>2</v>
      </c>
      <c r="Q499" t="b">
        <f t="shared" si="15"/>
        <v>0</v>
      </c>
    </row>
    <row r="500" spans="1:17">
      <c r="A500">
        <f t="shared" si="14"/>
        <v>132</v>
      </c>
      <c r="B500" t="s">
        <v>685</v>
      </c>
      <c r="C500" t="s">
        <v>1072</v>
      </c>
      <c r="D500" s="2">
        <v>43295</v>
      </c>
      <c r="E500">
        <v>25</v>
      </c>
      <c r="F500" t="s">
        <v>244</v>
      </c>
      <c r="G500" t="s">
        <v>15</v>
      </c>
      <c r="H500" t="s">
        <v>850</v>
      </c>
      <c r="I500" t="s">
        <v>688</v>
      </c>
      <c r="J500" t="s">
        <v>245</v>
      </c>
      <c r="K500">
        <v>800</v>
      </c>
      <c r="L500">
        <v>7</v>
      </c>
      <c r="M500">
        <v>2</v>
      </c>
      <c r="Q500" t="b">
        <f t="shared" si="15"/>
        <v>0</v>
      </c>
    </row>
    <row r="501" spans="1:17">
      <c r="A501">
        <f t="shared" si="14"/>
        <v>132</v>
      </c>
      <c r="B501" t="s">
        <v>685</v>
      </c>
      <c r="C501" t="s">
        <v>1072</v>
      </c>
      <c r="D501" s="2">
        <v>43295</v>
      </c>
      <c r="E501">
        <v>25</v>
      </c>
      <c r="F501" t="s">
        <v>244</v>
      </c>
      <c r="G501" t="s">
        <v>15</v>
      </c>
      <c r="H501" t="s">
        <v>850</v>
      </c>
      <c r="I501" t="s">
        <v>688</v>
      </c>
      <c r="J501" t="s">
        <v>263</v>
      </c>
      <c r="K501">
        <v>1</v>
      </c>
      <c r="L501">
        <v>7</v>
      </c>
      <c r="M501">
        <v>2</v>
      </c>
      <c r="Q501" t="b">
        <f t="shared" si="15"/>
        <v>0</v>
      </c>
    </row>
    <row r="502" spans="1:17">
      <c r="A502">
        <f t="shared" si="14"/>
        <v>132</v>
      </c>
      <c r="B502" t="s">
        <v>685</v>
      </c>
      <c r="C502" t="s">
        <v>1072</v>
      </c>
      <c r="D502" s="2">
        <v>43295</v>
      </c>
      <c r="E502">
        <v>25</v>
      </c>
      <c r="F502" t="s">
        <v>244</v>
      </c>
      <c r="G502" t="s">
        <v>15</v>
      </c>
      <c r="H502" t="s">
        <v>850</v>
      </c>
      <c r="I502" t="s">
        <v>689</v>
      </c>
      <c r="J502" t="s">
        <v>245</v>
      </c>
      <c r="K502">
        <v>800</v>
      </c>
      <c r="L502">
        <v>6</v>
      </c>
      <c r="M502">
        <v>2</v>
      </c>
      <c r="Q502" t="b">
        <f t="shared" si="15"/>
        <v>0</v>
      </c>
    </row>
    <row r="503" spans="1:17">
      <c r="A503">
        <f t="shared" si="14"/>
        <v>132</v>
      </c>
      <c r="B503" t="s">
        <v>685</v>
      </c>
      <c r="C503" t="s">
        <v>1072</v>
      </c>
      <c r="D503" s="2">
        <v>43295</v>
      </c>
      <c r="E503">
        <v>25</v>
      </c>
      <c r="F503" t="s">
        <v>244</v>
      </c>
      <c r="G503" t="s">
        <v>15</v>
      </c>
      <c r="H503" t="s">
        <v>850</v>
      </c>
      <c r="I503" t="s">
        <v>689</v>
      </c>
      <c r="J503" t="s">
        <v>263</v>
      </c>
      <c r="K503">
        <v>1</v>
      </c>
      <c r="L503">
        <v>6</v>
      </c>
      <c r="M503">
        <v>2</v>
      </c>
      <c r="Q503" t="b">
        <f t="shared" si="15"/>
        <v>0</v>
      </c>
    </row>
    <row r="504" spans="1:17">
      <c r="A504">
        <f t="shared" si="14"/>
        <v>132</v>
      </c>
      <c r="B504" t="s">
        <v>685</v>
      </c>
      <c r="C504" t="s">
        <v>1072</v>
      </c>
      <c r="D504" s="2">
        <v>43295</v>
      </c>
      <c r="E504">
        <v>25</v>
      </c>
      <c r="F504" t="s">
        <v>244</v>
      </c>
      <c r="G504" t="s">
        <v>15</v>
      </c>
      <c r="H504" t="s">
        <v>850</v>
      </c>
      <c r="I504" t="s">
        <v>690</v>
      </c>
      <c r="J504" t="s">
        <v>263</v>
      </c>
      <c r="K504">
        <v>1</v>
      </c>
      <c r="L504">
        <v>7</v>
      </c>
      <c r="M504">
        <v>2</v>
      </c>
      <c r="Q504" t="b">
        <f t="shared" si="15"/>
        <v>0</v>
      </c>
    </row>
    <row r="505" spans="1:17">
      <c r="A505">
        <f t="shared" si="14"/>
        <v>133</v>
      </c>
      <c r="B505" t="s">
        <v>691</v>
      </c>
      <c r="C505" t="s">
        <v>1073</v>
      </c>
      <c r="D505" t="s">
        <v>1189</v>
      </c>
      <c r="E505">
        <v>24</v>
      </c>
      <c r="F505" t="s">
        <v>14</v>
      </c>
      <c r="G505" t="s">
        <v>15</v>
      </c>
      <c r="H505" t="s">
        <v>850</v>
      </c>
      <c r="I505" t="s">
        <v>693</v>
      </c>
      <c r="J505" t="s">
        <v>245</v>
      </c>
      <c r="K505">
        <v>800</v>
      </c>
      <c r="L505">
        <v>1</v>
      </c>
      <c r="M505">
        <v>0</v>
      </c>
      <c r="Q505" t="b">
        <f t="shared" si="15"/>
        <v>1</v>
      </c>
    </row>
    <row r="506" spans="1:17">
      <c r="A506">
        <f t="shared" si="14"/>
        <v>133</v>
      </c>
      <c r="B506" t="s">
        <v>691</v>
      </c>
      <c r="C506" t="s">
        <v>1073</v>
      </c>
      <c r="D506" t="s">
        <v>1189</v>
      </c>
      <c r="E506">
        <v>24</v>
      </c>
      <c r="F506" t="s">
        <v>14</v>
      </c>
      <c r="G506" t="s">
        <v>15</v>
      </c>
      <c r="H506" t="s">
        <v>850</v>
      </c>
      <c r="I506" t="s">
        <v>694</v>
      </c>
      <c r="J506" t="s">
        <v>245</v>
      </c>
      <c r="K506">
        <v>800</v>
      </c>
      <c r="L506">
        <v>5</v>
      </c>
      <c r="M506">
        <v>2</v>
      </c>
      <c r="Q506" t="b">
        <f t="shared" si="15"/>
        <v>1</v>
      </c>
    </row>
    <row r="507" spans="1:17">
      <c r="A507">
        <f t="shared" si="14"/>
        <v>133</v>
      </c>
      <c r="B507" t="s">
        <v>691</v>
      </c>
      <c r="C507" t="s">
        <v>1073</v>
      </c>
      <c r="D507" t="s">
        <v>1189</v>
      </c>
      <c r="E507">
        <v>24</v>
      </c>
      <c r="F507" t="s">
        <v>14</v>
      </c>
      <c r="G507" t="s">
        <v>15</v>
      </c>
      <c r="H507" t="s">
        <v>850</v>
      </c>
      <c r="I507" t="s">
        <v>692</v>
      </c>
      <c r="J507" t="s">
        <v>263</v>
      </c>
      <c r="K507">
        <v>1</v>
      </c>
      <c r="L507">
        <v>5</v>
      </c>
      <c r="M507">
        <v>0</v>
      </c>
      <c r="Q507" t="b">
        <f t="shared" si="15"/>
        <v>1</v>
      </c>
    </row>
    <row r="508" spans="1:17">
      <c r="A508">
        <f t="shared" si="14"/>
        <v>134</v>
      </c>
      <c r="B508" t="s">
        <v>695</v>
      </c>
      <c r="C508" t="s">
        <v>1074</v>
      </c>
      <c r="D508" t="s">
        <v>1190</v>
      </c>
      <c r="E508">
        <v>32</v>
      </c>
      <c r="F508" t="s">
        <v>14</v>
      </c>
      <c r="G508" t="s">
        <v>30</v>
      </c>
      <c r="H508" t="s">
        <v>850</v>
      </c>
      <c r="I508" t="s">
        <v>697</v>
      </c>
      <c r="J508" t="s">
        <v>256</v>
      </c>
      <c r="K508">
        <v>30</v>
      </c>
      <c r="L508">
        <v>3</v>
      </c>
      <c r="M508">
        <v>1</v>
      </c>
      <c r="Q508" t="b">
        <f t="shared" si="15"/>
        <v>0</v>
      </c>
    </row>
    <row r="509" spans="1:17">
      <c r="A509">
        <f t="shared" si="14"/>
        <v>134</v>
      </c>
      <c r="B509" t="s">
        <v>695</v>
      </c>
      <c r="C509" t="s">
        <v>1074</v>
      </c>
      <c r="D509" t="s">
        <v>1190</v>
      </c>
      <c r="E509">
        <v>32</v>
      </c>
      <c r="F509" t="s">
        <v>14</v>
      </c>
      <c r="G509" t="s">
        <v>30</v>
      </c>
      <c r="H509" t="s">
        <v>850</v>
      </c>
      <c r="I509" t="s">
        <v>698</v>
      </c>
      <c r="J509" t="s">
        <v>256</v>
      </c>
      <c r="K509">
        <v>30</v>
      </c>
      <c r="L509">
        <v>2</v>
      </c>
      <c r="M509">
        <v>2</v>
      </c>
      <c r="Q509" t="b">
        <f t="shared" si="15"/>
        <v>0</v>
      </c>
    </row>
    <row r="510" spans="1:17">
      <c r="A510">
        <f t="shared" si="14"/>
        <v>134</v>
      </c>
      <c r="B510" t="s">
        <v>695</v>
      </c>
      <c r="C510" t="s">
        <v>1074</v>
      </c>
      <c r="D510" t="s">
        <v>1190</v>
      </c>
      <c r="E510">
        <v>32</v>
      </c>
      <c r="F510" t="s">
        <v>14</v>
      </c>
      <c r="G510" t="s">
        <v>30</v>
      </c>
      <c r="H510" t="s">
        <v>850</v>
      </c>
      <c r="I510" t="s">
        <v>699</v>
      </c>
      <c r="J510" t="s">
        <v>245</v>
      </c>
      <c r="K510">
        <v>800</v>
      </c>
      <c r="L510">
        <v>2</v>
      </c>
      <c r="M510">
        <v>0</v>
      </c>
      <c r="Q510" t="b">
        <f t="shared" si="15"/>
        <v>0</v>
      </c>
    </row>
    <row r="511" spans="1:17">
      <c r="A511">
        <f t="shared" si="14"/>
        <v>134</v>
      </c>
      <c r="B511" t="s">
        <v>695</v>
      </c>
      <c r="C511" t="s">
        <v>1074</v>
      </c>
      <c r="D511" t="s">
        <v>1190</v>
      </c>
      <c r="E511">
        <v>32</v>
      </c>
      <c r="F511" t="s">
        <v>14</v>
      </c>
      <c r="G511" t="s">
        <v>30</v>
      </c>
      <c r="H511" t="s">
        <v>850</v>
      </c>
      <c r="I511" t="s">
        <v>700</v>
      </c>
      <c r="J511" t="s">
        <v>245</v>
      </c>
      <c r="K511">
        <v>800</v>
      </c>
      <c r="L511">
        <v>5</v>
      </c>
      <c r="M511">
        <v>4</v>
      </c>
      <c r="Q511" t="b">
        <f t="shared" si="15"/>
        <v>0</v>
      </c>
    </row>
    <row r="512" spans="1:17">
      <c r="A512">
        <f t="shared" si="14"/>
        <v>134</v>
      </c>
      <c r="B512" t="s">
        <v>695</v>
      </c>
      <c r="C512" t="s">
        <v>1074</v>
      </c>
      <c r="D512" t="s">
        <v>1190</v>
      </c>
      <c r="E512">
        <v>32</v>
      </c>
      <c r="F512" t="s">
        <v>14</v>
      </c>
      <c r="G512" t="s">
        <v>30</v>
      </c>
      <c r="H512" t="s">
        <v>850</v>
      </c>
      <c r="I512" t="s">
        <v>696</v>
      </c>
      <c r="J512" t="s">
        <v>263</v>
      </c>
      <c r="K512">
        <v>1</v>
      </c>
      <c r="L512">
        <v>7</v>
      </c>
      <c r="M512">
        <v>0</v>
      </c>
      <c r="Q512" t="b">
        <f t="shared" si="15"/>
        <v>0</v>
      </c>
    </row>
    <row r="513" spans="1:17">
      <c r="A513">
        <f t="shared" si="14"/>
        <v>135</v>
      </c>
      <c r="B513" t="s">
        <v>701</v>
      </c>
      <c r="C513" t="s">
        <v>1075</v>
      </c>
      <c r="D513" t="s">
        <v>1191</v>
      </c>
      <c r="E513">
        <v>31</v>
      </c>
      <c r="F513" t="s">
        <v>14</v>
      </c>
      <c r="G513" t="s">
        <v>15</v>
      </c>
      <c r="H513" t="s">
        <v>850</v>
      </c>
      <c r="I513" t="s">
        <v>703</v>
      </c>
      <c r="J513" t="s">
        <v>245</v>
      </c>
      <c r="K513">
        <v>800</v>
      </c>
      <c r="L513">
        <v>4</v>
      </c>
      <c r="M513">
        <v>1</v>
      </c>
      <c r="Q513" t="b">
        <f t="shared" si="15"/>
        <v>1</v>
      </c>
    </row>
    <row r="514" spans="1:17">
      <c r="A514">
        <f t="shared" ref="A514:A577" si="16">IF(ROW()=2,1,IF(B514=B513,A513,A513+1))</f>
        <v>135</v>
      </c>
      <c r="B514" t="s">
        <v>701</v>
      </c>
      <c r="C514" t="s">
        <v>1075</v>
      </c>
      <c r="D514" t="s">
        <v>1191</v>
      </c>
      <c r="E514">
        <v>31</v>
      </c>
      <c r="F514" t="s">
        <v>14</v>
      </c>
      <c r="G514" t="s">
        <v>15</v>
      </c>
      <c r="H514" t="s">
        <v>850</v>
      </c>
      <c r="I514" t="s">
        <v>704</v>
      </c>
      <c r="J514" t="s">
        <v>263</v>
      </c>
      <c r="K514">
        <v>1</v>
      </c>
      <c r="L514">
        <v>5</v>
      </c>
      <c r="M514">
        <v>0</v>
      </c>
      <c r="Q514" t="b">
        <f t="shared" ref="Q514:Q577" si="17">ISODD(A514)</f>
        <v>1</v>
      </c>
    </row>
    <row r="515" spans="1:17">
      <c r="A515">
        <f t="shared" si="16"/>
        <v>135</v>
      </c>
      <c r="B515" t="s">
        <v>701</v>
      </c>
      <c r="C515" t="s">
        <v>1075</v>
      </c>
      <c r="D515" t="s">
        <v>1191</v>
      </c>
      <c r="E515">
        <v>31</v>
      </c>
      <c r="F515" t="s">
        <v>14</v>
      </c>
      <c r="G515" t="s">
        <v>15</v>
      </c>
      <c r="H515" t="s">
        <v>850</v>
      </c>
      <c r="I515" t="s">
        <v>702</v>
      </c>
      <c r="J515" t="s">
        <v>245</v>
      </c>
      <c r="K515">
        <v>800</v>
      </c>
      <c r="L515">
        <v>3</v>
      </c>
      <c r="M515">
        <v>3</v>
      </c>
      <c r="Q515" t="b">
        <f t="shared" si="17"/>
        <v>1</v>
      </c>
    </row>
    <row r="516" spans="1:17">
      <c r="A516">
        <f t="shared" si="16"/>
        <v>136</v>
      </c>
      <c r="B516" t="s">
        <v>705</v>
      </c>
      <c r="C516" t="s">
        <v>1076</v>
      </c>
      <c r="D516" t="s">
        <v>1192</v>
      </c>
      <c r="E516">
        <v>30</v>
      </c>
      <c r="F516" t="s">
        <v>14</v>
      </c>
      <c r="G516" t="s">
        <v>15</v>
      </c>
      <c r="H516" t="s">
        <v>850</v>
      </c>
      <c r="I516" t="s">
        <v>706</v>
      </c>
      <c r="J516" t="s">
        <v>245</v>
      </c>
      <c r="K516">
        <v>800</v>
      </c>
      <c r="L516">
        <v>4</v>
      </c>
      <c r="M516">
        <v>0</v>
      </c>
      <c r="Q516" t="b">
        <f t="shared" si="17"/>
        <v>0</v>
      </c>
    </row>
    <row r="517" spans="1:17">
      <c r="A517">
        <f t="shared" si="16"/>
        <v>136</v>
      </c>
      <c r="B517" t="s">
        <v>705</v>
      </c>
      <c r="C517" t="s">
        <v>1076</v>
      </c>
      <c r="D517" t="s">
        <v>1192</v>
      </c>
      <c r="E517">
        <v>30</v>
      </c>
      <c r="F517" t="s">
        <v>14</v>
      </c>
      <c r="G517" t="s">
        <v>15</v>
      </c>
      <c r="H517" t="s">
        <v>850</v>
      </c>
      <c r="I517" t="s">
        <v>707</v>
      </c>
      <c r="J517" t="s">
        <v>245</v>
      </c>
      <c r="K517">
        <v>800</v>
      </c>
      <c r="L517">
        <v>0</v>
      </c>
      <c r="M517">
        <v>0</v>
      </c>
      <c r="Q517" t="b">
        <f t="shared" si="17"/>
        <v>0</v>
      </c>
    </row>
    <row r="518" spans="1:17">
      <c r="A518">
        <f t="shared" si="16"/>
        <v>136</v>
      </c>
      <c r="B518" t="s">
        <v>705</v>
      </c>
      <c r="C518" t="s">
        <v>1076</v>
      </c>
      <c r="D518" t="s">
        <v>1192</v>
      </c>
      <c r="E518">
        <v>30</v>
      </c>
      <c r="F518" t="s">
        <v>14</v>
      </c>
      <c r="G518" t="s">
        <v>15</v>
      </c>
      <c r="H518" t="s">
        <v>850</v>
      </c>
      <c r="I518" t="s">
        <v>708</v>
      </c>
      <c r="J518" t="s">
        <v>245</v>
      </c>
      <c r="K518">
        <v>800</v>
      </c>
      <c r="L518">
        <v>0</v>
      </c>
      <c r="M518">
        <v>0</v>
      </c>
      <c r="Q518" t="b">
        <f t="shared" si="17"/>
        <v>0</v>
      </c>
    </row>
    <row r="519" spans="1:17">
      <c r="A519">
        <f t="shared" si="16"/>
        <v>137</v>
      </c>
      <c r="B519" t="s">
        <v>709</v>
      </c>
      <c r="C519" t="s">
        <v>1077</v>
      </c>
      <c r="D519" s="2">
        <v>43304</v>
      </c>
      <c r="E519">
        <v>29</v>
      </c>
      <c r="F519" t="s">
        <v>244</v>
      </c>
      <c r="G519" t="s">
        <v>15</v>
      </c>
      <c r="H519" t="s">
        <v>850</v>
      </c>
      <c r="I519" t="s">
        <v>710</v>
      </c>
      <c r="J519" t="s">
        <v>245</v>
      </c>
      <c r="K519">
        <v>800</v>
      </c>
      <c r="L519">
        <v>5</v>
      </c>
      <c r="M519">
        <v>0</v>
      </c>
      <c r="Q519" t="b">
        <f t="shared" si="17"/>
        <v>1</v>
      </c>
    </row>
    <row r="520" spans="1:17">
      <c r="A520">
        <f t="shared" si="16"/>
        <v>137</v>
      </c>
      <c r="B520" t="s">
        <v>709</v>
      </c>
      <c r="C520" t="s">
        <v>1077</v>
      </c>
      <c r="D520" s="2">
        <v>43304</v>
      </c>
      <c r="E520">
        <v>29</v>
      </c>
      <c r="F520" t="s">
        <v>244</v>
      </c>
      <c r="G520" t="s">
        <v>15</v>
      </c>
      <c r="H520" t="s">
        <v>850</v>
      </c>
      <c r="I520" t="s">
        <v>711</v>
      </c>
      <c r="J520" t="s">
        <v>245</v>
      </c>
      <c r="K520">
        <v>800</v>
      </c>
      <c r="L520">
        <v>3</v>
      </c>
      <c r="M520">
        <v>3</v>
      </c>
      <c r="Q520" t="b">
        <f t="shared" si="17"/>
        <v>1</v>
      </c>
    </row>
    <row r="521" spans="1:17">
      <c r="A521">
        <f t="shared" si="16"/>
        <v>137</v>
      </c>
      <c r="B521" t="s">
        <v>709</v>
      </c>
      <c r="C521" t="s">
        <v>1077</v>
      </c>
      <c r="D521" s="2">
        <v>43304</v>
      </c>
      <c r="E521">
        <v>29</v>
      </c>
      <c r="F521" t="s">
        <v>244</v>
      </c>
      <c r="G521" t="s">
        <v>15</v>
      </c>
      <c r="H521" t="s">
        <v>850</v>
      </c>
      <c r="I521" t="s">
        <v>712</v>
      </c>
      <c r="J521" t="s">
        <v>268</v>
      </c>
      <c r="K521">
        <v>650</v>
      </c>
      <c r="L521">
        <v>3</v>
      </c>
      <c r="M521">
        <v>2</v>
      </c>
      <c r="Q521" t="b">
        <f t="shared" si="17"/>
        <v>1</v>
      </c>
    </row>
    <row r="522" spans="1:17">
      <c r="A522">
        <f t="shared" si="16"/>
        <v>138</v>
      </c>
      <c r="B522" t="s">
        <v>713</v>
      </c>
      <c r="C522" t="s">
        <v>1078</v>
      </c>
      <c r="D522" t="s">
        <v>278</v>
      </c>
      <c r="E522">
        <v>29</v>
      </c>
      <c r="F522" t="s">
        <v>244</v>
      </c>
      <c r="G522" t="s">
        <v>15</v>
      </c>
      <c r="H522" t="s">
        <v>850</v>
      </c>
      <c r="I522" t="s">
        <v>714</v>
      </c>
      <c r="J522" t="s">
        <v>245</v>
      </c>
      <c r="K522">
        <v>800</v>
      </c>
      <c r="L522">
        <v>8</v>
      </c>
      <c r="M522">
        <v>0</v>
      </c>
      <c r="Q522" t="b">
        <f t="shared" si="17"/>
        <v>0</v>
      </c>
    </row>
    <row r="523" spans="1:17">
      <c r="A523">
        <f t="shared" si="16"/>
        <v>138</v>
      </c>
      <c r="B523" t="s">
        <v>713</v>
      </c>
      <c r="C523" t="s">
        <v>1078</v>
      </c>
      <c r="D523" t="s">
        <v>278</v>
      </c>
      <c r="E523">
        <v>29</v>
      </c>
      <c r="F523" t="s">
        <v>244</v>
      </c>
      <c r="G523" t="s">
        <v>15</v>
      </c>
      <c r="H523" t="s">
        <v>850</v>
      </c>
      <c r="I523" t="s">
        <v>714</v>
      </c>
      <c r="J523" t="s">
        <v>263</v>
      </c>
      <c r="K523">
        <v>2</v>
      </c>
      <c r="L523">
        <v>8</v>
      </c>
      <c r="M523">
        <v>0</v>
      </c>
      <c r="Q523" t="b">
        <f t="shared" si="17"/>
        <v>0</v>
      </c>
    </row>
    <row r="524" spans="1:17">
      <c r="A524">
        <f t="shared" si="16"/>
        <v>138</v>
      </c>
      <c r="B524" t="s">
        <v>713</v>
      </c>
      <c r="C524" t="s">
        <v>1078</v>
      </c>
      <c r="D524" t="s">
        <v>278</v>
      </c>
      <c r="E524">
        <v>29</v>
      </c>
      <c r="F524" t="s">
        <v>244</v>
      </c>
      <c r="G524" t="s">
        <v>15</v>
      </c>
      <c r="H524" t="s">
        <v>850</v>
      </c>
      <c r="I524" t="s">
        <v>715</v>
      </c>
      <c r="J524" t="s">
        <v>245</v>
      </c>
      <c r="K524">
        <v>800</v>
      </c>
      <c r="L524">
        <v>7</v>
      </c>
      <c r="M524">
        <v>4</v>
      </c>
      <c r="Q524" t="b">
        <f t="shared" si="17"/>
        <v>0</v>
      </c>
    </row>
    <row r="525" spans="1:17">
      <c r="A525">
        <f t="shared" si="16"/>
        <v>138</v>
      </c>
      <c r="B525" t="s">
        <v>713</v>
      </c>
      <c r="C525" t="s">
        <v>1078</v>
      </c>
      <c r="D525" t="s">
        <v>278</v>
      </c>
      <c r="E525">
        <v>29</v>
      </c>
      <c r="F525" t="s">
        <v>244</v>
      </c>
      <c r="G525" t="s">
        <v>15</v>
      </c>
      <c r="H525" t="s">
        <v>850</v>
      </c>
      <c r="I525" t="s">
        <v>715</v>
      </c>
      <c r="J525" t="s">
        <v>263</v>
      </c>
      <c r="K525">
        <v>1</v>
      </c>
      <c r="L525">
        <v>7</v>
      </c>
      <c r="M525">
        <v>4</v>
      </c>
      <c r="Q525" t="b">
        <f t="shared" si="17"/>
        <v>0</v>
      </c>
    </row>
    <row r="526" spans="1:17">
      <c r="A526">
        <f t="shared" si="16"/>
        <v>138</v>
      </c>
      <c r="B526" t="s">
        <v>713</v>
      </c>
      <c r="C526" t="s">
        <v>1078</v>
      </c>
      <c r="D526" t="s">
        <v>278</v>
      </c>
      <c r="E526">
        <v>29</v>
      </c>
      <c r="F526" t="s">
        <v>244</v>
      </c>
      <c r="G526" t="s">
        <v>15</v>
      </c>
      <c r="H526" t="s">
        <v>850</v>
      </c>
      <c r="I526" t="s">
        <v>716</v>
      </c>
      <c r="J526" t="s">
        <v>245</v>
      </c>
      <c r="K526">
        <v>800</v>
      </c>
      <c r="L526">
        <v>3</v>
      </c>
      <c r="M526">
        <v>0</v>
      </c>
      <c r="Q526" t="b">
        <f t="shared" si="17"/>
        <v>0</v>
      </c>
    </row>
    <row r="527" spans="1:17">
      <c r="A527">
        <f t="shared" si="16"/>
        <v>139</v>
      </c>
      <c r="B527" t="s">
        <v>717</v>
      </c>
      <c r="C527" t="s">
        <v>1079</v>
      </c>
      <c r="D527" t="s">
        <v>1193</v>
      </c>
      <c r="E527">
        <v>20</v>
      </c>
      <c r="F527" t="s">
        <v>14</v>
      </c>
      <c r="G527" t="s">
        <v>15</v>
      </c>
      <c r="H527" t="s">
        <v>850</v>
      </c>
      <c r="I527" t="s">
        <v>719</v>
      </c>
      <c r="J527" t="s">
        <v>245</v>
      </c>
      <c r="K527">
        <v>800</v>
      </c>
      <c r="L527">
        <v>7</v>
      </c>
      <c r="M527">
        <v>2</v>
      </c>
      <c r="Q527" t="b">
        <f t="shared" si="17"/>
        <v>1</v>
      </c>
    </row>
    <row r="528" spans="1:17">
      <c r="A528">
        <f t="shared" si="16"/>
        <v>139</v>
      </c>
      <c r="B528" t="s">
        <v>717</v>
      </c>
      <c r="C528" t="s">
        <v>1079</v>
      </c>
      <c r="D528" t="s">
        <v>1193</v>
      </c>
      <c r="E528">
        <v>20</v>
      </c>
      <c r="F528" t="s">
        <v>14</v>
      </c>
      <c r="G528" t="s">
        <v>15</v>
      </c>
      <c r="H528" t="s">
        <v>850</v>
      </c>
      <c r="I528" t="s">
        <v>720</v>
      </c>
      <c r="J528" t="s">
        <v>245</v>
      </c>
      <c r="K528">
        <v>800</v>
      </c>
      <c r="L528">
        <v>8</v>
      </c>
      <c r="M528">
        <v>3</v>
      </c>
      <c r="Q528" t="b">
        <f t="shared" si="17"/>
        <v>1</v>
      </c>
    </row>
    <row r="529" spans="1:17">
      <c r="A529">
        <f t="shared" si="16"/>
        <v>139</v>
      </c>
      <c r="B529" t="s">
        <v>717</v>
      </c>
      <c r="C529" t="s">
        <v>1079</v>
      </c>
      <c r="D529" t="s">
        <v>1193</v>
      </c>
      <c r="E529">
        <v>20</v>
      </c>
      <c r="F529" t="s">
        <v>14</v>
      </c>
      <c r="G529" t="s">
        <v>15</v>
      </c>
      <c r="H529" t="s">
        <v>850</v>
      </c>
      <c r="I529" t="s">
        <v>720</v>
      </c>
      <c r="J529" t="s">
        <v>263</v>
      </c>
      <c r="K529">
        <v>1</v>
      </c>
      <c r="L529">
        <v>8</v>
      </c>
      <c r="M529">
        <v>3</v>
      </c>
      <c r="Q529" t="b">
        <f t="shared" si="17"/>
        <v>1</v>
      </c>
    </row>
    <row r="530" spans="1:17">
      <c r="A530">
        <f t="shared" si="16"/>
        <v>139</v>
      </c>
      <c r="B530" t="s">
        <v>717</v>
      </c>
      <c r="C530" t="s">
        <v>1079</v>
      </c>
      <c r="D530" t="s">
        <v>1193</v>
      </c>
      <c r="E530">
        <v>20</v>
      </c>
      <c r="F530" t="s">
        <v>14</v>
      </c>
      <c r="G530" t="s">
        <v>15</v>
      </c>
      <c r="H530" t="s">
        <v>850</v>
      </c>
      <c r="I530" t="s">
        <v>718</v>
      </c>
      <c r="J530" t="s">
        <v>245</v>
      </c>
      <c r="K530">
        <v>800</v>
      </c>
      <c r="L530">
        <v>7</v>
      </c>
      <c r="M530">
        <v>4</v>
      </c>
      <c r="Q530" t="b">
        <f t="shared" si="17"/>
        <v>1</v>
      </c>
    </row>
    <row r="531" spans="1:17">
      <c r="A531">
        <f t="shared" si="16"/>
        <v>139</v>
      </c>
      <c r="B531" t="s">
        <v>717</v>
      </c>
      <c r="C531" t="s">
        <v>1079</v>
      </c>
      <c r="D531" t="s">
        <v>1193</v>
      </c>
      <c r="E531">
        <v>20</v>
      </c>
      <c r="F531" t="s">
        <v>14</v>
      </c>
      <c r="G531" t="s">
        <v>15</v>
      </c>
      <c r="H531" t="s">
        <v>850</v>
      </c>
      <c r="I531" t="s">
        <v>718</v>
      </c>
      <c r="J531" t="s">
        <v>263</v>
      </c>
      <c r="K531">
        <v>1</v>
      </c>
      <c r="L531">
        <v>7</v>
      </c>
      <c r="M531">
        <v>4</v>
      </c>
      <c r="Q531" t="b">
        <f t="shared" si="17"/>
        <v>1</v>
      </c>
    </row>
    <row r="532" spans="1:17">
      <c r="A532">
        <f t="shared" si="16"/>
        <v>140</v>
      </c>
      <c r="B532" t="s">
        <v>721</v>
      </c>
      <c r="C532" t="s">
        <v>1080</v>
      </c>
      <c r="D532" t="s">
        <v>1194</v>
      </c>
      <c r="E532">
        <v>38</v>
      </c>
      <c r="F532" t="s">
        <v>14</v>
      </c>
      <c r="G532" t="s">
        <v>15</v>
      </c>
      <c r="H532" t="s">
        <v>850</v>
      </c>
      <c r="I532" t="s">
        <v>723</v>
      </c>
      <c r="J532" t="s">
        <v>245</v>
      </c>
      <c r="K532">
        <v>800</v>
      </c>
      <c r="L532" t="s">
        <v>278</v>
      </c>
      <c r="M532" t="s">
        <v>278</v>
      </c>
      <c r="Q532" t="b">
        <f t="shared" si="17"/>
        <v>0</v>
      </c>
    </row>
    <row r="533" spans="1:17">
      <c r="A533">
        <f t="shared" si="16"/>
        <v>140</v>
      </c>
      <c r="B533" t="s">
        <v>721</v>
      </c>
      <c r="C533" t="s">
        <v>1080</v>
      </c>
      <c r="D533" t="s">
        <v>1194</v>
      </c>
      <c r="E533">
        <v>38</v>
      </c>
      <c r="F533" t="s">
        <v>14</v>
      </c>
      <c r="G533" t="s">
        <v>15</v>
      </c>
      <c r="H533" t="s">
        <v>850</v>
      </c>
      <c r="I533" t="s">
        <v>722</v>
      </c>
      <c r="J533" t="s">
        <v>245</v>
      </c>
      <c r="K533">
        <v>800</v>
      </c>
      <c r="L533" t="s">
        <v>278</v>
      </c>
      <c r="M533" t="s">
        <v>278</v>
      </c>
      <c r="Q533" t="b">
        <f t="shared" si="17"/>
        <v>0</v>
      </c>
    </row>
    <row r="534" spans="1:17">
      <c r="A534">
        <f t="shared" si="16"/>
        <v>141</v>
      </c>
      <c r="B534" t="s">
        <v>724</v>
      </c>
      <c r="C534" t="s">
        <v>1081</v>
      </c>
      <c r="D534" s="2">
        <v>43306</v>
      </c>
      <c r="E534">
        <v>17</v>
      </c>
      <c r="F534" t="s">
        <v>244</v>
      </c>
      <c r="G534" t="s">
        <v>15</v>
      </c>
      <c r="H534" t="s">
        <v>850</v>
      </c>
      <c r="I534" t="s">
        <v>725</v>
      </c>
      <c r="J534" t="s">
        <v>245</v>
      </c>
      <c r="K534">
        <v>800</v>
      </c>
      <c r="L534">
        <v>5</v>
      </c>
      <c r="M534">
        <v>2</v>
      </c>
      <c r="Q534" t="b">
        <f t="shared" si="17"/>
        <v>1</v>
      </c>
    </row>
    <row r="535" spans="1:17">
      <c r="A535">
        <f t="shared" si="16"/>
        <v>141</v>
      </c>
      <c r="B535" t="s">
        <v>724</v>
      </c>
      <c r="C535" t="s">
        <v>1081</v>
      </c>
      <c r="D535" s="2">
        <v>43306</v>
      </c>
      <c r="E535">
        <v>17</v>
      </c>
      <c r="F535" t="s">
        <v>244</v>
      </c>
      <c r="G535" t="s">
        <v>15</v>
      </c>
      <c r="H535" t="s">
        <v>850</v>
      </c>
      <c r="I535" t="s">
        <v>726</v>
      </c>
      <c r="J535" t="s">
        <v>263</v>
      </c>
      <c r="K535">
        <v>1</v>
      </c>
      <c r="L535">
        <v>4</v>
      </c>
      <c r="M535">
        <v>1</v>
      </c>
      <c r="Q535" t="b">
        <f t="shared" si="17"/>
        <v>1</v>
      </c>
    </row>
    <row r="536" spans="1:17">
      <c r="A536">
        <f t="shared" si="16"/>
        <v>141</v>
      </c>
      <c r="B536" t="s">
        <v>724</v>
      </c>
      <c r="C536" t="s">
        <v>1081</v>
      </c>
      <c r="D536" s="2">
        <v>43306</v>
      </c>
      <c r="E536">
        <v>17</v>
      </c>
      <c r="F536" t="s">
        <v>244</v>
      </c>
      <c r="G536" t="s">
        <v>15</v>
      </c>
      <c r="H536" t="s">
        <v>850</v>
      </c>
      <c r="I536" t="s">
        <v>727</v>
      </c>
      <c r="J536" t="s">
        <v>245</v>
      </c>
      <c r="K536">
        <v>800</v>
      </c>
      <c r="L536">
        <v>3</v>
      </c>
      <c r="M536">
        <v>0</v>
      </c>
      <c r="Q536" t="b">
        <f t="shared" si="17"/>
        <v>1</v>
      </c>
    </row>
    <row r="537" spans="1:17">
      <c r="A537">
        <f t="shared" si="16"/>
        <v>141</v>
      </c>
      <c r="B537" t="s">
        <v>724</v>
      </c>
      <c r="C537" t="s">
        <v>1081</v>
      </c>
      <c r="D537" s="2">
        <v>43306</v>
      </c>
      <c r="E537">
        <v>17</v>
      </c>
      <c r="F537" t="s">
        <v>244</v>
      </c>
      <c r="G537" t="s">
        <v>15</v>
      </c>
      <c r="H537" t="s">
        <v>850</v>
      </c>
      <c r="I537" t="s">
        <v>728</v>
      </c>
      <c r="J537" t="s">
        <v>245</v>
      </c>
      <c r="K537">
        <v>800</v>
      </c>
      <c r="L537">
        <v>3</v>
      </c>
      <c r="M537">
        <v>1</v>
      </c>
      <c r="Q537" t="b">
        <f t="shared" si="17"/>
        <v>1</v>
      </c>
    </row>
    <row r="538" spans="1:17">
      <c r="A538">
        <f t="shared" si="16"/>
        <v>142</v>
      </c>
      <c r="B538" t="s">
        <v>729</v>
      </c>
      <c r="C538" t="s">
        <v>1082</v>
      </c>
      <c r="D538" t="s">
        <v>1195</v>
      </c>
      <c r="E538">
        <v>28</v>
      </c>
      <c r="F538" t="s">
        <v>14</v>
      </c>
      <c r="G538" t="s">
        <v>15</v>
      </c>
      <c r="H538" t="s">
        <v>850</v>
      </c>
      <c r="I538" t="s">
        <v>730</v>
      </c>
      <c r="J538" t="s">
        <v>245</v>
      </c>
      <c r="K538">
        <v>800</v>
      </c>
      <c r="L538">
        <v>4</v>
      </c>
      <c r="M538">
        <v>2</v>
      </c>
      <c r="P538" t="s">
        <v>731</v>
      </c>
      <c r="Q538" t="b">
        <f t="shared" si="17"/>
        <v>0</v>
      </c>
    </row>
    <row r="539" spans="1:17">
      <c r="A539">
        <f t="shared" si="16"/>
        <v>143</v>
      </c>
      <c r="B539" t="s">
        <v>732</v>
      </c>
      <c r="C539" t="s">
        <v>1083</v>
      </c>
      <c r="D539" t="s">
        <v>1196</v>
      </c>
      <c r="E539">
        <v>29</v>
      </c>
      <c r="F539" t="s">
        <v>14</v>
      </c>
      <c r="G539" t="s">
        <v>15</v>
      </c>
      <c r="H539" t="s">
        <v>850</v>
      </c>
      <c r="I539" t="s">
        <v>734</v>
      </c>
      <c r="J539" t="s">
        <v>245</v>
      </c>
      <c r="K539">
        <v>800</v>
      </c>
      <c r="L539">
        <v>4</v>
      </c>
      <c r="M539">
        <v>0</v>
      </c>
      <c r="Q539" t="b">
        <f t="shared" si="17"/>
        <v>1</v>
      </c>
    </row>
    <row r="540" spans="1:17">
      <c r="A540">
        <f t="shared" si="16"/>
        <v>143</v>
      </c>
      <c r="B540" t="s">
        <v>732</v>
      </c>
      <c r="C540" t="s">
        <v>1083</v>
      </c>
      <c r="D540" t="s">
        <v>1196</v>
      </c>
      <c r="E540">
        <v>29</v>
      </c>
      <c r="F540" t="s">
        <v>14</v>
      </c>
      <c r="G540" t="s">
        <v>15</v>
      </c>
      <c r="H540" t="s">
        <v>850</v>
      </c>
      <c r="I540" t="s">
        <v>735</v>
      </c>
      <c r="J540" t="s">
        <v>245</v>
      </c>
      <c r="K540">
        <v>800</v>
      </c>
      <c r="L540">
        <v>6</v>
      </c>
      <c r="M540">
        <v>0</v>
      </c>
      <c r="Q540" t="b">
        <f t="shared" si="17"/>
        <v>1</v>
      </c>
    </row>
    <row r="541" spans="1:17">
      <c r="A541">
        <f t="shared" si="16"/>
        <v>143</v>
      </c>
      <c r="B541" t="s">
        <v>732</v>
      </c>
      <c r="C541" t="s">
        <v>1083</v>
      </c>
      <c r="D541" t="s">
        <v>1196</v>
      </c>
      <c r="E541">
        <v>29</v>
      </c>
      <c r="F541" t="s">
        <v>14</v>
      </c>
      <c r="G541" t="s">
        <v>15</v>
      </c>
      <c r="H541" t="s">
        <v>850</v>
      </c>
      <c r="I541" t="s">
        <v>735</v>
      </c>
      <c r="J541" t="s">
        <v>263</v>
      </c>
      <c r="K541">
        <v>1</v>
      </c>
      <c r="L541">
        <v>6</v>
      </c>
      <c r="M541">
        <v>0</v>
      </c>
      <c r="Q541" t="b">
        <f t="shared" si="17"/>
        <v>1</v>
      </c>
    </row>
    <row r="542" spans="1:17">
      <c r="A542">
        <f t="shared" si="16"/>
        <v>143</v>
      </c>
      <c r="B542" t="s">
        <v>732</v>
      </c>
      <c r="C542" t="s">
        <v>1083</v>
      </c>
      <c r="D542" t="s">
        <v>1196</v>
      </c>
      <c r="E542">
        <v>29</v>
      </c>
      <c r="F542" t="s">
        <v>14</v>
      </c>
      <c r="G542" t="s">
        <v>15</v>
      </c>
      <c r="H542" t="s">
        <v>850</v>
      </c>
      <c r="I542" t="s">
        <v>736</v>
      </c>
      <c r="J542" t="s">
        <v>245</v>
      </c>
      <c r="K542">
        <v>800</v>
      </c>
      <c r="L542">
        <v>5</v>
      </c>
      <c r="M542">
        <v>0</v>
      </c>
      <c r="Q542" t="b">
        <f t="shared" si="17"/>
        <v>1</v>
      </c>
    </row>
    <row r="543" spans="1:17">
      <c r="A543">
        <f t="shared" si="16"/>
        <v>143</v>
      </c>
      <c r="B543" t="s">
        <v>732</v>
      </c>
      <c r="C543" t="s">
        <v>1083</v>
      </c>
      <c r="D543" t="s">
        <v>1196</v>
      </c>
      <c r="E543">
        <v>29</v>
      </c>
      <c r="F543" t="s">
        <v>14</v>
      </c>
      <c r="G543" t="s">
        <v>15</v>
      </c>
      <c r="H543" t="s">
        <v>850</v>
      </c>
      <c r="I543" t="s">
        <v>736</v>
      </c>
      <c r="J543" t="s">
        <v>263</v>
      </c>
      <c r="K543">
        <v>1</v>
      </c>
      <c r="L543">
        <v>5</v>
      </c>
      <c r="M543">
        <v>0</v>
      </c>
      <c r="Q543" t="b">
        <f t="shared" si="17"/>
        <v>1</v>
      </c>
    </row>
    <row r="544" spans="1:17">
      <c r="A544">
        <f t="shared" si="16"/>
        <v>143</v>
      </c>
      <c r="B544" t="s">
        <v>732</v>
      </c>
      <c r="C544" t="s">
        <v>1083</v>
      </c>
      <c r="D544" t="s">
        <v>1196</v>
      </c>
      <c r="E544">
        <v>29</v>
      </c>
      <c r="F544" t="s">
        <v>14</v>
      </c>
      <c r="G544" t="s">
        <v>15</v>
      </c>
      <c r="H544" t="s">
        <v>850</v>
      </c>
      <c r="I544" t="s">
        <v>733</v>
      </c>
      <c r="J544" t="s">
        <v>245</v>
      </c>
      <c r="K544">
        <v>800</v>
      </c>
      <c r="L544">
        <v>6</v>
      </c>
      <c r="M544">
        <v>0</v>
      </c>
      <c r="Q544" t="b">
        <f t="shared" si="17"/>
        <v>1</v>
      </c>
    </row>
    <row r="545" spans="1:17">
      <c r="A545">
        <f t="shared" si="16"/>
        <v>143</v>
      </c>
      <c r="B545" t="s">
        <v>732</v>
      </c>
      <c r="C545" t="s">
        <v>1083</v>
      </c>
      <c r="D545" t="s">
        <v>1196</v>
      </c>
      <c r="E545">
        <v>29</v>
      </c>
      <c r="F545" t="s">
        <v>14</v>
      </c>
      <c r="G545" t="s">
        <v>15</v>
      </c>
      <c r="H545" t="s">
        <v>850</v>
      </c>
      <c r="I545" t="s">
        <v>733</v>
      </c>
      <c r="J545" t="s">
        <v>263</v>
      </c>
      <c r="K545">
        <v>1</v>
      </c>
      <c r="L545">
        <v>6</v>
      </c>
      <c r="M545">
        <v>0</v>
      </c>
      <c r="Q545" t="b">
        <f t="shared" si="17"/>
        <v>1</v>
      </c>
    </row>
    <row r="546" spans="1:17">
      <c r="A546">
        <f t="shared" si="16"/>
        <v>144</v>
      </c>
      <c r="B546" t="s">
        <v>737</v>
      </c>
      <c r="C546" t="s">
        <v>1084</v>
      </c>
      <c r="D546" t="s">
        <v>1197</v>
      </c>
      <c r="E546">
        <v>20</v>
      </c>
      <c r="F546" t="s">
        <v>14</v>
      </c>
      <c r="G546" t="s">
        <v>15</v>
      </c>
      <c r="H546" t="s">
        <v>850</v>
      </c>
      <c r="I546" t="s">
        <v>739</v>
      </c>
      <c r="J546" t="s">
        <v>245</v>
      </c>
      <c r="K546">
        <v>800</v>
      </c>
      <c r="L546">
        <v>6</v>
      </c>
      <c r="M546">
        <v>4</v>
      </c>
      <c r="Q546" t="b">
        <f t="shared" si="17"/>
        <v>0</v>
      </c>
    </row>
    <row r="547" spans="1:17">
      <c r="A547">
        <f t="shared" si="16"/>
        <v>144</v>
      </c>
      <c r="B547" t="s">
        <v>737</v>
      </c>
      <c r="C547" t="s">
        <v>1084</v>
      </c>
      <c r="D547" t="s">
        <v>1197</v>
      </c>
      <c r="E547">
        <v>20</v>
      </c>
      <c r="F547" t="s">
        <v>14</v>
      </c>
      <c r="G547" t="s">
        <v>15</v>
      </c>
      <c r="H547" t="s">
        <v>850</v>
      </c>
      <c r="I547" t="s">
        <v>742</v>
      </c>
      <c r="J547" t="s">
        <v>263</v>
      </c>
      <c r="K547">
        <v>1</v>
      </c>
      <c r="L547">
        <v>6</v>
      </c>
      <c r="M547">
        <v>4</v>
      </c>
      <c r="Q547" t="b">
        <f t="shared" si="17"/>
        <v>0</v>
      </c>
    </row>
    <row r="548" spans="1:17">
      <c r="A548">
        <f t="shared" si="16"/>
        <v>144</v>
      </c>
      <c r="B548" t="s">
        <v>737</v>
      </c>
      <c r="C548" t="s">
        <v>1084</v>
      </c>
      <c r="D548" t="s">
        <v>1197</v>
      </c>
      <c r="E548">
        <v>20</v>
      </c>
      <c r="F548" t="s">
        <v>14</v>
      </c>
      <c r="G548" t="s">
        <v>15</v>
      </c>
      <c r="H548" t="s">
        <v>850</v>
      </c>
      <c r="I548" t="s">
        <v>740</v>
      </c>
      <c r="J548" t="s">
        <v>245</v>
      </c>
      <c r="K548">
        <v>800</v>
      </c>
      <c r="L548">
        <v>5</v>
      </c>
      <c r="M548">
        <v>2</v>
      </c>
      <c r="Q548" t="b">
        <f t="shared" si="17"/>
        <v>0</v>
      </c>
    </row>
    <row r="549" spans="1:17">
      <c r="A549">
        <f t="shared" si="16"/>
        <v>144</v>
      </c>
      <c r="B549" t="s">
        <v>737</v>
      </c>
      <c r="C549" t="s">
        <v>1084</v>
      </c>
      <c r="D549" t="s">
        <v>1197</v>
      </c>
      <c r="E549">
        <v>20</v>
      </c>
      <c r="F549" t="s">
        <v>14</v>
      </c>
      <c r="G549" t="s">
        <v>15</v>
      </c>
      <c r="H549" t="s">
        <v>850</v>
      </c>
      <c r="I549" t="s">
        <v>741</v>
      </c>
      <c r="J549" t="s">
        <v>263</v>
      </c>
      <c r="K549">
        <v>1</v>
      </c>
      <c r="L549">
        <v>5</v>
      </c>
      <c r="M549">
        <v>2</v>
      </c>
      <c r="Q549" t="b">
        <f t="shared" si="17"/>
        <v>0</v>
      </c>
    </row>
    <row r="550" spans="1:17">
      <c r="A550">
        <f t="shared" si="16"/>
        <v>144</v>
      </c>
      <c r="B550" t="s">
        <v>737</v>
      </c>
      <c r="C550" t="s">
        <v>1084</v>
      </c>
      <c r="D550" t="s">
        <v>1197</v>
      </c>
      <c r="E550">
        <v>20</v>
      </c>
      <c r="F550" t="s">
        <v>14</v>
      </c>
      <c r="G550" t="s">
        <v>15</v>
      </c>
      <c r="H550" t="s">
        <v>850</v>
      </c>
      <c r="I550" t="s">
        <v>738</v>
      </c>
      <c r="J550" t="s">
        <v>245</v>
      </c>
      <c r="K550">
        <v>800</v>
      </c>
      <c r="L550" t="s">
        <v>278</v>
      </c>
      <c r="M550" t="s">
        <v>278</v>
      </c>
      <c r="Q550" t="b">
        <f t="shared" si="17"/>
        <v>0</v>
      </c>
    </row>
    <row r="551" spans="1:17">
      <c r="A551">
        <f t="shared" si="16"/>
        <v>145</v>
      </c>
      <c r="B551" t="s">
        <v>743</v>
      </c>
      <c r="C551" t="s">
        <v>1085</v>
      </c>
      <c r="D551" t="s">
        <v>1198</v>
      </c>
      <c r="E551">
        <v>31</v>
      </c>
      <c r="F551" t="s">
        <v>14</v>
      </c>
      <c r="G551" t="s">
        <v>15</v>
      </c>
      <c r="H551" t="s">
        <v>850</v>
      </c>
      <c r="I551" t="s">
        <v>745</v>
      </c>
      <c r="J551" t="s">
        <v>256</v>
      </c>
      <c r="K551">
        <v>30</v>
      </c>
      <c r="L551">
        <v>8</v>
      </c>
      <c r="M551">
        <v>0</v>
      </c>
      <c r="Q551" t="b">
        <f t="shared" si="17"/>
        <v>1</v>
      </c>
    </row>
    <row r="552" spans="1:17">
      <c r="A552">
        <f t="shared" si="16"/>
        <v>145</v>
      </c>
      <c r="B552" t="s">
        <v>743</v>
      </c>
      <c r="C552" t="s">
        <v>1085</v>
      </c>
      <c r="D552" t="s">
        <v>1198</v>
      </c>
      <c r="E552">
        <v>31</v>
      </c>
      <c r="F552" t="s">
        <v>14</v>
      </c>
      <c r="G552" t="s">
        <v>15</v>
      </c>
      <c r="H552" t="s">
        <v>850</v>
      </c>
      <c r="I552" t="s">
        <v>746</v>
      </c>
      <c r="J552" t="s">
        <v>256</v>
      </c>
      <c r="K552">
        <v>30</v>
      </c>
      <c r="L552">
        <v>5</v>
      </c>
      <c r="M552">
        <v>3</v>
      </c>
      <c r="Q552" t="b">
        <f t="shared" si="17"/>
        <v>1</v>
      </c>
    </row>
    <row r="553" spans="1:17">
      <c r="A553">
        <f t="shared" si="16"/>
        <v>145</v>
      </c>
      <c r="B553" t="s">
        <v>743</v>
      </c>
      <c r="C553" t="s">
        <v>1085</v>
      </c>
      <c r="D553" t="s">
        <v>1198</v>
      </c>
      <c r="E553">
        <v>31</v>
      </c>
      <c r="F553" t="s">
        <v>14</v>
      </c>
      <c r="G553" t="s">
        <v>15</v>
      </c>
      <c r="H553" t="s">
        <v>850</v>
      </c>
      <c r="I553" t="s">
        <v>747</v>
      </c>
      <c r="J553" t="s">
        <v>256</v>
      </c>
      <c r="K553">
        <v>30</v>
      </c>
      <c r="L553">
        <v>3</v>
      </c>
      <c r="M553">
        <v>0</v>
      </c>
      <c r="Q553" t="b">
        <f t="shared" si="17"/>
        <v>1</v>
      </c>
    </row>
    <row r="554" spans="1:17">
      <c r="A554">
        <f t="shared" si="16"/>
        <v>145</v>
      </c>
      <c r="B554" t="s">
        <v>743</v>
      </c>
      <c r="C554" t="s">
        <v>1085</v>
      </c>
      <c r="D554" t="s">
        <v>1198</v>
      </c>
      <c r="E554">
        <v>31</v>
      </c>
      <c r="F554" t="s">
        <v>14</v>
      </c>
      <c r="G554" t="s">
        <v>15</v>
      </c>
      <c r="H554" t="s">
        <v>850</v>
      </c>
      <c r="I554" t="s">
        <v>744</v>
      </c>
      <c r="J554" t="s">
        <v>256</v>
      </c>
      <c r="K554">
        <v>30</v>
      </c>
      <c r="L554" t="s">
        <v>278</v>
      </c>
      <c r="M554" t="s">
        <v>278</v>
      </c>
      <c r="Q554" t="b">
        <f t="shared" si="17"/>
        <v>1</v>
      </c>
    </row>
    <row r="555" spans="1:17">
      <c r="A555">
        <f t="shared" si="16"/>
        <v>146</v>
      </c>
      <c r="B555" t="s">
        <v>748</v>
      </c>
      <c r="C555" t="s">
        <v>1086</v>
      </c>
      <c r="D555" t="s">
        <v>1199</v>
      </c>
      <c r="E555">
        <v>23</v>
      </c>
      <c r="F555" t="s">
        <v>14</v>
      </c>
      <c r="G555" t="s">
        <v>30</v>
      </c>
      <c r="H555" t="s">
        <v>850</v>
      </c>
      <c r="I555" t="s">
        <v>750</v>
      </c>
      <c r="J555" t="s">
        <v>256</v>
      </c>
      <c r="K555">
        <v>30</v>
      </c>
      <c r="L555">
        <v>2</v>
      </c>
      <c r="M555">
        <v>0</v>
      </c>
      <c r="Q555" t="b">
        <f t="shared" si="17"/>
        <v>0</v>
      </c>
    </row>
    <row r="556" spans="1:17">
      <c r="A556">
        <f t="shared" si="16"/>
        <v>146</v>
      </c>
      <c r="B556" t="s">
        <v>748</v>
      </c>
      <c r="C556" t="s">
        <v>1086</v>
      </c>
      <c r="D556" t="s">
        <v>1199</v>
      </c>
      <c r="E556">
        <v>23</v>
      </c>
      <c r="F556" t="s">
        <v>14</v>
      </c>
      <c r="G556" t="s">
        <v>30</v>
      </c>
      <c r="H556" t="s">
        <v>850</v>
      </c>
      <c r="I556" t="s">
        <v>751</v>
      </c>
      <c r="J556" t="s">
        <v>256</v>
      </c>
      <c r="K556">
        <v>30</v>
      </c>
      <c r="L556">
        <v>1</v>
      </c>
      <c r="M556">
        <v>0</v>
      </c>
      <c r="Q556" t="b">
        <f t="shared" si="17"/>
        <v>0</v>
      </c>
    </row>
    <row r="557" spans="1:17">
      <c r="A557">
        <f t="shared" si="16"/>
        <v>146</v>
      </c>
      <c r="B557" t="s">
        <v>748</v>
      </c>
      <c r="C557" t="s">
        <v>1086</v>
      </c>
      <c r="D557" t="s">
        <v>1199</v>
      </c>
      <c r="E557">
        <v>23</v>
      </c>
      <c r="F557" t="s">
        <v>14</v>
      </c>
      <c r="G557" t="s">
        <v>30</v>
      </c>
      <c r="H557" t="s">
        <v>850</v>
      </c>
      <c r="I557" t="s">
        <v>752</v>
      </c>
      <c r="J557" t="s">
        <v>256</v>
      </c>
      <c r="K557">
        <v>30</v>
      </c>
      <c r="L557">
        <v>6</v>
      </c>
      <c r="M557">
        <v>0</v>
      </c>
      <c r="Q557" t="b">
        <f t="shared" si="17"/>
        <v>0</v>
      </c>
    </row>
    <row r="558" spans="1:17">
      <c r="A558">
        <f t="shared" si="16"/>
        <v>146</v>
      </c>
      <c r="B558" t="s">
        <v>748</v>
      </c>
      <c r="C558" t="s">
        <v>1086</v>
      </c>
      <c r="D558" t="s">
        <v>1199</v>
      </c>
      <c r="E558">
        <v>23</v>
      </c>
      <c r="F558" t="s">
        <v>14</v>
      </c>
      <c r="G558" t="s">
        <v>30</v>
      </c>
      <c r="H558" t="s">
        <v>850</v>
      </c>
      <c r="I558" t="s">
        <v>749</v>
      </c>
      <c r="J558" t="s">
        <v>256</v>
      </c>
      <c r="K558">
        <v>30</v>
      </c>
      <c r="L558">
        <v>7</v>
      </c>
      <c r="M558">
        <v>0</v>
      </c>
      <c r="Q558" t="b">
        <f t="shared" si="17"/>
        <v>0</v>
      </c>
    </row>
    <row r="559" spans="1:17">
      <c r="A559">
        <f t="shared" si="16"/>
        <v>147</v>
      </c>
      <c r="B559" t="s">
        <v>753</v>
      </c>
      <c r="C559" t="s">
        <v>1087</v>
      </c>
      <c r="D559" t="s">
        <v>1200</v>
      </c>
      <c r="E559">
        <v>24</v>
      </c>
      <c r="F559" t="s">
        <v>244</v>
      </c>
      <c r="G559" t="s">
        <v>15</v>
      </c>
      <c r="H559" t="s">
        <v>850</v>
      </c>
      <c r="I559" t="s">
        <v>755</v>
      </c>
      <c r="J559" t="s">
        <v>268</v>
      </c>
      <c r="K559">
        <v>650</v>
      </c>
      <c r="L559">
        <v>5</v>
      </c>
      <c r="M559">
        <v>0</v>
      </c>
      <c r="Q559" t="b">
        <f t="shared" si="17"/>
        <v>1</v>
      </c>
    </row>
    <row r="560" spans="1:17">
      <c r="A560">
        <f t="shared" si="16"/>
        <v>147</v>
      </c>
      <c r="B560" t="s">
        <v>753</v>
      </c>
      <c r="C560" t="s">
        <v>1087</v>
      </c>
      <c r="D560" t="s">
        <v>1200</v>
      </c>
      <c r="E560">
        <v>24</v>
      </c>
      <c r="F560" t="s">
        <v>244</v>
      </c>
      <c r="G560" t="s">
        <v>15</v>
      </c>
      <c r="H560" t="s">
        <v>850</v>
      </c>
      <c r="I560" t="s">
        <v>756</v>
      </c>
      <c r="J560" t="s">
        <v>245</v>
      </c>
      <c r="K560">
        <v>800</v>
      </c>
      <c r="L560">
        <v>8</v>
      </c>
      <c r="M560">
        <v>3</v>
      </c>
      <c r="Q560" t="b">
        <f t="shared" si="17"/>
        <v>1</v>
      </c>
    </row>
    <row r="561" spans="1:17">
      <c r="A561">
        <f t="shared" si="16"/>
        <v>147</v>
      </c>
      <c r="B561" t="s">
        <v>753</v>
      </c>
      <c r="C561" t="s">
        <v>1087</v>
      </c>
      <c r="D561" t="s">
        <v>1200</v>
      </c>
      <c r="E561">
        <v>24</v>
      </c>
      <c r="F561" t="s">
        <v>244</v>
      </c>
      <c r="G561" t="s">
        <v>15</v>
      </c>
      <c r="H561" t="s">
        <v>850</v>
      </c>
      <c r="I561" t="s">
        <v>757</v>
      </c>
      <c r="J561" t="s">
        <v>245</v>
      </c>
      <c r="K561">
        <v>800</v>
      </c>
      <c r="L561" t="s">
        <v>278</v>
      </c>
      <c r="M561" t="s">
        <v>278</v>
      </c>
      <c r="Q561" t="b">
        <f t="shared" si="17"/>
        <v>1</v>
      </c>
    </row>
    <row r="562" spans="1:17">
      <c r="A562">
        <f t="shared" si="16"/>
        <v>147</v>
      </c>
      <c r="B562" t="s">
        <v>753</v>
      </c>
      <c r="C562" t="s">
        <v>1087</v>
      </c>
      <c r="D562" t="s">
        <v>1200</v>
      </c>
      <c r="E562">
        <v>24</v>
      </c>
      <c r="F562" t="s">
        <v>244</v>
      </c>
      <c r="G562" t="s">
        <v>15</v>
      </c>
      <c r="H562" t="s">
        <v>850</v>
      </c>
      <c r="I562" t="s">
        <v>754</v>
      </c>
      <c r="J562" t="s">
        <v>245</v>
      </c>
      <c r="K562">
        <v>800</v>
      </c>
      <c r="L562">
        <v>2</v>
      </c>
      <c r="M562">
        <v>0</v>
      </c>
      <c r="Q562" t="b">
        <f t="shared" si="17"/>
        <v>1</v>
      </c>
    </row>
    <row r="563" spans="1:17">
      <c r="A563">
        <f t="shared" si="16"/>
        <v>148</v>
      </c>
      <c r="B563" t="s">
        <v>758</v>
      </c>
      <c r="C563" t="s">
        <v>1088</v>
      </c>
      <c r="D563" t="s">
        <v>1201</v>
      </c>
      <c r="E563">
        <v>25</v>
      </c>
      <c r="F563" t="s">
        <v>244</v>
      </c>
      <c r="G563" t="s">
        <v>15</v>
      </c>
      <c r="H563" t="s">
        <v>850</v>
      </c>
      <c r="I563" t="s">
        <v>760</v>
      </c>
      <c r="J563" t="s">
        <v>245</v>
      </c>
      <c r="K563">
        <v>800</v>
      </c>
      <c r="L563">
        <v>5</v>
      </c>
      <c r="M563">
        <v>1</v>
      </c>
      <c r="Q563" t="b">
        <f t="shared" si="17"/>
        <v>0</v>
      </c>
    </row>
    <row r="564" spans="1:17">
      <c r="A564">
        <f t="shared" si="16"/>
        <v>148</v>
      </c>
      <c r="B564" t="s">
        <v>758</v>
      </c>
      <c r="C564" t="s">
        <v>1088</v>
      </c>
      <c r="D564" t="s">
        <v>1201</v>
      </c>
      <c r="E564">
        <v>25</v>
      </c>
      <c r="F564" t="s">
        <v>244</v>
      </c>
      <c r="G564" t="s">
        <v>15</v>
      </c>
      <c r="H564" t="s">
        <v>850</v>
      </c>
      <c r="I564" t="s">
        <v>761</v>
      </c>
      <c r="J564" t="s">
        <v>245</v>
      </c>
      <c r="K564">
        <v>800</v>
      </c>
      <c r="L564">
        <v>8</v>
      </c>
      <c r="M564">
        <v>4</v>
      </c>
      <c r="Q564" t="b">
        <f t="shared" si="17"/>
        <v>0</v>
      </c>
    </row>
    <row r="565" spans="1:17">
      <c r="A565">
        <f t="shared" si="16"/>
        <v>148</v>
      </c>
      <c r="B565" t="s">
        <v>758</v>
      </c>
      <c r="C565" t="s">
        <v>1088</v>
      </c>
      <c r="D565" t="s">
        <v>1201</v>
      </c>
      <c r="E565">
        <v>25</v>
      </c>
      <c r="F565" t="s">
        <v>244</v>
      </c>
      <c r="G565" t="s">
        <v>15</v>
      </c>
      <c r="H565" t="s">
        <v>850</v>
      </c>
      <c r="I565" t="s">
        <v>762</v>
      </c>
      <c r="J565" t="s">
        <v>263</v>
      </c>
      <c r="K565">
        <v>1</v>
      </c>
      <c r="L565">
        <v>8</v>
      </c>
      <c r="M565">
        <v>2</v>
      </c>
      <c r="Q565" t="b">
        <f t="shared" si="17"/>
        <v>0</v>
      </c>
    </row>
    <row r="566" spans="1:17">
      <c r="A566">
        <f t="shared" si="16"/>
        <v>148</v>
      </c>
      <c r="B566" t="s">
        <v>758</v>
      </c>
      <c r="C566" t="s">
        <v>1088</v>
      </c>
      <c r="D566" t="s">
        <v>1201</v>
      </c>
      <c r="E566">
        <v>25</v>
      </c>
      <c r="F566" t="s">
        <v>244</v>
      </c>
      <c r="G566" t="s">
        <v>15</v>
      </c>
      <c r="H566" t="s">
        <v>850</v>
      </c>
      <c r="I566" t="s">
        <v>759</v>
      </c>
      <c r="J566" t="s">
        <v>245</v>
      </c>
      <c r="K566">
        <v>800</v>
      </c>
      <c r="L566">
        <v>4</v>
      </c>
      <c r="M566">
        <v>0</v>
      </c>
      <c r="Q566" t="b">
        <f t="shared" si="17"/>
        <v>0</v>
      </c>
    </row>
    <row r="567" spans="1:17">
      <c r="A567">
        <f t="shared" si="16"/>
        <v>148</v>
      </c>
      <c r="B567" t="s">
        <v>758</v>
      </c>
      <c r="C567" t="s">
        <v>1088</v>
      </c>
      <c r="D567" t="s">
        <v>1201</v>
      </c>
      <c r="E567">
        <v>25</v>
      </c>
      <c r="F567" t="s">
        <v>244</v>
      </c>
      <c r="G567" t="s">
        <v>15</v>
      </c>
      <c r="H567" t="s">
        <v>850</v>
      </c>
      <c r="I567" t="s">
        <v>759</v>
      </c>
      <c r="J567" t="s">
        <v>263</v>
      </c>
      <c r="K567">
        <v>1</v>
      </c>
      <c r="L567">
        <v>4</v>
      </c>
      <c r="M567">
        <v>0</v>
      </c>
      <c r="Q567" t="b">
        <f t="shared" si="17"/>
        <v>0</v>
      </c>
    </row>
    <row r="568" spans="1:17">
      <c r="A568">
        <f t="shared" si="16"/>
        <v>149</v>
      </c>
      <c r="B568" t="s">
        <v>763</v>
      </c>
      <c r="C568" t="s">
        <v>1089</v>
      </c>
      <c r="D568" s="2">
        <v>43310</v>
      </c>
      <c r="E568">
        <v>27</v>
      </c>
      <c r="F568" t="s">
        <v>14</v>
      </c>
      <c r="G568" t="s">
        <v>15</v>
      </c>
      <c r="H568" t="s">
        <v>850</v>
      </c>
      <c r="I568" t="s">
        <v>764</v>
      </c>
      <c r="J568" t="s">
        <v>245</v>
      </c>
      <c r="K568">
        <v>800</v>
      </c>
      <c r="L568">
        <v>5</v>
      </c>
      <c r="M568">
        <v>3</v>
      </c>
      <c r="Q568" t="b">
        <f t="shared" si="17"/>
        <v>1</v>
      </c>
    </row>
    <row r="569" spans="1:17">
      <c r="A569">
        <f t="shared" si="16"/>
        <v>149</v>
      </c>
      <c r="B569" t="s">
        <v>763</v>
      </c>
      <c r="C569" t="s">
        <v>1089</v>
      </c>
      <c r="D569" s="2">
        <v>43310</v>
      </c>
      <c r="E569">
        <v>27</v>
      </c>
      <c r="F569" t="s">
        <v>14</v>
      </c>
      <c r="G569" t="s">
        <v>15</v>
      </c>
      <c r="H569" t="s">
        <v>850</v>
      </c>
      <c r="I569" t="s">
        <v>765</v>
      </c>
      <c r="J569" t="s">
        <v>245</v>
      </c>
      <c r="K569">
        <v>800</v>
      </c>
      <c r="L569">
        <v>4</v>
      </c>
      <c r="M569">
        <v>0</v>
      </c>
      <c r="Q569" t="b">
        <f t="shared" si="17"/>
        <v>1</v>
      </c>
    </row>
    <row r="570" spans="1:17">
      <c r="A570">
        <f t="shared" si="16"/>
        <v>150</v>
      </c>
      <c r="B570" t="s">
        <v>766</v>
      </c>
      <c r="C570" t="s">
        <v>1220</v>
      </c>
      <c r="D570" t="s">
        <v>1202</v>
      </c>
      <c r="E570">
        <v>27</v>
      </c>
      <c r="F570" t="s">
        <v>14</v>
      </c>
      <c r="G570" t="s">
        <v>15</v>
      </c>
      <c r="H570" t="s">
        <v>850</v>
      </c>
      <c r="I570" t="s">
        <v>768</v>
      </c>
      <c r="J570" t="s">
        <v>245</v>
      </c>
      <c r="K570">
        <v>800</v>
      </c>
      <c r="L570">
        <v>1</v>
      </c>
      <c r="M570">
        <v>0</v>
      </c>
      <c r="Q570" t="b">
        <f t="shared" si="17"/>
        <v>0</v>
      </c>
    </row>
    <row r="571" spans="1:17">
      <c r="A571">
        <f t="shared" si="16"/>
        <v>150</v>
      </c>
      <c r="B571" t="s">
        <v>766</v>
      </c>
      <c r="C571" t="s">
        <v>1220</v>
      </c>
      <c r="D571" t="s">
        <v>1202</v>
      </c>
      <c r="E571">
        <v>27</v>
      </c>
      <c r="F571" t="s">
        <v>14</v>
      </c>
      <c r="G571" t="s">
        <v>15</v>
      </c>
      <c r="H571" t="s">
        <v>850</v>
      </c>
      <c r="I571" t="s">
        <v>769</v>
      </c>
      <c r="J571" t="s">
        <v>245</v>
      </c>
      <c r="K571">
        <v>800</v>
      </c>
      <c r="L571">
        <v>4</v>
      </c>
      <c r="M571">
        <v>2</v>
      </c>
      <c r="Q571" t="b">
        <f t="shared" si="17"/>
        <v>0</v>
      </c>
    </row>
    <row r="572" spans="1:17">
      <c r="A572">
        <f t="shared" si="16"/>
        <v>150</v>
      </c>
      <c r="B572" t="s">
        <v>766</v>
      </c>
      <c r="C572" t="s">
        <v>1220</v>
      </c>
      <c r="D572" t="s">
        <v>1202</v>
      </c>
      <c r="E572">
        <v>27</v>
      </c>
      <c r="F572" t="s">
        <v>14</v>
      </c>
      <c r="G572" t="s">
        <v>15</v>
      </c>
      <c r="H572" t="s">
        <v>850</v>
      </c>
      <c r="I572" t="s">
        <v>770</v>
      </c>
      <c r="J572" t="s">
        <v>245</v>
      </c>
      <c r="K572">
        <v>800</v>
      </c>
      <c r="L572">
        <v>2</v>
      </c>
      <c r="M572">
        <v>2</v>
      </c>
      <c r="Q572" t="b">
        <f t="shared" si="17"/>
        <v>0</v>
      </c>
    </row>
    <row r="573" spans="1:17">
      <c r="A573">
        <f t="shared" si="16"/>
        <v>150</v>
      </c>
      <c r="B573" t="s">
        <v>766</v>
      </c>
      <c r="C573" t="s">
        <v>1220</v>
      </c>
      <c r="D573" t="s">
        <v>1202</v>
      </c>
      <c r="E573">
        <v>27</v>
      </c>
      <c r="F573" t="s">
        <v>14</v>
      </c>
      <c r="G573" t="s">
        <v>15</v>
      </c>
      <c r="H573" t="s">
        <v>850</v>
      </c>
      <c r="I573" t="s">
        <v>767</v>
      </c>
      <c r="J573" t="s">
        <v>245</v>
      </c>
      <c r="K573">
        <v>800</v>
      </c>
      <c r="L573">
        <v>3</v>
      </c>
      <c r="M573">
        <v>0</v>
      </c>
      <c r="Q573" t="b">
        <f t="shared" si="17"/>
        <v>0</v>
      </c>
    </row>
    <row r="574" spans="1:17">
      <c r="A574">
        <f t="shared" si="16"/>
        <v>151</v>
      </c>
      <c r="B574" t="s">
        <v>771</v>
      </c>
      <c r="C574" t="s">
        <v>1090</v>
      </c>
      <c r="D574" t="s">
        <v>1203</v>
      </c>
      <c r="E574">
        <v>20</v>
      </c>
      <c r="F574" t="s">
        <v>244</v>
      </c>
      <c r="G574" t="s">
        <v>15</v>
      </c>
      <c r="H574" t="s">
        <v>850</v>
      </c>
      <c r="I574" t="s">
        <v>773</v>
      </c>
      <c r="J574" t="s">
        <v>245</v>
      </c>
      <c r="K574">
        <v>800</v>
      </c>
      <c r="L574">
        <v>2</v>
      </c>
      <c r="M574">
        <v>2</v>
      </c>
      <c r="Q574" t="b">
        <f t="shared" si="17"/>
        <v>1</v>
      </c>
    </row>
    <row r="575" spans="1:17">
      <c r="A575">
        <f t="shared" si="16"/>
        <v>151</v>
      </c>
      <c r="B575" t="s">
        <v>771</v>
      </c>
      <c r="C575" t="s">
        <v>1090</v>
      </c>
      <c r="D575" t="s">
        <v>1203</v>
      </c>
      <c r="E575">
        <v>20</v>
      </c>
      <c r="F575" t="s">
        <v>244</v>
      </c>
      <c r="G575" t="s">
        <v>15</v>
      </c>
      <c r="H575" t="s">
        <v>850</v>
      </c>
      <c r="I575" t="s">
        <v>774</v>
      </c>
      <c r="J575" t="s">
        <v>245</v>
      </c>
      <c r="K575">
        <v>800</v>
      </c>
      <c r="L575">
        <v>5</v>
      </c>
      <c r="M575">
        <v>3</v>
      </c>
      <c r="Q575" t="b">
        <f t="shared" si="17"/>
        <v>1</v>
      </c>
    </row>
    <row r="576" spans="1:17">
      <c r="A576">
        <f t="shared" si="16"/>
        <v>151</v>
      </c>
      <c r="B576" t="s">
        <v>771</v>
      </c>
      <c r="C576" t="s">
        <v>1090</v>
      </c>
      <c r="D576" t="s">
        <v>1203</v>
      </c>
      <c r="E576">
        <v>20</v>
      </c>
      <c r="F576" t="s">
        <v>244</v>
      </c>
      <c r="G576" t="s">
        <v>15</v>
      </c>
      <c r="H576" t="s">
        <v>850</v>
      </c>
      <c r="I576" t="s">
        <v>775</v>
      </c>
      <c r="J576" t="s">
        <v>245</v>
      </c>
      <c r="K576">
        <v>800</v>
      </c>
      <c r="L576">
        <v>0</v>
      </c>
      <c r="M576">
        <v>0</v>
      </c>
      <c r="Q576" t="b">
        <f t="shared" si="17"/>
        <v>1</v>
      </c>
    </row>
    <row r="577" spans="1:17">
      <c r="A577">
        <f t="shared" si="16"/>
        <v>151</v>
      </c>
      <c r="B577" t="s">
        <v>771</v>
      </c>
      <c r="C577" t="s">
        <v>1090</v>
      </c>
      <c r="D577" t="s">
        <v>1203</v>
      </c>
      <c r="E577">
        <v>20</v>
      </c>
      <c r="F577" t="s">
        <v>244</v>
      </c>
      <c r="G577" t="s">
        <v>15</v>
      </c>
      <c r="H577" t="s">
        <v>850</v>
      </c>
      <c r="I577" t="s">
        <v>776</v>
      </c>
      <c r="J577" t="s">
        <v>263</v>
      </c>
      <c r="K577">
        <v>1</v>
      </c>
      <c r="L577">
        <v>6</v>
      </c>
      <c r="M577">
        <v>2</v>
      </c>
      <c r="Q577" t="b">
        <f t="shared" si="17"/>
        <v>1</v>
      </c>
    </row>
    <row r="578" spans="1:17">
      <c r="A578">
        <f t="shared" ref="A578:A641" si="18">IF(ROW()=2,1,IF(B578=B577,A577,A577+1))</f>
        <v>151</v>
      </c>
      <c r="B578" t="s">
        <v>771</v>
      </c>
      <c r="C578" t="s">
        <v>1090</v>
      </c>
      <c r="D578" t="s">
        <v>1203</v>
      </c>
      <c r="E578">
        <v>20</v>
      </c>
      <c r="F578" t="s">
        <v>244</v>
      </c>
      <c r="G578" t="s">
        <v>15</v>
      </c>
      <c r="H578" t="s">
        <v>850</v>
      </c>
      <c r="I578" t="s">
        <v>772</v>
      </c>
      <c r="J578" t="s">
        <v>245</v>
      </c>
      <c r="K578">
        <v>800</v>
      </c>
      <c r="L578">
        <v>0</v>
      </c>
      <c r="M578">
        <v>0</v>
      </c>
      <c r="Q578" t="b">
        <f t="shared" ref="Q578:Q641" si="19">ISODD(A578)</f>
        <v>1</v>
      </c>
    </row>
    <row r="579" spans="1:17">
      <c r="A579">
        <f t="shared" si="18"/>
        <v>152</v>
      </c>
      <c r="B579" t="s">
        <v>777</v>
      </c>
      <c r="C579" t="s">
        <v>1091</v>
      </c>
      <c r="D579" t="s">
        <v>1204</v>
      </c>
      <c r="E579">
        <v>30</v>
      </c>
      <c r="F579" t="s">
        <v>779</v>
      </c>
      <c r="G579" t="s">
        <v>15</v>
      </c>
      <c r="H579" t="s">
        <v>850</v>
      </c>
      <c r="I579" t="s">
        <v>780</v>
      </c>
      <c r="J579" t="s">
        <v>824</v>
      </c>
      <c r="K579">
        <v>1000</v>
      </c>
      <c r="L579" t="s">
        <v>278</v>
      </c>
      <c r="M579" t="s">
        <v>278</v>
      </c>
      <c r="Q579" t="b">
        <f t="shared" si="19"/>
        <v>0</v>
      </c>
    </row>
    <row r="580" spans="1:17">
      <c r="A580">
        <f t="shared" si="18"/>
        <v>152</v>
      </c>
      <c r="B580" t="s">
        <v>777</v>
      </c>
      <c r="C580" t="s">
        <v>1091</v>
      </c>
      <c r="D580" t="s">
        <v>1204</v>
      </c>
      <c r="E580">
        <v>30</v>
      </c>
      <c r="F580" t="s">
        <v>779</v>
      </c>
      <c r="G580" t="s">
        <v>15</v>
      </c>
      <c r="H580" t="s">
        <v>850</v>
      </c>
      <c r="I580" t="s">
        <v>781</v>
      </c>
      <c r="J580" t="s">
        <v>245</v>
      </c>
      <c r="K580">
        <v>800</v>
      </c>
      <c r="L580">
        <v>6</v>
      </c>
      <c r="M580">
        <v>4</v>
      </c>
      <c r="Q580" t="b">
        <f t="shared" si="19"/>
        <v>0</v>
      </c>
    </row>
    <row r="581" spans="1:17">
      <c r="A581">
        <f t="shared" si="18"/>
        <v>152</v>
      </c>
      <c r="B581" t="s">
        <v>777</v>
      </c>
      <c r="C581" t="s">
        <v>1091</v>
      </c>
      <c r="D581" t="s">
        <v>1204</v>
      </c>
      <c r="E581">
        <v>30</v>
      </c>
      <c r="F581" t="s">
        <v>779</v>
      </c>
      <c r="G581" t="s">
        <v>15</v>
      </c>
      <c r="H581" t="s">
        <v>850</v>
      </c>
      <c r="I581" t="s">
        <v>782</v>
      </c>
      <c r="J581" t="s">
        <v>263</v>
      </c>
      <c r="K581">
        <v>1</v>
      </c>
      <c r="L581">
        <v>7</v>
      </c>
      <c r="M581">
        <v>4</v>
      </c>
      <c r="Q581" t="b">
        <f t="shared" si="19"/>
        <v>0</v>
      </c>
    </row>
    <row r="582" spans="1:17">
      <c r="A582">
        <f t="shared" si="18"/>
        <v>152</v>
      </c>
      <c r="B582" t="s">
        <v>777</v>
      </c>
      <c r="C582" t="s">
        <v>1091</v>
      </c>
      <c r="D582" t="s">
        <v>1204</v>
      </c>
      <c r="E582">
        <v>30</v>
      </c>
      <c r="F582" t="s">
        <v>779</v>
      </c>
      <c r="G582" t="s">
        <v>15</v>
      </c>
      <c r="H582" t="s">
        <v>850</v>
      </c>
      <c r="I582" t="s">
        <v>783</v>
      </c>
      <c r="J582" t="s">
        <v>245</v>
      </c>
      <c r="K582">
        <v>800</v>
      </c>
      <c r="L582">
        <v>6</v>
      </c>
      <c r="M582">
        <v>4</v>
      </c>
      <c r="Q582" t="b">
        <f t="shared" si="19"/>
        <v>0</v>
      </c>
    </row>
    <row r="583" spans="1:17">
      <c r="A583">
        <f t="shared" si="18"/>
        <v>152</v>
      </c>
      <c r="B583" t="s">
        <v>777</v>
      </c>
      <c r="C583" t="s">
        <v>1091</v>
      </c>
      <c r="D583" t="s">
        <v>1204</v>
      </c>
      <c r="E583">
        <v>30</v>
      </c>
      <c r="F583" t="s">
        <v>779</v>
      </c>
      <c r="G583" t="s">
        <v>15</v>
      </c>
      <c r="H583" t="s">
        <v>850</v>
      </c>
      <c r="I583" t="s">
        <v>783</v>
      </c>
      <c r="J583" t="s">
        <v>263</v>
      </c>
      <c r="K583">
        <v>1</v>
      </c>
      <c r="L583">
        <v>6</v>
      </c>
      <c r="M583">
        <v>4</v>
      </c>
      <c r="Q583" t="b">
        <f t="shared" si="19"/>
        <v>0</v>
      </c>
    </row>
    <row r="584" spans="1:17">
      <c r="A584">
        <f t="shared" si="18"/>
        <v>152</v>
      </c>
      <c r="B584" t="s">
        <v>777</v>
      </c>
      <c r="C584" t="s">
        <v>1091</v>
      </c>
      <c r="D584" t="s">
        <v>1204</v>
      </c>
      <c r="E584">
        <v>30</v>
      </c>
      <c r="F584" t="s">
        <v>779</v>
      </c>
      <c r="G584" t="s">
        <v>15</v>
      </c>
      <c r="H584" t="s">
        <v>850</v>
      </c>
      <c r="I584" t="s">
        <v>784</v>
      </c>
      <c r="J584" t="s">
        <v>263</v>
      </c>
      <c r="K584">
        <v>2</v>
      </c>
      <c r="L584">
        <v>7</v>
      </c>
      <c r="M584">
        <v>4</v>
      </c>
      <c r="Q584" t="b">
        <f t="shared" si="19"/>
        <v>0</v>
      </c>
    </row>
    <row r="585" spans="1:17">
      <c r="A585">
        <f t="shared" si="18"/>
        <v>152</v>
      </c>
      <c r="B585" t="s">
        <v>777</v>
      </c>
      <c r="C585" t="s">
        <v>1091</v>
      </c>
      <c r="D585" t="s">
        <v>1204</v>
      </c>
      <c r="E585">
        <v>30</v>
      </c>
      <c r="F585" t="s">
        <v>779</v>
      </c>
      <c r="G585" t="s">
        <v>15</v>
      </c>
      <c r="H585" t="s">
        <v>850</v>
      </c>
      <c r="I585" t="s">
        <v>778</v>
      </c>
      <c r="J585" t="s">
        <v>245</v>
      </c>
      <c r="K585">
        <v>800</v>
      </c>
      <c r="L585">
        <v>7</v>
      </c>
      <c r="M585">
        <v>3</v>
      </c>
      <c r="Q585" t="b">
        <f t="shared" si="19"/>
        <v>0</v>
      </c>
    </row>
    <row r="586" spans="1:17">
      <c r="A586">
        <f t="shared" si="18"/>
        <v>152</v>
      </c>
      <c r="B586" t="s">
        <v>777</v>
      </c>
      <c r="C586" t="s">
        <v>1091</v>
      </c>
      <c r="D586" t="s">
        <v>1204</v>
      </c>
      <c r="E586">
        <v>30</v>
      </c>
      <c r="F586" t="s">
        <v>779</v>
      </c>
      <c r="G586" t="s">
        <v>15</v>
      </c>
      <c r="H586" t="s">
        <v>850</v>
      </c>
      <c r="I586" t="s">
        <v>778</v>
      </c>
      <c r="J586" t="s">
        <v>263</v>
      </c>
      <c r="K586">
        <v>1</v>
      </c>
      <c r="L586">
        <v>7</v>
      </c>
      <c r="M586">
        <v>3</v>
      </c>
      <c r="Q586" t="b">
        <f t="shared" si="19"/>
        <v>0</v>
      </c>
    </row>
    <row r="587" spans="1:17">
      <c r="A587">
        <f t="shared" si="18"/>
        <v>153</v>
      </c>
      <c r="B587" t="s">
        <v>785</v>
      </c>
      <c r="C587" t="s">
        <v>1092</v>
      </c>
      <c r="D587" t="s">
        <v>1205</v>
      </c>
      <c r="E587">
        <v>34</v>
      </c>
      <c r="F587" t="s">
        <v>14</v>
      </c>
      <c r="G587" t="s">
        <v>30</v>
      </c>
      <c r="H587" t="s">
        <v>850</v>
      </c>
      <c r="I587" t="s">
        <v>787</v>
      </c>
      <c r="J587" t="s">
        <v>256</v>
      </c>
      <c r="K587">
        <v>30</v>
      </c>
      <c r="L587">
        <v>2</v>
      </c>
      <c r="M587">
        <v>1</v>
      </c>
      <c r="Q587" t="b">
        <f t="shared" si="19"/>
        <v>1</v>
      </c>
    </row>
    <row r="588" spans="1:17">
      <c r="A588">
        <f t="shared" si="18"/>
        <v>153</v>
      </c>
      <c r="B588" t="s">
        <v>785</v>
      </c>
      <c r="C588" t="s">
        <v>1092</v>
      </c>
      <c r="D588" t="s">
        <v>1205</v>
      </c>
      <c r="E588">
        <v>34</v>
      </c>
      <c r="F588" t="s">
        <v>14</v>
      </c>
      <c r="G588" t="s">
        <v>30</v>
      </c>
      <c r="H588" t="s">
        <v>850</v>
      </c>
      <c r="I588" t="s">
        <v>788</v>
      </c>
      <c r="J588" t="s">
        <v>256</v>
      </c>
      <c r="K588">
        <v>30</v>
      </c>
      <c r="L588">
        <v>5</v>
      </c>
      <c r="M588">
        <v>5</v>
      </c>
      <c r="Q588" t="b">
        <f t="shared" si="19"/>
        <v>1</v>
      </c>
    </row>
    <row r="589" spans="1:17">
      <c r="A589">
        <f t="shared" si="18"/>
        <v>153</v>
      </c>
      <c r="B589" t="s">
        <v>785</v>
      </c>
      <c r="C589" t="s">
        <v>1092</v>
      </c>
      <c r="D589" t="s">
        <v>1205</v>
      </c>
      <c r="E589">
        <v>34</v>
      </c>
      <c r="F589" t="s">
        <v>14</v>
      </c>
      <c r="G589" t="s">
        <v>30</v>
      </c>
      <c r="H589" t="s">
        <v>850</v>
      </c>
      <c r="I589" t="s">
        <v>789</v>
      </c>
      <c r="J589" t="s">
        <v>263</v>
      </c>
      <c r="K589">
        <v>1</v>
      </c>
      <c r="L589">
        <v>5</v>
      </c>
      <c r="M589">
        <v>1</v>
      </c>
      <c r="Q589" t="b">
        <f t="shared" si="19"/>
        <v>1</v>
      </c>
    </row>
    <row r="590" spans="1:17">
      <c r="A590">
        <f t="shared" si="18"/>
        <v>153</v>
      </c>
      <c r="B590" t="s">
        <v>785</v>
      </c>
      <c r="C590" t="s">
        <v>1092</v>
      </c>
      <c r="D590" t="s">
        <v>1205</v>
      </c>
      <c r="E590">
        <v>34</v>
      </c>
      <c r="F590" t="s">
        <v>14</v>
      </c>
      <c r="G590" t="s">
        <v>30</v>
      </c>
      <c r="H590" t="s">
        <v>850</v>
      </c>
      <c r="I590" t="s">
        <v>790</v>
      </c>
      <c r="J590" t="s">
        <v>263</v>
      </c>
      <c r="K590">
        <v>2</v>
      </c>
      <c r="L590">
        <v>7</v>
      </c>
      <c r="M590">
        <v>4</v>
      </c>
      <c r="Q590" t="b">
        <f t="shared" si="19"/>
        <v>1</v>
      </c>
    </row>
    <row r="591" spans="1:17">
      <c r="A591">
        <f t="shared" si="18"/>
        <v>153</v>
      </c>
      <c r="B591" t="s">
        <v>785</v>
      </c>
      <c r="C591" t="s">
        <v>1092</v>
      </c>
      <c r="D591" t="s">
        <v>1205</v>
      </c>
      <c r="E591">
        <v>34</v>
      </c>
      <c r="F591" t="s">
        <v>14</v>
      </c>
      <c r="G591" t="s">
        <v>30</v>
      </c>
      <c r="H591" t="s">
        <v>850</v>
      </c>
      <c r="I591" t="s">
        <v>791</v>
      </c>
      <c r="J591" t="s">
        <v>256</v>
      </c>
      <c r="K591">
        <v>30</v>
      </c>
      <c r="L591">
        <v>4</v>
      </c>
      <c r="M591">
        <v>0</v>
      </c>
      <c r="Q591" t="b">
        <f t="shared" si="19"/>
        <v>1</v>
      </c>
    </row>
    <row r="592" spans="1:17">
      <c r="A592">
        <f t="shared" si="18"/>
        <v>153</v>
      </c>
      <c r="B592" t="s">
        <v>785</v>
      </c>
      <c r="C592" t="s">
        <v>1092</v>
      </c>
      <c r="D592" t="s">
        <v>1205</v>
      </c>
      <c r="E592">
        <v>34</v>
      </c>
      <c r="F592" t="s">
        <v>14</v>
      </c>
      <c r="G592" t="s">
        <v>30</v>
      </c>
      <c r="H592" t="s">
        <v>850</v>
      </c>
      <c r="I592" t="s">
        <v>792</v>
      </c>
      <c r="J592" t="s">
        <v>263</v>
      </c>
      <c r="K592">
        <v>2</v>
      </c>
      <c r="L592">
        <v>5</v>
      </c>
      <c r="M592">
        <v>4</v>
      </c>
      <c r="Q592" t="b">
        <f t="shared" si="19"/>
        <v>1</v>
      </c>
    </row>
    <row r="593" spans="1:17">
      <c r="A593">
        <f t="shared" si="18"/>
        <v>153</v>
      </c>
      <c r="B593" t="s">
        <v>785</v>
      </c>
      <c r="C593" t="s">
        <v>1092</v>
      </c>
      <c r="D593" t="s">
        <v>1205</v>
      </c>
      <c r="E593">
        <v>34</v>
      </c>
      <c r="F593" t="s">
        <v>14</v>
      </c>
      <c r="G593" t="s">
        <v>30</v>
      </c>
      <c r="H593" t="s">
        <v>850</v>
      </c>
      <c r="I593" t="s">
        <v>793</v>
      </c>
      <c r="J593" t="s">
        <v>256</v>
      </c>
      <c r="K593">
        <v>30</v>
      </c>
      <c r="L593">
        <v>5</v>
      </c>
      <c r="M593">
        <v>5</v>
      </c>
      <c r="Q593" t="b">
        <f t="shared" si="19"/>
        <v>1</v>
      </c>
    </row>
    <row r="594" spans="1:17">
      <c r="A594">
        <f t="shared" si="18"/>
        <v>153</v>
      </c>
      <c r="B594" t="s">
        <v>785</v>
      </c>
      <c r="C594" t="s">
        <v>1092</v>
      </c>
      <c r="D594" t="s">
        <v>1205</v>
      </c>
      <c r="E594">
        <v>34</v>
      </c>
      <c r="F594" t="s">
        <v>14</v>
      </c>
      <c r="G594" t="s">
        <v>30</v>
      </c>
      <c r="H594" t="s">
        <v>850</v>
      </c>
      <c r="I594" t="s">
        <v>786</v>
      </c>
      <c r="J594" t="s">
        <v>263</v>
      </c>
      <c r="K594">
        <v>2</v>
      </c>
      <c r="L594">
        <v>5</v>
      </c>
      <c r="M594">
        <v>3</v>
      </c>
      <c r="Q594" t="b">
        <f t="shared" si="19"/>
        <v>1</v>
      </c>
    </row>
    <row r="595" spans="1:17">
      <c r="A595">
        <f t="shared" si="18"/>
        <v>154</v>
      </c>
      <c r="B595" t="s">
        <v>794</v>
      </c>
      <c r="C595" t="s">
        <v>1093</v>
      </c>
      <c r="D595" t="s">
        <v>1206</v>
      </c>
      <c r="E595">
        <v>29</v>
      </c>
      <c r="F595" t="s">
        <v>14</v>
      </c>
      <c r="G595" t="s">
        <v>15</v>
      </c>
      <c r="H595" t="s">
        <v>850</v>
      </c>
      <c r="I595" t="s">
        <v>796</v>
      </c>
      <c r="J595" t="s">
        <v>245</v>
      </c>
      <c r="K595">
        <v>800</v>
      </c>
      <c r="L595">
        <v>3</v>
      </c>
      <c r="M595">
        <v>3</v>
      </c>
      <c r="Q595" t="b">
        <f t="shared" si="19"/>
        <v>0</v>
      </c>
    </row>
    <row r="596" spans="1:17">
      <c r="A596">
        <f t="shared" si="18"/>
        <v>154</v>
      </c>
      <c r="B596" t="s">
        <v>794</v>
      </c>
      <c r="C596" t="s">
        <v>1093</v>
      </c>
      <c r="D596" t="s">
        <v>1206</v>
      </c>
      <c r="E596">
        <v>29</v>
      </c>
      <c r="F596" t="s">
        <v>14</v>
      </c>
      <c r="G596" t="s">
        <v>15</v>
      </c>
      <c r="H596" t="s">
        <v>850</v>
      </c>
      <c r="I596" t="s">
        <v>795</v>
      </c>
      <c r="J596" t="s">
        <v>245</v>
      </c>
      <c r="K596">
        <v>800</v>
      </c>
      <c r="L596">
        <v>4</v>
      </c>
      <c r="M596">
        <v>1</v>
      </c>
      <c r="Q596" t="b">
        <f t="shared" si="19"/>
        <v>0</v>
      </c>
    </row>
    <row r="597" spans="1:17">
      <c r="A597">
        <f t="shared" si="18"/>
        <v>155</v>
      </c>
      <c r="B597" t="s">
        <v>797</v>
      </c>
      <c r="C597" t="s">
        <v>1094</v>
      </c>
      <c r="D597" t="s">
        <v>1207</v>
      </c>
      <c r="E597">
        <v>27</v>
      </c>
      <c r="F597" t="s">
        <v>14</v>
      </c>
      <c r="G597" t="s">
        <v>15</v>
      </c>
      <c r="H597" t="s">
        <v>850</v>
      </c>
      <c r="I597" t="s">
        <v>799</v>
      </c>
      <c r="J597" t="s">
        <v>245</v>
      </c>
      <c r="K597">
        <v>800</v>
      </c>
      <c r="L597">
        <v>0</v>
      </c>
      <c r="M597">
        <v>0</v>
      </c>
      <c r="Q597" t="b">
        <f t="shared" si="19"/>
        <v>1</v>
      </c>
    </row>
    <row r="598" spans="1:17">
      <c r="A598">
        <f t="shared" si="18"/>
        <v>155</v>
      </c>
      <c r="B598" t="s">
        <v>797</v>
      </c>
      <c r="C598" t="s">
        <v>1094</v>
      </c>
      <c r="D598" t="s">
        <v>1207</v>
      </c>
      <c r="E598">
        <v>27</v>
      </c>
      <c r="F598" t="s">
        <v>14</v>
      </c>
      <c r="G598" t="s">
        <v>15</v>
      </c>
      <c r="H598" t="s">
        <v>850</v>
      </c>
      <c r="I598" t="s">
        <v>798</v>
      </c>
      <c r="J598" t="s">
        <v>245</v>
      </c>
      <c r="K598">
        <v>800</v>
      </c>
      <c r="L598">
        <v>7</v>
      </c>
      <c r="M598">
        <v>0</v>
      </c>
      <c r="Q598" t="b">
        <f t="shared" si="19"/>
        <v>1</v>
      </c>
    </row>
    <row r="599" spans="1:17">
      <c r="A599">
        <f t="shared" si="18"/>
        <v>156</v>
      </c>
      <c r="B599" t="s">
        <v>800</v>
      </c>
      <c r="C599" t="s">
        <v>1095</v>
      </c>
      <c r="D599" t="s">
        <v>1208</v>
      </c>
      <c r="E599">
        <v>31</v>
      </c>
      <c r="F599" t="s">
        <v>14</v>
      </c>
      <c r="G599" t="s">
        <v>30</v>
      </c>
      <c r="H599" t="s">
        <v>850</v>
      </c>
      <c r="I599" t="s">
        <v>801</v>
      </c>
      <c r="J599" t="s">
        <v>256</v>
      </c>
      <c r="K599">
        <v>30</v>
      </c>
      <c r="L599">
        <v>2</v>
      </c>
      <c r="M599">
        <v>0</v>
      </c>
      <c r="Q599" t="b">
        <f t="shared" si="19"/>
        <v>0</v>
      </c>
    </row>
    <row r="600" spans="1:17">
      <c r="A600">
        <f t="shared" si="18"/>
        <v>156</v>
      </c>
      <c r="B600" t="s">
        <v>800</v>
      </c>
      <c r="C600" t="s">
        <v>1095</v>
      </c>
      <c r="D600" t="s">
        <v>1208</v>
      </c>
      <c r="E600">
        <v>31</v>
      </c>
      <c r="F600" t="s">
        <v>14</v>
      </c>
      <c r="G600" t="s">
        <v>30</v>
      </c>
      <c r="H600" t="s">
        <v>850</v>
      </c>
      <c r="I600" t="s">
        <v>802</v>
      </c>
      <c r="J600" t="s">
        <v>256</v>
      </c>
      <c r="K600">
        <v>30</v>
      </c>
      <c r="L600">
        <v>1</v>
      </c>
      <c r="M600">
        <v>0</v>
      </c>
      <c r="Q600" t="b">
        <f t="shared" si="19"/>
        <v>0</v>
      </c>
    </row>
    <row r="601" spans="1:17">
      <c r="A601">
        <f t="shared" si="18"/>
        <v>156</v>
      </c>
      <c r="B601" t="s">
        <v>800</v>
      </c>
      <c r="C601" t="s">
        <v>1095</v>
      </c>
      <c r="D601" t="s">
        <v>1208</v>
      </c>
      <c r="E601">
        <v>31</v>
      </c>
      <c r="F601" t="s">
        <v>14</v>
      </c>
      <c r="G601" t="s">
        <v>30</v>
      </c>
      <c r="H601" t="s">
        <v>850</v>
      </c>
      <c r="I601" t="s">
        <v>803</v>
      </c>
      <c r="J601" t="s">
        <v>256</v>
      </c>
      <c r="K601">
        <v>30</v>
      </c>
      <c r="L601">
        <v>1</v>
      </c>
      <c r="M601">
        <v>0</v>
      </c>
      <c r="Q601" t="b">
        <f t="shared" si="19"/>
        <v>0</v>
      </c>
    </row>
    <row r="602" spans="1:17">
      <c r="A602">
        <f t="shared" si="18"/>
        <v>156</v>
      </c>
      <c r="B602" t="s">
        <v>800</v>
      </c>
      <c r="C602" t="s">
        <v>1095</v>
      </c>
      <c r="D602" t="s">
        <v>1208</v>
      </c>
      <c r="E602">
        <v>31</v>
      </c>
      <c r="F602" t="s">
        <v>14</v>
      </c>
      <c r="G602" t="s">
        <v>30</v>
      </c>
      <c r="H602" t="s">
        <v>850</v>
      </c>
      <c r="I602" t="s">
        <v>804</v>
      </c>
      <c r="J602" t="s">
        <v>256</v>
      </c>
      <c r="K602">
        <v>30</v>
      </c>
      <c r="L602">
        <v>2</v>
      </c>
      <c r="M602">
        <v>2</v>
      </c>
      <c r="Q602" t="b">
        <f t="shared" si="19"/>
        <v>0</v>
      </c>
    </row>
    <row r="603" spans="1:17">
      <c r="A603">
        <f t="shared" si="18"/>
        <v>157</v>
      </c>
      <c r="B603" t="s">
        <v>805</v>
      </c>
      <c r="C603" t="s">
        <v>1096</v>
      </c>
      <c r="D603" t="s">
        <v>1209</v>
      </c>
      <c r="E603">
        <v>43</v>
      </c>
      <c r="F603" t="s">
        <v>14</v>
      </c>
      <c r="G603" t="s">
        <v>30</v>
      </c>
      <c r="H603" t="s">
        <v>850</v>
      </c>
      <c r="I603" t="s">
        <v>807</v>
      </c>
      <c r="J603" t="s">
        <v>256</v>
      </c>
      <c r="K603">
        <v>30</v>
      </c>
      <c r="L603">
        <v>0</v>
      </c>
      <c r="M603">
        <v>0</v>
      </c>
      <c r="Q603" t="b">
        <f t="shared" si="19"/>
        <v>1</v>
      </c>
    </row>
    <row r="604" spans="1:17">
      <c r="A604">
        <f t="shared" si="18"/>
        <v>157</v>
      </c>
      <c r="B604" t="s">
        <v>805</v>
      </c>
      <c r="C604" t="s">
        <v>1096</v>
      </c>
      <c r="D604" t="s">
        <v>1209</v>
      </c>
      <c r="E604">
        <v>43</v>
      </c>
      <c r="F604" t="s">
        <v>14</v>
      </c>
      <c r="G604" t="s">
        <v>30</v>
      </c>
      <c r="H604" t="s">
        <v>850</v>
      </c>
      <c r="I604" t="s">
        <v>806</v>
      </c>
      <c r="J604" t="s">
        <v>256</v>
      </c>
      <c r="K604">
        <v>30</v>
      </c>
      <c r="L604">
        <v>4</v>
      </c>
      <c r="M604">
        <v>1</v>
      </c>
      <c r="Q604" t="b">
        <f t="shared" si="19"/>
        <v>1</v>
      </c>
    </row>
    <row r="605" spans="1:17">
      <c r="A605">
        <f t="shared" si="18"/>
        <v>158</v>
      </c>
      <c r="B605" t="s">
        <v>815</v>
      </c>
      <c r="C605" t="s">
        <v>1097</v>
      </c>
      <c r="D605" t="s">
        <v>1210</v>
      </c>
      <c r="E605">
        <v>23</v>
      </c>
      <c r="F605" t="s">
        <v>244</v>
      </c>
      <c r="G605" t="s">
        <v>15</v>
      </c>
      <c r="H605" t="s">
        <v>850</v>
      </c>
      <c r="I605" t="s">
        <v>809</v>
      </c>
      <c r="J605" t="s">
        <v>268</v>
      </c>
      <c r="K605">
        <v>650</v>
      </c>
      <c r="L605">
        <v>4</v>
      </c>
      <c r="M605">
        <v>2</v>
      </c>
      <c r="Q605" t="b">
        <f t="shared" si="19"/>
        <v>0</v>
      </c>
    </row>
    <row r="606" spans="1:17">
      <c r="A606">
        <f t="shared" si="18"/>
        <v>158</v>
      </c>
      <c r="B606" t="s">
        <v>815</v>
      </c>
      <c r="C606" t="s">
        <v>1097</v>
      </c>
      <c r="D606" t="s">
        <v>1210</v>
      </c>
      <c r="E606">
        <v>23</v>
      </c>
      <c r="F606" t="s">
        <v>244</v>
      </c>
      <c r="G606" t="s">
        <v>15</v>
      </c>
      <c r="H606" t="s">
        <v>850</v>
      </c>
      <c r="I606" t="s">
        <v>810</v>
      </c>
      <c r="J606" t="s">
        <v>268</v>
      </c>
      <c r="K606">
        <v>650</v>
      </c>
      <c r="L606">
        <v>4</v>
      </c>
      <c r="M606">
        <v>0</v>
      </c>
      <c r="Q606" t="b">
        <f t="shared" si="19"/>
        <v>0</v>
      </c>
    </row>
    <row r="607" spans="1:17">
      <c r="A607">
        <f t="shared" si="18"/>
        <v>158</v>
      </c>
      <c r="B607" t="s">
        <v>815</v>
      </c>
      <c r="C607" t="s">
        <v>1097</v>
      </c>
      <c r="D607" t="s">
        <v>1210</v>
      </c>
      <c r="E607">
        <v>23</v>
      </c>
      <c r="F607" t="s">
        <v>244</v>
      </c>
      <c r="G607" t="s">
        <v>15</v>
      </c>
      <c r="H607" t="s">
        <v>850</v>
      </c>
      <c r="I607" t="s">
        <v>808</v>
      </c>
      <c r="J607" t="s">
        <v>268</v>
      </c>
      <c r="K607">
        <v>650</v>
      </c>
      <c r="L607" t="s">
        <v>278</v>
      </c>
      <c r="M607" t="s">
        <v>278</v>
      </c>
      <c r="Q607" t="b">
        <f t="shared" si="19"/>
        <v>0</v>
      </c>
    </row>
    <row r="608" spans="1:17">
      <c r="A608">
        <f t="shared" si="18"/>
        <v>159</v>
      </c>
      <c r="B608" t="s">
        <v>816</v>
      </c>
      <c r="C608" t="s">
        <v>1098</v>
      </c>
      <c r="D608" t="s">
        <v>1211</v>
      </c>
      <c r="E608">
        <v>28</v>
      </c>
      <c r="F608" t="s">
        <v>244</v>
      </c>
      <c r="G608" t="s">
        <v>15</v>
      </c>
      <c r="H608" t="s">
        <v>850</v>
      </c>
      <c r="I608" t="s">
        <v>812</v>
      </c>
      <c r="J608" t="s">
        <v>263</v>
      </c>
      <c r="K608">
        <v>1</v>
      </c>
      <c r="L608">
        <v>4</v>
      </c>
      <c r="M608">
        <v>3</v>
      </c>
      <c r="Q608" t="b">
        <f t="shared" si="19"/>
        <v>1</v>
      </c>
    </row>
    <row r="609" spans="1:17">
      <c r="A609">
        <f t="shared" si="18"/>
        <v>159</v>
      </c>
      <c r="B609" t="s">
        <v>816</v>
      </c>
      <c r="C609" t="s">
        <v>1098</v>
      </c>
      <c r="D609" t="s">
        <v>1211</v>
      </c>
      <c r="E609">
        <v>28</v>
      </c>
      <c r="F609" t="s">
        <v>244</v>
      </c>
      <c r="G609" t="s">
        <v>15</v>
      </c>
      <c r="H609" t="s">
        <v>850</v>
      </c>
      <c r="I609" t="s">
        <v>813</v>
      </c>
      <c r="J609" t="s">
        <v>245</v>
      </c>
      <c r="K609">
        <v>800</v>
      </c>
      <c r="L609">
        <v>3</v>
      </c>
      <c r="M609">
        <v>4</v>
      </c>
      <c r="Q609" t="b">
        <f t="shared" si="19"/>
        <v>1</v>
      </c>
    </row>
    <row r="610" spans="1:17">
      <c r="A610">
        <f t="shared" si="18"/>
        <v>159</v>
      </c>
      <c r="B610" t="s">
        <v>816</v>
      </c>
      <c r="C610" t="s">
        <v>1098</v>
      </c>
      <c r="D610" t="s">
        <v>1211</v>
      </c>
      <c r="E610">
        <v>28</v>
      </c>
      <c r="F610" t="s">
        <v>244</v>
      </c>
      <c r="G610" t="s">
        <v>15</v>
      </c>
      <c r="H610" t="s">
        <v>850</v>
      </c>
      <c r="I610" t="s">
        <v>814</v>
      </c>
      <c r="J610" t="s">
        <v>245</v>
      </c>
      <c r="K610">
        <v>800</v>
      </c>
      <c r="L610">
        <v>3</v>
      </c>
      <c r="M610">
        <v>1</v>
      </c>
      <c r="Q610" t="b">
        <f t="shared" si="19"/>
        <v>1</v>
      </c>
    </row>
    <row r="611" spans="1:17">
      <c r="A611">
        <f t="shared" si="18"/>
        <v>159</v>
      </c>
      <c r="B611" t="s">
        <v>816</v>
      </c>
      <c r="C611" t="s">
        <v>1098</v>
      </c>
      <c r="D611" t="s">
        <v>1211</v>
      </c>
      <c r="E611">
        <v>28</v>
      </c>
      <c r="F611" t="s">
        <v>244</v>
      </c>
      <c r="G611" t="s">
        <v>15</v>
      </c>
      <c r="H611" t="s">
        <v>850</v>
      </c>
      <c r="I611" t="s">
        <v>811</v>
      </c>
      <c r="J611" t="s">
        <v>263</v>
      </c>
      <c r="K611">
        <v>1</v>
      </c>
      <c r="L611">
        <v>8</v>
      </c>
      <c r="M611">
        <v>0</v>
      </c>
      <c r="Q611" t="b">
        <f t="shared" si="19"/>
        <v>1</v>
      </c>
    </row>
    <row r="612" spans="1:17">
      <c r="A612">
        <f t="shared" si="18"/>
        <v>160</v>
      </c>
      <c r="B612" t="s">
        <v>817</v>
      </c>
      <c r="C612" t="s">
        <v>1099</v>
      </c>
      <c r="D612" t="s">
        <v>1212</v>
      </c>
      <c r="E612">
        <v>24</v>
      </c>
      <c r="F612" t="s">
        <v>14</v>
      </c>
      <c r="G612" t="s">
        <v>15</v>
      </c>
      <c r="H612" t="s">
        <v>850</v>
      </c>
      <c r="I612" t="s">
        <v>819</v>
      </c>
      <c r="J612" t="s">
        <v>245</v>
      </c>
      <c r="K612">
        <v>800</v>
      </c>
      <c r="L612">
        <v>4</v>
      </c>
      <c r="M612">
        <v>1</v>
      </c>
      <c r="Q612" t="b">
        <f t="shared" si="19"/>
        <v>0</v>
      </c>
    </row>
    <row r="613" spans="1:17">
      <c r="A613">
        <f t="shared" si="18"/>
        <v>160</v>
      </c>
      <c r="B613" t="s">
        <v>817</v>
      </c>
      <c r="C613" t="s">
        <v>1099</v>
      </c>
      <c r="D613" t="s">
        <v>1212</v>
      </c>
      <c r="E613">
        <v>24</v>
      </c>
      <c r="F613" t="s">
        <v>14</v>
      </c>
      <c r="G613" t="s">
        <v>15</v>
      </c>
      <c r="H613" t="s">
        <v>850</v>
      </c>
      <c r="I613" t="s">
        <v>820</v>
      </c>
      <c r="J613" t="s">
        <v>245</v>
      </c>
      <c r="K613">
        <v>800</v>
      </c>
      <c r="L613">
        <v>3</v>
      </c>
      <c r="M613">
        <v>0</v>
      </c>
      <c r="Q613" t="b">
        <f t="shared" si="19"/>
        <v>0</v>
      </c>
    </row>
    <row r="614" spans="1:17">
      <c r="A614">
        <f t="shared" si="18"/>
        <v>160</v>
      </c>
      <c r="B614" t="s">
        <v>817</v>
      </c>
      <c r="C614" t="s">
        <v>1099</v>
      </c>
      <c r="D614" t="s">
        <v>1212</v>
      </c>
      <c r="E614">
        <v>24</v>
      </c>
      <c r="F614" t="s">
        <v>14</v>
      </c>
      <c r="G614" t="s">
        <v>15</v>
      </c>
      <c r="H614" t="s">
        <v>850</v>
      </c>
      <c r="I614" t="s">
        <v>818</v>
      </c>
      <c r="J614" t="s">
        <v>245</v>
      </c>
      <c r="K614">
        <v>800</v>
      </c>
      <c r="L614">
        <v>4</v>
      </c>
      <c r="M614">
        <v>3</v>
      </c>
      <c r="Q614" t="b">
        <f t="shared" si="19"/>
        <v>0</v>
      </c>
    </row>
    <row r="615" spans="1:17">
      <c r="A615">
        <f t="shared" si="18"/>
        <v>161</v>
      </c>
      <c r="B615" t="s">
        <v>831</v>
      </c>
      <c r="C615" t="s">
        <v>1100</v>
      </c>
      <c r="D615" t="s">
        <v>1213</v>
      </c>
      <c r="E615">
        <v>34</v>
      </c>
      <c r="F615" t="s">
        <v>14</v>
      </c>
      <c r="G615" t="s">
        <v>30</v>
      </c>
      <c r="H615" t="s">
        <v>851</v>
      </c>
      <c r="I615" t="s">
        <v>833</v>
      </c>
      <c r="J615" t="s">
        <v>256</v>
      </c>
      <c r="K615">
        <v>30</v>
      </c>
      <c r="L615">
        <v>6</v>
      </c>
      <c r="M615">
        <v>3</v>
      </c>
      <c r="Q615" t="b">
        <f t="shared" si="19"/>
        <v>1</v>
      </c>
    </row>
    <row r="616" spans="1:17">
      <c r="A616">
        <f t="shared" si="18"/>
        <v>161</v>
      </c>
      <c r="B616" t="s">
        <v>831</v>
      </c>
      <c r="C616" t="s">
        <v>1100</v>
      </c>
      <c r="D616" t="s">
        <v>1213</v>
      </c>
      <c r="E616">
        <v>34</v>
      </c>
      <c r="F616" t="s">
        <v>14</v>
      </c>
      <c r="G616" t="s">
        <v>30</v>
      </c>
      <c r="H616" t="s">
        <v>851</v>
      </c>
      <c r="I616" t="s">
        <v>834</v>
      </c>
      <c r="J616" t="s">
        <v>268</v>
      </c>
      <c r="K616">
        <v>650</v>
      </c>
      <c r="L616">
        <v>5</v>
      </c>
      <c r="M616">
        <v>4</v>
      </c>
      <c r="Q616" t="b">
        <f t="shared" si="19"/>
        <v>1</v>
      </c>
    </row>
    <row r="617" spans="1:17">
      <c r="A617">
        <f t="shared" si="18"/>
        <v>161</v>
      </c>
      <c r="B617" t="s">
        <v>831</v>
      </c>
      <c r="C617" t="s">
        <v>1100</v>
      </c>
      <c r="D617" t="s">
        <v>1213</v>
      </c>
      <c r="E617">
        <v>34</v>
      </c>
      <c r="F617" t="s">
        <v>14</v>
      </c>
      <c r="G617" t="s">
        <v>30</v>
      </c>
      <c r="H617" t="s">
        <v>851</v>
      </c>
      <c r="I617" t="s">
        <v>835</v>
      </c>
      <c r="J617" t="s">
        <v>256</v>
      </c>
      <c r="K617">
        <v>30</v>
      </c>
      <c r="L617">
        <v>5</v>
      </c>
      <c r="M617">
        <v>4</v>
      </c>
      <c r="Q617" t="b">
        <f t="shared" si="19"/>
        <v>1</v>
      </c>
    </row>
    <row r="618" spans="1:17">
      <c r="A618">
        <f t="shared" si="18"/>
        <v>161</v>
      </c>
      <c r="B618" t="s">
        <v>831</v>
      </c>
      <c r="C618" t="s">
        <v>1100</v>
      </c>
      <c r="D618" t="s">
        <v>1213</v>
      </c>
      <c r="E618">
        <v>34</v>
      </c>
      <c r="F618" t="s">
        <v>14</v>
      </c>
      <c r="G618" t="s">
        <v>30</v>
      </c>
      <c r="H618" t="s">
        <v>851</v>
      </c>
      <c r="I618" t="s">
        <v>835</v>
      </c>
      <c r="J618" t="s">
        <v>263</v>
      </c>
      <c r="K618">
        <v>1</v>
      </c>
      <c r="L618">
        <v>5</v>
      </c>
      <c r="M618">
        <v>4</v>
      </c>
      <c r="Q618" t="b">
        <f t="shared" si="19"/>
        <v>1</v>
      </c>
    </row>
    <row r="619" spans="1:17">
      <c r="A619">
        <f t="shared" si="18"/>
        <v>161</v>
      </c>
      <c r="B619" t="s">
        <v>831</v>
      </c>
      <c r="C619" t="s">
        <v>1100</v>
      </c>
      <c r="D619" t="s">
        <v>1213</v>
      </c>
      <c r="E619">
        <v>34</v>
      </c>
      <c r="F619" t="s">
        <v>14</v>
      </c>
      <c r="G619" t="s">
        <v>30</v>
      </c>
      <c r="H619" t="s">
        <v>851</v>
      </c>
      <c r="I619" t="s">
        <v>836</v>
      </c>
      <c r="J619" t="s">
        <v>268</v>
      </c>
      <c r="K619">
        <v>650</v>
      </c>
      <c r="L619">
        <v>4</v>
      </c>
      <c r="M619">
        <v>4</v>
      </c>
      <c r="Q619" t="b">
        <f t="shared" si="19"/>
        <v>1</v>
      </c>
    </row>
    <row r="620" spans="1:17">
      <c r="A620">
        <f t="shared" si="18"/>
        <v>161</v>
      </c>
      <c r="B620" t="s">
        <v>831</v>
      </c>
      <c r="C620" t="s">
        <v>1100</v>
      </c>
      <c r="D620" t="s">
        <v>1213</v>
      </c>
      <c r="E620">
        <v>34</v>
      </c>
      <c r="F620" t="s">
        <v>14</v>
      </c>
      <c r="G620" t="s">
        <v>30</v>
      </c>
      <c r="H620" t="s">
        <v>851</v>
      </c>
      <c r="I620" t="s">
        <v>837</v>
      </c>
      <c r="J620" t="s">
        <v>256</v>
      </c>
      <c r="K620">
        <v>30</v>
      </c>
      <c r="L620">
        <v>4</v>
      </c>
      <c r="M620">
        <v>0</v>
      </c>
      <c r="Q620" t="b">
        <f t="shared" si="19"/>
        <v>1</v>
      </c>
    </row>
    <row r="621" spans="1:17">
      <c r="A621">
        <f t="shared" si="18"/>
        <v>161</v>
      </c>
      <c r="B621" t="s">
        <v>831</v>
      </c>
      <c r="C621" t="s">
        <v>1100</v>
      </c>
      <c r="D621" t="s">
        <v>1213</v>
      </c>
      <c r="E621">
        <v>34</v>
      </c>
      <c r="F621" t="s">
        <v>14</v>
      </c>
      <c r="G621" t="s">
        <v>30</v>
      </c>
      <c r="H621" t="s">
        <v>851</v>
      </c>
      <c r="I621" t="s">
        <v>838</v>
      </c>
      <c r="J621" t="s">
        <v>268</v>
      </c>
      <c r="K621">
        <v>30</v>
      </c>
      <c r="L621" t="s">
        <v>278</v>
      </c>
      <c r="M621" t="s">
        <v>278</v>
      </c>
      <c r="Q621" t="b">
        <f t="shared" si="19"/>
        <v>1</v>
      </c>
    </row>
    <row r="622" spans="1:17">
      <c r="A622">
        <f t="shared" si="18"/>
        <v>161</v>
      </c>
      <c r="B622" t="s">
        <v>831</v>
      </c>
      <c r="C622" t="s">
        <v>1100</v>
      </c>
      <c r="D622" t="s">
        <v>1213</v>
      </c>
      <c r="E622">
        <v>34</v>
      </c>
      <c r="F622" t="s">
        <v>14</v>
      </c>
      <c r="G622" t="s">
        <v>30</v>
      </c>
      <c r="H622" t="s">
        <v>851</v>
      </c>
      <c r="I622" t="s">
        <v>839</v>
      </c>
      <c r="J622" t="s">
        <v>256</v>
      </c>
      <c r="K622">
        <v>30</v>
      </c>
      <c r="L622">
        <v>4</v>
      </c>
      <c r="M622">
        <v>0</v>
      </c>
      <c r="Q622" t="b">
        <f t="shared" si="19"/>
        <v>1</v>
      </c>
    </row>
    <row r="623" spans="1:17">
      <c r="A623">
        <f t="shared" si="18"/>
        <v>161</v>
      </c>
      <c r="B623" t="s">
        <v>831</v>
      </c>
      <c r="C623" t="s">
        <v>1100</v>
      </c>
      <c r="D623" t="s">
        <v>1213</v>
      </c>
      <c r="E623">
        <v>34</v>
      </c>
      <c r="F623" t="s">
        <v>14</v>
      </c>
      <c r="G623" t="s">
        <v>30</v>
      </c>
      <c r="H623" t="s">
        <v>851</v>
      </c>
      <c r="I623" t="s">
        <v>840</v>
      </c>
      <c r="J623" t="s">
        <v>263</v>
      </c>
      <c r="K623">
        <v>1</v>
      </c>
      <c r="L623">
        <v>6</v>
      </c>
      <c r="M623">
        <v>6</v>
      </c>
      <c r="Q623" t="b">
        <f t="shared" si="19"/>
        <v>1</v>
      </c>
    </row>
    <row r="624" spans="1:17">
      <c r="A624">
        <f t="shared" si="18"/>
        <v>161</v>
      </c>
      <c r="B624" t="s">
        <v>831</v>
      </c>
      <c r="C624" t="s">
        <v>1100</v>
      </c>
      <c r="D624" t="s">
        <v>1213</v>
      </c>
      <c r="E624">
        <v>34</v>
      </c>
      <c r="F624" t="s">
        <v>14</v>
      </c>
      <c r="G624" t="s">
        <v>30</v>
      </c>
      <c r="H624" t="s">
        <v>851</v>
      </c>
      <c r="I624" t="s">
        <v>841</v>
      </c>
      <c r="J624" t="s">
        <v>263</v>
      </c>
      <c r="K624">
        <v>1</v>
      </c>
      <c r="L624">
        <v>6</v>
      </c>
      <c r="M624">
        <v>0</v>
      </c>
      <c r="Q624" t="b">
        <f t="shared" si="19"/>
        <v>1</v>
      </c>
    </row>
    <row r="625" spans="1:17">
      <c r="A625">
        <f t="shared" si="18"/>
        <v>161</v>
      </c>
      <c r="B625" t="s">
        <v>831</v>
      </c>
      <c r="C625" t="s">
        <v>1100</v>
      </c>
      <c r="D625" t="s">
        <v>1213</v>
      </c>
      <c r="E625">
        <v>34</v>
      </c>
      <c r="F625" t="s">
        <v>14</v>
      </c>
      <c r="G625" t="s">
        <v>30</v>
      </c>
      <c r="H625" t="s">
        <v>851</v>
      </c>
      <c r="I625" t="s">
        <v>842</v>
      </c>
      <c r="J625" t="s">
        <v>256</v>
      </c>
      <c r="K625">
        <v>30</v>
      </c>
      <c r="L625">
        <v>5</v>
      </c>
      <c r="M625">
        <v>0</v>
      </c>
      <c r="Q625" t="b">
        <f t="shared" si="19"/>
        <v>1</v>
      </c>
    </row>
    <row r="626" spans="1:17">
      <c r="A626">
        <f t="shared" si="18"/>
        <v>161</v>
      </c>
      <c r="B626" t="s">
        <v>831</v>
      </c>
      <c r="C626" t="s">
        <v>1100</v>
      </c>
      <c r="D626" t="s">
        <v>1213</v>
      </c>
      <c r="E626">
        <v>34</v>
      </c>
      <c r="F626" t="s">
        <v>14</v>
      </c>
      <c r="G626" t="s">
        <v>30</v>
      </c>
      <c r="H626" t="s">
        <v>851</v>
      </c>
      <c r="I626" t="s">
        <v>843</v>
      </c>
      <c r="J626" t="s">
        <v>263</v>
      </c>
      <c r="K626">
        <v>2</v>
      </c>
      <c r="L626">
        <v>5</v>
      </c>
      <c r="M626">
        <v>2</v>
      </c>
      <c r="Q626" t="b">
        <f t="shared" si="19"/>
        <v>1</v>
      </c>
    </row>
    <row r="627" spans="1:17">
      <c r="A627">
        <f t="shared" si="18"/>
        <v>161</v>
      </c>
      <c r="B627" t="s">
        <v>831</v>
      </c>
      <c r="C627" t="s">
        <v>1100</v>
      </c>
      <c r="D627" t="s">
        <v>1213</v>
      </c>
      <c r="E627">
        <v>34</v>
      </c>
      <c r="F627" t="s">
        <v>14</v>
      </c>
      <c r="G627" t="s">
        <v>30</v>
      </c>
      <c r="H627" t="s">
        <v>851</v>
      </c>
      <c r="I627" t="s">
        <v>844</v>
      </c>
      <c r="J627" t="s">
        <v>256</v>
      </c>
      <c r="K627">
        <v>30</v>
      </c>
      <c r="L627">
        <v>5</v>
      </c>
      <c r="M627">
        <v>1</v>
      </c>
      <c r="Q627" t="b">
        <f t="shared" si="19"/>
        <v>1</v>
      </c>
    </row>
    <row r="628" spans="1:17">
      <c r="A628">
        <f t="shared" si="18"/>
        <v>161</v>
      </c>
      <c r="B628" t="s">
        <v>831</v>
      </c>
      <c r="C628" t="s">
        <v>1100</v>
      </c>
      <c r="D628" t="s">
        <v>1213</v>
      </c>
      <c r="E628">
        <v>34</v>
      </c>
      <c r="F628" t="s">
        <v>14</v>
      </c>
      <c r="G628" t="s">
        <v>30</v>
      </c>
      <c r="H628" t="s">
        <v>851</v>
      </c>
      <c r="I628" t="s">
        <v>844</v>
      </c>
      <c r="J628" t="s">
        <v>263</v>
      </c>
      <c r="K628">
        <v>2</v>
      </c>
      <c r="L628">
        <v>5</v>
      </c>
      <c r="M628">
        <v>1</v>
      </c>
      <c r="Q628" t="b">
        <f t="shared" si="19"/>
        <v>1</v>
      </c>
    </row>
    <row r="629" spans="1:17">
      <c r="A629">
        <f t="shared" si="18"/>
        <v>161</v>
      </c>
      <c r="B629" t="s">
        <v>831</v>
      </c>
      <c r="C629" t="s">
        <v>1100</v>
      </c>
      <c r="D629" t="s">
        <v>1213</v>
      </c>
      <c r="E629">
        <v>34</v>
      </c>
      <c r="F629" t="s">
        <v>14</v>
      </c>
      <c r="G629" t="s">
        <v>30</v>
      </c>
      <c r="H629" t="s">
        <v>851</v>
      </c>
      <c r="I629" t="s">
        <v>845</v>
      </c>
      <c r="J629" t="s">
        <v>256</v>
      </c>
      <c r="K629">
        <v>30</v>
      </c>
      <c r="L629">
        <v>5</v>
      </c>
      <c r="M629">
        <v>3</v>
      </c>
      <c r="Q629" t="b">
        <f t="shared" si="19"/>
        <v>1</v>
      </c>
    </row>
    <row r="630" spans="1:17">
      <c r="A630">
        <f t="shared" si="18"/>
        <v>161</v>
      </c>
      <c r="B630" t="s">
        <v>831</v>
      </c>
      <c r="C630" t="s">
        <v>1100</v>
      </c>
      <c r="D630" t="s">
        <v>1213</v>
      </c>
      <c r="E630">
        <v>34</v>
      </c>
      <c r="F630" t="s">
        <v>14</v>
      </c>
      <c r="G630" t="s">
        <v>30</v>
      </c>
      <c r="H630" t="s">
        <v>851</v>
      </c>
      <c r="I630" t="s">
        <v>845</v>
      </c>
      <c r="J630" t="s">
        <v>263</v>
      </c>
      <c r="K630">
        <v>2</v>
      </c>
      <c r="L630">
        <v>5</v>
      </c>
      <c r="M630">
        <v>3</v>
      </c>
      <c r="Q630" t="b">
        <f t="shared" si="19"/>
        <v>1</v>
      </c>
    </row>
    <row r="631" spans="1:17">
      <c r="A631">
        <f t="shared" si="18"/>
        <v>161</v>
      </c>
      <c r="B631" t="s">
        <v>831</v>
      </c>
      <c r="C631" t="s">
        <v>1100</v>
      </c>
      <c r="D631" t="s">
        <v>1213</v>
      </c>
      <c r="E631">
        <v>34</v>
      </c>
      <c r="F631" t="s">
        <v>14</v>
      </c>
      <c r="G631" t="s">
        <v>30</v>
      </c>
      <c r="H631" t="s">
        <v>851</v>
      </c>
      <c r="I631" t="s">
        <v>846</v>
      </c>
      <c r="J631" t="s">
        <v>263</v>
      </c>
      <c r="K631">
        <v>2</v>
      </c>
      <c r="L631">
        <v>4</v>
      </c>
      <c r="M631">
        <v>2</v>
      </c>
      <c r="Q631" t="b">
        <f t="shared" si="19"/>
        <v>1</v>
      </c>
    </row>
    <row r="632" spans="1:17">
      <c r="A632">
        <f t="shared" si="18"/>
        <v>161</v>
      </c>
      <c r="B632" t="s">
        <v>831</v>
      </c>
      <c r="C632" t="s">
        <v>1100</v>
      </c>
      <c r="D632" t="s">
        <v>1213</v>
      </c>
      <c r="E632">
        <v>34</v>
      </c>
      <c r="F632" t="s">
        <v>14</v>
      </c>
      <c r="G632" t="s">
        <v>30</v>
      </c>
      <c r="H632" t="s">
        <v>851</v>
      </c>
      <c r="I632" t="s">
        <v>847</v>
      </c>
      <c r="J632" t="s">
        <v>256</v>
      </c>
      <c r="K632">
        <v>30</v>
      </c>
      <c r="L632">
        <v>3</v>
      </c>
      <c r="M632">
        <v>2</v>
      </c>
      <c r="Q632" t="b">
        <f t="shared" si="19"/>
        <v>1</v>
      </c>
    </row>
    <row r="633" spans="1:17">
      <c r="A633">
        <f t="shared" si="18"/>
        <v>161</v>
      </c>
      <c r="B633" t="s">
        <v>831</v>
      </c>
      <c r="C633" t="s">
        <v>1100</v>
      </c>
      <c r="D633" t="s">
        <v>1213</v>
      </c>
      <c r="E633">
        <v>34</v>
      </c>
      <c r="F633" t="s">
        <v>14</v>
      </c>
      <c r="G633" t="s">
        <v>30</v>
      </c>
      <c r="H633" t="s">
        <v>851</v>
      </c>
      <c r="I633" t="s">
        <v>832</v>
      </c>
      <c r="J633" t="s">
        <v>263</v>
      </c>
      <c r="K633">
        <v>1</v>
      </c>
      <c r="L633">
        <v>3</v>
      </c>
      <c r="M633" t="s">
        <v>278</v>
      </c>
      <c r="Q633" t="b">
        <f t="shared" si="19"/>
        <v>1</v>
      </c>
    </row>
    <row r="634" spans="1:17">
      <c r="A634">
        <f t="shared" si="18"/>
        <v>162</v>
      </c>
      <c r="B634" t="s">
        <v>848</v>
      </c>
      <c r="C634" t="s">
        <v>1101</v>
      </c>
      <c r="D634" t="s">
        <v>1214</v>
      </c>
      <c r="E634">
        <v>28</v>
      </c>
      <c r="F634" t="s">
        <v>244</v>
      </c>
      <c r="G634" t="s">
        <v>15</v>
      </c>
      <c r="H634" t="s">
        <v>852</v>
      </c>
      <c r="I634" t="s">
        <v>853</v>
      </c>
      <c r="J634" t="s">
        <v>245</v>
      </c>
      <c r="K634">
        <v>800</v>
      </c>
      <c r="L634">
        <v>7</v>
      </c>
      <c r="M634">
        <v>5</v>
      </c>
      <c r="Q634" t="b">
        <f t="shared" si="19"/>
        <v>0</v>
      </c>
    </row>
    <row r="635" spans="1:17">
      <c r="A635">
        <f t="shared" si="18"/>
        <v>162</v>
      </c>
      <c r="B635" t="s">
        <v>848</v>
      </c>
      <c r="C635" t="s">
        <v>1101</v>
      </c>
      <c r="D635" t="s">
        <v>1214</v>
      </c>
      <c r="E635">
        <v>28</v>
      </c>
      <c r="F635" t="s">
        <v>244</v>
      </c>
      <c r="G635" t="s">
        <v>15</v>
      </c>
      <c r="H635" t="s">
        <v>852</v>
      </c>
      <c r="I635" t="s">
        <v>853</v>
      </c>
      <c r="J635" t="s">
        <v>385</v>
      </c>
      <c r="K635">
        <v>1</v>
      </c>
      <c r="L635">
        <v>7</v>
      </c>
      <c r="M635">
        <v>5</v>
      </c>
      <c r="Q635" t="b">
        <f t="shared" si="19"/>
        <v>0</v>
      </c>
    </row>
    <row r="636" spans="1:17">
      <c r="A636">
        <f t="shared" si="18"/>
        <v>162</v>
      </c>
      <c r="B636" t="s">
        <v>848</v>
      </c>
      <c r="C636" t="s">
        <v>1101</v>
      </c>
      <c r="D636" t="s">
        <v>1214</v>
      </c>
      <c r="E636">
        <v>28</v>
      </c>
      <c r="F636" t="s">
        <v>244</v>
      </c>
      <c r="G636" t="s">
        <v>15</v>
      </c>
      <c r="H636" t="s">
        <v>852</v>
      </c>
      <c r="I636" t="s">
        <v>854</v>
      </c>
      <c r="J636" t="s">
        <v>385</v>
      </c>
      <c r="K636">
        <v>1</v>
      </c>
      <c r="L636">
        <v>4</v>
      </c>
      <c r="M636">
        <v>2</v>
      </c>
      <c r="Q636" t="b">
        <f t="shared" si="19"/>
        <v>0</v>
      </c>
    </row>
    <row r="637" spans="1:17">
      <c r="A637">
        <f t="shared" si="18"/>
        <v>162</v>
      </c>
      <c r="B637" t="s">
        <v>848</v>
      </c>
      <c r="C637" t="s">
        <v>1101</v>
      </c>
      <c r="D637" t="s">
        <v>1214</v>
      </c>
      <c r="E637">
        <v>28</v>
      </c>
      <c r="F637" t="s">
        <v>244</v>
      </c>
      <c r="G637" t="s">
        <v>15</v>
      </c>
      <c r="H637" t="s">
        <v>852</v>
      </c>
      <c r="I637" t="s">
        <v>855</v>
      </c>
      <c r="J637" t="s">
        <v>263</v>
      </c>
      <c r="K637">
        <v>2</v>
      </c>
      <c r="L637">
        <v>4</v>
      </c>
      <c r="M637">
        <v>2</v>
      </c>
      <c r="Q637" t="b">
        <f t="shared" si="19"/>
        <v>0</v>
      </c>
    </row>
    <row r="638" spans="1:17">
      <c r="A638">
        <f t="shared" si="18"/>
        <v>162</v>
      </c>
      <c r="B638" t="s">
        <v>848</v>
      </c>
      <c r="C638" t="s">
        <v>1101</v>
      </c>
      <c r="D638" t="s">
        <v>1214</v>
      </c>
      <c r="E638">
        <v>28</v>
      </c>
      <c r="F638" t="s">
        <v>244</v>
      </c>
      <c r="G638" t="s">
        <v>15</v>
      </c>
      <c r="H638" t="s">
        <v>852</v>
      </c>
      <c r="I638" t="s">
        <v>856</v>
      </c>
      <c r="J638" t="s">
        <v>245</v>
      </c>
      <c r="K638">
        <v>800</v>
      </c>
      <c r="L638">
        <v>4</v>
      </c>
      <c r="M638">
        <v>2</v>
      </c>
      <c r="Q638" t="b">
        <f t="shared" si="19"/>
        <v>0</v>
      </c>
    </row>
    <row r="639" spans="1:17">
      <c r="A639">
        <f t="shared" si="18"/>
        <v>162</v>
      </c>
      <c r="B639" t="s">
        <v>848</v>
      </c>
      <c r="C639" t="s">
        <v>1101</v>
      </c>
      <c r="D639" t="s">
        <v>1214</v>
      </c>
      <c r="E639">
        <v>28</v>
      </c>
      <c r="F639" t="s">
        <v>244</v>
      </c>
      <c r="G639" t="s">
        <v>15</v>
      </c>
      <c r="H639" t="s">
        <v>852</v>
      </c>
      <c r="I639" t="s">
        <v>856</v>
      </c>
      <c r="J639" t="s">
        <v>263</v>
      </c>
      <c r="K639">
        <v>2</v>
      </c>
      <c r="L639">
        <v>4</v>
      </c>
      <c r="M639">
        <v>2</v>
      </c>
      <c r="Q639" t="b">
        <f t="shared" si="19"/>
        <v>0</v>
      </c>
    </row>
    <row r="640" spans="1:17">
      <c r="A640">
        <f t="shared" si="18"/>
        <v>162</v>
      </c>
      <c r="B640" t="s">
        <v>848</v>
      </c>
      <c r="C640" t="s">
        <v>1101</v>
      </c>
      <c r="D640" t="s">
        <v>1214</v>
      </c>
      <c r="E640">
        <v>28</v>
      </c>
      <c r="F640" t="s">
        <v>244</v>
      </c>
      <c r="G640" t="s">
        <v>15</v>
      </c>
      <c r="H640" t="s">
        <v>852</v>
      </c>
      <c r="I640" t="s">
        <v>857</v>
      </c>
      <c r="J640" t="s">
        <v>263</v>
      </c>
      <c r="K640">
        <v>2</v>
      </c>
      <c r="L640">
        <v>6</v>
      </c>
      <c r="M640">
        <v>2</v>
      </c>
      <c r="Q640" t="b">
        <f t="shared" si="19"/>
        <v>0</v>
      </c>
    </row>
    <row r="641" spans="1:17">
      <c r="A641">
        <f t="shared" si="18"/>
        <v>162</v>
      </c>
      <c r="B641" t="s">
        <v>848</v>
      </c>
      <c r="C641" t="s">
        <v>1101</v>
      </c>
      <c r="D641" t="s">
        <v>1214</v>
      </c>
      <c r="E641">
        <v>28</v>
      </c>
      <c r="F641" t="s">
        <v>244</v>
      </c>
      <c r="G641" t="s">
        <v>15</v>
      </c>
      <c r="H641" t="s">
        <v>852</v>
      </c>
      <c r="I641" t="s">
        <v>858</v>
      </c>
      <c r="J641" t="s">
        <v>245</v>
      </c>
      <c r="K641">
        <v>800</v>
      </c>
      <c r="L641">
        <v>2</v>
      </c>
      <c r="M641">
        <v>2</v>
      </c>
      <c r="Q641" t="b">
        <f t="shared" si="19"/>
        <v>0</v>
      </c>
    </row>
    <row r="642" spans="1:17">
      <c r="A642">
        <f t="shared" ref="A642:A705" si="20">IF(ROW()=2,1,IF(B642=B641,A641,A641+1))</f>
        <v>162</v>
      </c>
      <c r="B642" t="s">
        <v>848</v>
      </c>
      <c r="C642" t="s">
        <v>1101</v>
      </c>
      <c r="D642" t="s">
        <v>1214</v>
      </c>
      <c r="E642">
        <v>28</v>
      </c>
      <c r="F642" t="s">
        <v>244</v>
      </c>
      <c r="G642" t="s">
        <v>15</v>
      </c>
      <c r="H642" t="s">
        <v>852</v>
      </c>
      <c r="I642" t="s">
        <v>859</v>
      </c>
      <c r="J642" t="s">
        <v>263</v>
      </c>
      <c r="K642">
        <v>2</v>
      </c>
      <c r="L642">
        <v>6</v>
      </c>
      <c r="M642">
        <v>2</v>
      </c>
      <c r="Q642" t="b">
        <f t="shared" ref="Q642:Q705" si="21">ISODD(A642)</f>
        <v>0</v>
      </c>
    </row>
    <row r="643" spans="1:17">
      <c r="A643">
        <f t="shared" si="20"/>
        <v>162</v>
      </c>
      <c r="B643" t="s">
        <v>848</v>
      </c>
      <c r="C643" t="s">
        <v>1101</v>
      </c>
      <c r="D643" t="s">
        <v>1214</v>
      </c>
      <c r="E643">
        <v>28</v>
      </c>
      <c r="F643" t="s">
        <v>244</v>
      </c>
      <c r="G643" t="s">
        <v>15</v>
      </c>
      <c r="H643" t="s">
        <v>852</v>
      </c>
      <c r="I643" t="s">
        <v>860</v>
      </c>
      <c r="J643" t="s">
        <v>263</v>
      </c>
      <c r="K643">
        <v>2</v>
      </c>
      <c r="L643">
        <v>5</v>
      </c>
      <c r="M643">
        <v>2</v>
      </c>
      <c r="Q643" t="b">
        <f t="shared" si="21"/>
        <v>0</v>
      </c>
    </row>
    <row r="644" spans="1:17">
      <c r="A644">
        <f t="shared" si="20"/>
        <v>162</v>
      </c>
      <c r="B644" t="s">
        <v>848</v>
      </c>
      <c r="C644" t="s">
        <v>1101</v>
      </c>
      <c r="D644" t="s">
        <v>1214</v>
      </c>
      <c r="E644">
        <v>28</v>
      </c>
      <c r="F644" t="s">
        <v>244</v>
      </c>
      <c r="G644" t="s">
        <v>15</v>
      </c>
      <c r="H644" t="s">
        <v>852</v>
      </c>
      <c r="I644" t="s">
        <v>861</v>
      </c>
      <c r="J644" t="s">
        <v>263</v>
      </c>
      <c r="K644">
        <v>1</v>
      </c>
      <c r="L644">
        <v>5</v>
      </c>
      <c r="M644">
        <v>2</v>
      </c>
      <c r="Q644" t="b">
        <f t="shared" si="21"/>
        <v>0</v>
      </c>
    </row>
    <row r="645" spans="1:17">
      <c r="A645">
        <f t="shared" si="20"/>
        <v>162</v>
      </c>
      <c r="B645" t="s">
        <v>848</v>
      </c>
      <c r="C645" t="s">
        <v>1101</v>
      </c>
      <c r="D645" t="s">
        <v>1214</v>
      </c>
      <c r="E645">
        <v>28</v>
      </c>
      <c r="F645" t="s">
        <v>244</v>
      </c>
      <c r="G645" t="s">
        <v>15</v>
      </c>
      <c r="H645" t="s">
        <v>852</v>
      </c>
      <c r="I645" t="s">
        <v>862</v>
      </c>
      <c r="J645" t="s">
        <v>245</v>
      </c>
      <c r="K645">
        <v>800</v>
      </c>
      <c r="L645" t="s">
        <v>278</v>
      </c>
      <c r="M645" t="s">
        <v>278</v>
      </c>
      <c r="Q645" t="b">
        <f t="shared" si="21"/>
        <v>0</v>
      </c>
    </row>
    <row r="646" spans="1:17">
      <c r="A646">
        <f t="shared" si="20"/>
        <v>162</v>
      </c>
      <c r="B646" t="s">
        <v>848</v>
      </c>
      <c r="C646" t="s">
        <v>1101</v>
      </c>
      <c r="D646" t="s">
        <v>1214</v>
      </c>
      <c r="E646">
        <v>28</v>
      </c>
      <c r="F646" t="s">
        <v>244</v>
      </c>
      <c r="G646" t="s">
        <v>15</v>
      </c>
      <c r="H646" t="s">
        <v>852</v>
      </c>
      <c r="I646" t="s">
        <v>863</v>
      </c>
      <c r="J646" t="s">
        <v>263</v>
      </c>
      <c r="K646">
        <v>1</v>
      </c>
      <c r="L646">
        <v>5</v>
      </c>
      <c r="M646">
        <v>0</v>
      </c>
      <c r="Q646" t="b">
        <f t="shared" si="21"/>
        <v>0</v>
      </c>
    </row>
    <row r="647" spans="1:17">
      <c r="A647">
        <f t="shared" si="20"/>
        <v>162</v>
      </c>
      <c r="B647" t="s">
        <v>848</v>
      </c>
      <c r="C647" t="s">
        <v>1101</v>
      </c>
      <c r="D647" t="s">
        <v>1214</v>
      </c>
      <c r="E647">
        <v>28</v>
      </c>
      <c r="F647" t="s">
        <v>244</v>
      </c>
      <c r="G647" t="s">
        <v>15</v>
      </c>
      <c r="H647" t="s">
        <v>852</v>
      </c>
      <c r="I647" t="s">
        <v>864</v>
      </c>
      <c r="J647" t="s">
        <v>245</v>
      </c>
      <c r="K647">
        <v>800</v>
      </c>
      <c r="L647">
        <v>7</v>
      </c>
      <c r="M647">
        <v>0</v>
      </c>
      <c r="Q647" t="b">
        <f t="shared" si="21"/>
        <v>0</v>
      </c>
    </row>
    <row r="648" spans="1:17">
      <c r="A648">
        <f t="shared" si="20"/>
        <v>162</v>
      </c>
      <c r="B648" t="s">
        <v>848</v>
      </c>
      <c r="C648" t="s">
        <v>1101</v>
      </c>
      <c r="D648" t="s">
        <v>1214</v>
      </c>
      <c r="E648">
        <v>28</v>
      </c>
      <c r="F648" t="s">
        <v>244</v>
      </c>
      <c r="G648" t="s">
        <v>15</v>
      </c>
      <c r="H648" t="s">
        <v>852</v>
      </c>
      <c r="I648" t="s">
        <v>865</v>
      </c>
      <c r="J648" t="s">
        <v>263</v>
      </c>
      <c r="K648">
        <v>1</v>
      </c>
      <c r="L648">
        <v>8</v>
      </c>
      <c r="M648">
        <v>0</v>
      </c>
      <c r="Q648" t="b">
        <f t="shared" si="21"/>
        <v>0</v>
      </c>
    </row>
    <row r="649" spans="1:17">
      <c r="A649">
        <f t="shared" si="20"/>
        <v>163</v>
      </c>
      <c r="B649" t="s">
        <v>866</v>
      </c>
      <c r="C649" t="s">
        <v>1102</v>
      </c>
      <c r="D649" t="s">
        <v>1215</v>
      </c>
      <c r="E649">
        <v>29</v>
      </c>
      <c r="F649" t="s">
        <v>244</v>
      </c>
      <c r="G649" t="s">
        <v>30</v>
      </c>
      <c r="H649" t="s">
        <v>867</v>
      </c>
      <c r="I649" t="s">
        <v>868</v>
      </c>
      <c r="J649" t="s">
        <v>245</v>
      </c>
      <c r="K649">
        <v>800</v>
      </c>
      <c r="L649" t="s">
        <v>278</v>
      </c>
      <c r="M649" t="s">
        <v>278</v>
      </c>
      <c r="Q649" t="b">
        <f t="shared" si="21"/>
        <v>1</v>
      </c>
    </row>
    <row r="650" spans="1:17">
      <c r="A650">
        <f t="shared" si="20"/>
        <v>163</v>
      </c>
      <c r="B650" t="s">
        <v>866</v>
      </c>
      <c r="C650" t="s">
        <v>1102</v>
      </c>
      <c r="D650" t="s">
        <v>1215</v>
      </c>
      <c r="E650">
        <v>29</v>
      </c>
      <c r="F650" t="s">
        <v>244</v>
      </c>
      <c r="G650" t="s">
        <v>30</v>
      </c>
      <c r="H650" t="s">
        <v>867</v>
      </c>
      <c r="I650" t="s">
        <v>869</v>
      </c>
      <c r="J650" t="s">
        <v>245</v>
      </c>
      <c r="K650">
        <v>800</v>
      </c>
      <c r="L650" t="s">
        <v>278</v>
      </c>
      <c r="M650" t="s">
        <v>278</v>
      </c>
      <c r="Q650" t="b">
        <f t="shared" si="21"/>
        <v>1</v>
      </c>
    </row>
    <row r="651" spans="1:17">
      <c r="A651">
        <f t="shared" si="20"/>
        <v>163</v>
      </c>
      <c r="B651" t="s">
        <v>866</v>
      </c>
      <c r="C651" t="s">
        <v>1102</v>
      </c>
      <c r="D651" t="s">
        <v>1215</v>
      </c>
      <c r="E651">
        <v>29</v>
      </c>
      <c r="F651" t="s">
        <v>244</v>
      </c>
      <c r="G651" t="s">
        <v>30</v>
      </c>
      <c r="H651" t="s">
        <v>867</v>
      </c>
      <c r="I651" t="s">
        <v>870</v>
      </c>
      <c r="J651" t="s">
        <v>245</v>
      </c>
      <c r="K651">
        <v>800</v>
      </c>
      <c r="L651">
        <v>7</v>
      </c>
      <c r="M651">
        <v>5</v>
      </c>
      <c r="Q651" t="b">
        <f t="shared" si="21"/>
        <v>1</v>
      </c>
    </row>
    <row r="652" spans="1:17">
      <c r="A652">
        <f t="shared" si="20"/>
        <v>163</v>
      </c>
      <c r="B652" t="s">
        <v>866</v>
      </c>
      <c r="C652" t="s">
        <v>1102</v>
      </c>
      <c r="D652" t="s">
        <v>1215</v>
      </c>
      <c r="E652">
        <v>29</v>
      </c>
      <c r="F652" t="s">
        <v>244</v>
      </c>
      <c r="G652" t="s">
        <v>30</v>
      </c>
      <c r="H652" t="s">
        <v>867</v>
      </c>
      <c r="I652" t="s">
        <v>878</v>
      </c>
      <c r="J652" t="s">
        <v>245</v>
      </c>
      <c r="K652">
        <v>800</v>
      </c>
      <c r="L652">
        <v>6</v>
      </c>
      <c r="M652">
        <v>4</v>
      </c>
      <c r="Q652" t="b">
        <f t="shared" si="21"/>
        <v>1</v>
      </c>
    </row>
    <row r="653" spans="1:17">
      <c r="A653">
        <f t="shared" si="20"/>
        <v>163</v>
      </c>
      <c r="B653" t="s">
        <v>866</v>
      </c>
      <c r="C653" t="s">
        <v>1102</v>
      </c>
      <c r="D653" t="s">
        <v>1215</v>
      </c>
      <c r="E653">
        <v>29</v>
      </c>
      <c r="F653" t="s">
        <v>244</v>
      </c>
      <c r="G653" t="s">
        <v>30</v>
      </c>
      <c r="H653" t="s">
        <v>867</v>
      </c>
      <c r="I653" t="s">
        <v>878</v>
      </c>
      <c r="J653" t="s">
        <v>263</v>
      </c>
      <c r="K653">
        <v>1</v>
      </c>
      <c r="L653">
        <v>6</v>
      </c>
      <c r="M653">
        <v>4</v>
      </c>
      <c r="Q653" t="b">
        <f t="shared" si="21"/>
        <v>1</v>
      </c>
    </row>
    <row r="654" spans="1:17">
      <c r="A654">
        <f t="shared" si="20"/>
        <v>163</v>
      </c>
      <c r="B654" t="s">
        <v>866</v>
      </c>
      <c r="C654" t="s">
        <v>1102</v>
      </c>
      <c r="D654" t="s">
        <v>1215</v>
      </c>
      <c r="E654">
        <v>29</v>
      </c>
      <c r="F654" t="s">
        <v>244</v>
      </c>
      <c r="G654" t="s">
        <v>30</v>
      </c>
      <c r="H654" t="s">
        <v>867</v>
      </c>
      <c r="I654" t="s">
        <v>871</v>
      </c>
      <c r="J654" t="s">
        <v>245</v>
      </c>
      <c r="K654">
        <v>800</v>
      </c>
      <c r="L654">
        <v>10</v>
      </c>
      <c r="M654">
        <v>3</v>
      </c>
      <c r="Q654" t="b">
        <f t="shared" si="21"/>
        <v>1</v>
      </c>
    </row>
    <row r="655" spans="1:17">
      <c r="A655">
        <f t="shared" si="20"/>
        <v>163</v>
      </c>
      <c r="B655" t="s">
        <v>866</v>
      </c>
      <c r="C655" t="s">
        <v>1102</v>
      </c>
      <c r="D655" t="s">
        <v>1215</v>
      </c>
      <c r="E655">
        <v>29</v>
      </c>
      <c r="F655" t="s">
        <v>244</v>
      </c>
      <c r="G655" t="s">
        <v>30</v>
      </c>
      <c r="H655" t="s">
        <v>867</v>
      </c>
      <c r="I655" t="s">
        <v>871</v>
      </c>
      <c r="J655" t="s">
        <v>263</v>
      </c>
      <c r="K655">
        <v>1</v>
      </c>
      <c r="L655">
        <v>10</v>
      </c>
      <c r="M655">
        <v>3</v>
      </c>
      <c r="Q655" t="b">
        <f t="shared" si="21"/>
        <v>1</v>
      </c>
    </row>
    <row r="656" spans="1:17">
      <c r="A656">
        <f t="shared" si="20"/>
        <v>163</v>
      </c>
      <c r="B656" t="s">
        <v>866</v>
      </c>
      <c r="C656" t="s">
        <v>1102</v>
      </c>
      <c r="D656" t="s">
        <v>1215</v>
      </c>
      <c r="E656">
        <v>29</v>
      </c>
      <c r="F656" t="s">
        <v>244</v>
      </c>
      <c r="G656" t="s">
        <v>30</v>
      </c>
      <c r="H656" t="s">
        <v>867</v>
      </c>
      <c r="I656" t="s">
        <v>872</v>
      </c>
      <c r="J656" t="s">
        <v>245</v>
      </c>
      <c r="K656">
        <v>800</v>
      </c>
      <c r="L656">
        <v>10</v>
      </c>
      <c r="M656">
        <v>10</v>
      </c>
      <c r="Q656" t="b">
        <f t="shared" si="21"/>
        <v>1</v>
      </c>
    </row>
    <row r="657" spans="1:17">
      <c r="A657">
        <f t="shared" si="20"/>
        <v>163</v>
      </c>
      <c r="B657" t="s">
        <v>866</v>
      </c>
      <c r="C657" t="s">
        <v>1102</v>
      </c>
      <c r="D657" t="s">
        <v>1215</v>
      </c>
      <c r="E657">
        <v>29</v>
      </c>
      <c r="F657" t="s">
        <v>244</v>
      </c>
      <c r="G657" t="s">
        <v>30</v>
      </c>
      <c r="H657" t="s">
        <v>867</v>
      </c>
      <c r="I657" t="s">
        <v>872</v>
      </c>
      <c r="J657" t="s">
        <v>263</v>
      </c>
      <c r="K657">
        <v>1</v>
      </c>
      <c r="L657">
        <v>10</v>
      </c>
      <c r="M657">
        <v>10</v>
      </c>
      <c r="Q657" t="b">
        <f t="shared" si="21"/>
        <v>1</v>
      </c>
    </row>
    <row r="658" spans="1:17">
      <c r="A658">
        <f t="shared" si="20"/>
        <v>163</v>
      </c>
      <c r="B658" t="s">
        <v>866</v>
      </c>
      <c r="C658" t="s">
        <v>1102</v>
      </c>
      <c r="D658" t="s">
        <v>1215</v>
      </c>
      <c r="E658">
        <v>29</v>
      </c>
      <c r="F658" t="s">
        <v>244</v>
      </c>
      <c r="G658" t="s">
        <v>30</v>
      </c>
      <c r="H658" t="s">
        <v>867</v>
      </c>
      <c r="I658" t="s">
        <v>873</v>
      </c>
      <c r="J658" t="s">
        <v>263</v>
      </c>
      <c r="K658">
        <v>1</v>
      </c>
      <c r="L658">
        <v>10</v>
      </c>
      <c r="M658">
        <v>2</v>
      </c>
      <c r="Q658" t="b">
        <f t="shared" si="21"/>
        <v>1</v>
      </c>
    </row>
    <row r="659" spans="1:17">
      <c r="A659">
        <f t="shared" si="20"/>
        <v>163</v>
      </c>
      <c r="B659" t="s">
        <v>866</v>
      </c>
      <c r="C659" t="s">
        <v>1102</v>
      </c>
      <c r="D659" t="s">
        <v>1215</v>
      </c>
      <c r="E659">
        <v>29</v>
      </c>
      <c r="F659" t="s">
        <v>244</v>
      </c>
      <c r="G659" t="s">
        <v>30</v>
      </c>
      <c r="H659" t="s">
        <v>867</v>
      </c>
      <c r="I659" t="s">
        <v>874</v>
      </c>
      <c r="J659" t="s">
        <v>245</v>
      </c>
      <c r="K659">
        <v>800</v>
      </c>
      <c r="L659">
        <v>5</v>
      </c>
      <c r="M659">
        <v>2</v>
      </c>
      <c r="Q659" t="b">
        <f t="shared" si="21"/>
        <v>1</v>
      </c>
    </row>
    <row r="660" spans="1:17">
      <c r="A660">
        <f t="shared" si="20"/>
        <v>163</v>
      </c>
      <c r="B660" t="s">
        <v>866</v>
      </c>
      <c r="C660" t="s">
        <v>1102</v>
      </c>
      <c r="D660" t="s">
        <v>1215</v>
      </c>
      <c r="E660">
        <v>29</v>
      </c>
      <c r="F660" t="s">
        <v>244</v>
      </c>
      <c r="G660" t="s">
        <v>30</v>
      </c>
      <c r="H660" t="s">
        <v>867</v>
      </c>
      <c r="I660" t="s">
        <v>874</v>
      </c>
      <c r="J660" t="s">
        <v>263</v>
      </c>
      <c r="K660">
        <v>1</v>
      </c>
      <c r="L660">
        <v>5</v>
      </c>
      <c r="M660">
        <v>2</v>
      </c>
      <c r="Q660" t="b">
        <f t="shared" si="21"/>
        <v>1</v>
      </c>
    </row>
    <row r="661" spans="1:17">
      <c r="A661">
        <f t="shared" si="20"/>
        <v>163</v>
      </c>
      <c r="B661" t="s">
        <v>866</v>
      </c>
      <c r="C661" t="s">
        <v>1102</v>
      </c>
      <c r="D661" t="s">
        <v>1215</v>
      </c>
      <c r="E661">
        <v>29</v>
      </c>
      <c r="F661" t="s">
        <v>244</v>
      </c>
      <c r="G661" t="s">
        <v>30</v>
      </c>
      <c r="H661" t="s">
        <v>867</v>
      </c>
      <c r="I661" t="s">
        <v>875</v>
      </c>
      <c r="J661" t="s">
        <v>245</v>
      </c>
      <c r="K661">
        <v>800</v>
      </c>
      <c r="L661">
        <v>7</v>
      </c>
      <c r="M661">
        <v>0</v>
      </c>
      <c r="Q661" t="b">
        <f t="shared" si="21"/>
        <v>1</v>
      </c>
    </row>
    <row r="662" spans="1:17">
      <c r="A662">
        <f t="shared" si="20"/>
        <v>163</v>
      </c>
      <c r="B662" t="s">
        <v>866</v>
      </c>
      <c r="C662" t="s">
        <v>1102</v>
      </c>
      <c r="D662" t="s">
        <v>1215</v>
      </c>
      <c r="E662">
        <v>29</v>
      </c>
      <c r="F662" t="s">
        <v>244</v>
      </c>
      <c r="G662" t="s">
        <v>30</v>
      </c>
      <c r="H662" t="s">
        <v>867</v>
      </c>
      <c r="I662" t="s">
        <v>875</v>
      </c>
      <c r="J662" t="s">
        <v>263</v>
      </c>
      <c r="K662">
        <v>1</v>
      </c>
      <c r="L662">
        <v>7</v>
      </c>
      <c r="M662">
        <v>0</v>
      </c>
      <c r="Q662" t="b">
        <f t="shared" si="21"/>
        <v>1</v>
      </c>
    </row>
    <row r="663" spans="1:17">
      <c r="A663">
        <f t="shared" si="20"/>
        <v>163</v>
      </c>
      <c r="B663" t="s">
        <v>866</v>
      </c>
      <c r="C663" t="s">
        <v>1102</v>
      </c>
      <c r="D663" t="s">
        <v>1215</v>
      </c>
      <c r="E663">
        <v>29</v>
      </c>
      <c r="F663" t="s">
        <v>244</v>
      </c>
      <c r="G663" t="s">
        <v>30</v>
      </c>
      <c r="H663" t="s">
        <v>867</v>
      </c>
      <c r="I663" t="s">
        <v>876</v>
      </c>
      <c r="J663" t="s">
        <v>245</v>
      </c>
      <c r="K663">
        <v>800</v>
      </c>
      <c r="L663">
        <v>7</v>
      </c>
      <c r="M663">
        <v>2</v>
      </c>
      <c r="Q663" t="b">
        <f t="shared" si="21"/>
        <v>1</v>
      </c>
    </row>
    <row r="664" spans="1:17">
      <c r="A664">
        <f t="shared" si="20"/>
        <v>163</v>
      </c>
      <c r="B664" t="s">
        <v>866</v>
      </c>
      <c r="C664" t="s">
        <v>1102</v>
      </c>
      <c r="D664" t="s">
        <v>1215</v>
      </c>
      <c r="E664">
        <v>29</v>
      </c>
      <c r="F664" t="s">
        <v>244</v>
      </c>
      <c r="G664" t="s">
        <v>30</v>
      </c>
      <c r="H664" t="s">
        <v>867</v>
      </c>
      <c r="I664" t="s">
        <v>876</v>
      </c>
      <c r="J664" t="s">
        <v>263</v>
      </c>
      <c r="K664">
        <v>1</v>
      </c>
      <c r="L664">
        <v>7</v>
      </c>
      <c r="M664">
        <v>2</v>
      </c>
      <c r="Q664" t="b">
        <f t="shared" si="21"/>
        <v>1</v>
      </c>
    </row>
    <row r="665" spans="1:17">
      <c r="A665">
        <f t="shared" si="20"/>
        <v>163</v>
      </c>
      <c r="B665" t="s">
        <v>866</v>
      </c>
      <c r="C665" t="s">
        <v>1102</v>
      </c>
      <c r="D665" t="s">
        <v>1215</v>
      </c>
      <c r="E665">
        <v>29</v>
      </c>
      <c r="F665" t="s">
        <v>244</v>
      </c>
      <c r="G665" t="s">
        <v>30</v>
      </c>
      <c r="H665" t="s">
        <v>867</v>
      </c>
      <c r="I665" t="s">
        <v>877</v>
      </c>
      <c r="J665" t="s">
        <v>245</v>
      </c>
      <c r="K665">
        <v>800</v>
      </c>
      <c r="L665">
        <v>5</v>
      </c>
      <c r="M665">
        <v>0</v>
      </c>
      <c r="Q665" t="b">
        <f t="shared" si="21"/>
        <v>1</v>
      </c>
    </row>
    <row r="666" spans="1:17">
      <c r="A666">
        <f t="shared" si="20"/>
        <v>163</v>
      </c>
      <c r="B666" t="s">
        <v>866</v>
      </c>
      <c r="C666" t="s">
        <v>1102</v>
      </c>
      <c r="D666" t="s">
        <v>1215</v>
      </c>
      <c r="E666">
        <v>29</v>
      </c>
      <c r="F666" t="s">
        <v>244</v>
      </c>
      <c r="G666" t="s">
        <v>30</v>
      </c>
      <c r="H666" t="s">
        <v>867</v>
      </c>
      <c r="I666" t="s">
        <v>877</v>
      </c>
      <c r="J666" t="s">
        <v>263</v>
      </c>
      <c r="K666">
        <v>1</v>
      </c>
      <c r="L666">
        <v>5</v>
      </c>
      <c r="M666">
        <v>0</v>
      </c>
      <c r="Q666" t="b">
        <f t="shared" si="21"/>
        <v>1</v>
      </c>
    </row>
    <row r="667" spans="1:17">
      <c r="A667">
        <f t="shared" si="20"/>
        <v>164</v>
      </c>
      <c r="B667" t="s">
        <v>879</v>
      </c>
      <c r="C667" t="s">
        <v>1103</v>
      </c>
      <c r="D667" t="s">
        <v>1216</v>
      </c>
      <c r="E667">
        <v>27</v>
      </c>
      <c r="F667" t="s">
        <v>244</v>
      </c>
      <c r="G667" t="s">
        <v>30</v>
      </c>
      <c r="H667" t="s">
        <v>881</v>
      </c>
      <c r="I667" t="s">
        <v>882</v>
      </c>
      <c r="J667" t="s">
        <v>256</v>
      </c>
      <c r="K667">
        <v>30</v>
      </c>
      <c r="L667">
        <v>9</v>
      </c>
      <c r="M667">
        <v>9</v>
      </c>
      <c r="P667" t="s">
        <v>894</v>
      </c>
      <c r="Q667" t="b">
        <f t="shared" si="21"/>
        <v>0</v>
      </c>
    </row>
    <row r="668" spans="1:17">
      <c r="A668">
        <f t="shared" si="20"/>
        <v>164</v>
      </c>
      <c r="B668" t="s">
        <v>879</v>
      </c>
      <c r="C668" t="s">
        <v>1103</v>
      </c>
      <c r="D668" t="s">
        <v>1216</v>
      </c>
      <c r="E668">
        <v>27</v>
      </c>
      <c r="F668" t="s">
        <v>244</v>
      </c>
      <c r="G668" t="s">
        <v>30</v>
      </c>
      <c r="H668" t="s">
        <v>881</v>
      </c>
      <c r="I668" t="s">
        <v>882</v>
      </c>
      <c r="J668" t="s">
        <v>263</v>
      </c>
      <c r="K668">
        <v>1</v>
      </c>
      <c r="L668">
        <v>9</v>
      </c>
      <c r="M668">
        <v>9</v>
      </c>
      <c r="P668" t="s">
        <v>894</v>
      </c>
      <c r="Q668" t="b">
        <f t="shared" si="21"/>
        <v>0</v>
      </c>
    </row>
    <row r="669" spans="1:17">
      <c r="A669">
        <f t="shared" si="20"/>
        <v>164</v>
      </c>
      <c r="B669" t="s">
        <v>879</v>
      </c>
      <c r="C669" t="s">
        <v>1103</v>
      </c>
      <c r="D669" t="s">
        <v>1216</v>
      </c>
      <c r="E669">
        <v>27</v>
      </c>
      <c r="F669" t="s">
        <v>244</v>
      </c>
      <c r="G669" t="s">
        <v>30</v>
      </c>
      <c r="H669" t="s">
        <v>881</v>
      </c>
      <c r="I669" t="s">
        <v>883</v>
      </c>
      <c r="J669" t="s">
        <v>263</v>
      </c>
      <c r="K669">
        <v>1</v>
      </c>
      <c r="L669">
        <v>9</v>
      </c>
      <c r="M669">
        <v>5</v>
      </c>
      <c r="P669" t="s">
        <v>894</v>
      </c>
      <c r="Q669" t="b">
        <f t="shared" si="21"/>
        <v>0</v>
      </c>
    </row>
    <row r="670" spans="1:17">
      <c r="A670">
        <f t="shared" si="20"/>
        <v>164</v>
      </c>
      <c r="B670" t="s">
        <v>879</v>
      </c>
      <c r="C670" t="s">
        <v>1103</v>
      </c>
      <c r="D670" t="s">
        <v>1216</v>
      </c>
      <c r="E670">
        <v>27</v>
      </c>
      <c r="F670" t="s">
        <v>244</v>
      </c>
      <c r="G670" t="s">
        <v>30</v>
      </c>
      <c r="H670" t="s">
        <v>881</v>
      </c>
      <c r="I670" t="s">
        <v>884</v>
      </c>
      <c r="J670" t="s">
        <v>263</v>
      </c>
      <c r="K670">
        <v>2</v>
      </c>
      <c r="L670">
        <v>5</v>
      </c>
      <c r="M670">
        <v>2</v>
      </c>
      <c r="P670" t="s">
        <v>894</v>
      </c>
      <c r="Q670" t="b">
        <f t="shared" si="21"/>
        <v>0</v>
      </c>
    </row>
    <row r="671" spans="1:17">
      <c r="A671">
        <f t="shared" si="20"/>
        <v>164</v>
      </c>
      <c r="B671" t="s">
        <v>879</v>
      </c>
      <c r="C671" t="s">
        <v>1103</v>
      </c>
      <c r="D671" t="s">
        <v>1216</v>
      </c>
      <c r="E671">
        <v>27</v>
      </c>
      <c r="F671" t="s">
        <v>244</v>
      </c>
      <c r="G671" t="s">
        <v>30</v>
      </c>
      <c r="H671" t="s">
        <v>881</v>
      </c>
      <c r="I671" t="s">
        <v>885</v>
      </c>
      <c r="J671" t="s">
        <v>256</v>
      </c>
      <c r="K671">
        <v>30</v>
      </c>
      <c r="L671">
        <v>2</v>
      </c>
      <c r="M671">
        <v>2</v>
      </c>
      <c r="P671" t="s">
        <v>894</v>
      </c>
      <c r="Q671" t="b">
        <f t="shared" si="21"/>
        <v>0</v>
      </c>
    </row>
    <row r="672" spans="1:17">
      <c r="A672">
        <f t="shared" si="20"/>
        <v>164</v>
      </c>
      <c r="B672" t="s">
        <v>879</v>
      </c>
      <c r="C672" t="s">
        <v>1103</v>
      </c>
      <c r="D672" t="s">
        <v>1216</v>
      </c>
      <c r="E672">
        <v>27</v>
      </c>
      <c r="F672" t="s">
        <v>244</v>
      </c>
      <c r="G672" t="s">
        <v>30</v>
      </c>
      <c r="H672" t="s">
        <v>881</v>
      </c>
      <c r="I672" t="s">
        <v>886</v>
      </c>
      <c r="J672" t="s">
        <v>263</v>
      </c>
      <c r="K672">
        <v>1</v>
      </c>
      <c r="L672">
        <v>2</v>
      </c>
      <c r="M672">
        <v>2</v>
      </c>
      <c r="P672" t="s">
        <v>894</v>
      </c>
      <c r="Q672" t="b">
        <f t="shared" si="21"/>
        <v>0</v>
      </c>
    </row>
    <row r="673" spans="1:17">
      <c r="A673">
        <f t="shared" si="20"/>
        <v>164</v>
      </c>
      <c r="B673" t="s">
        <v>879</v>
      </c>
      <c r="C673" t="s">
        <v>1103</v>
      </c>
      <c r="D673" t="s">
        <v>1216</v>
      </c>
      <c r="E673">
        <v>27</v>
      </c>
      <c r="F673" t="s">
        <v>244</v>
      </c>
      <c r="G673" t="s">
        <v>30</v>
      </c>
      <c r="H673" t="s">
        <v>881</v>
      </c>
      <c r="I673" t="s">
        <v>887</v>
      </c>
      <c r="J673" t="s">
        <v>256</v>
      </c>
      <c r="K673">
        <v>30</v>
      </c>
      <c r="L673">
        <v>2</v>
      </c>
      <c r="M673">
        <v>0</v>
      </c>
      <c r="P673" t="s">
        <v>894</v>
      </c>
      <c r="Q673" t="b">
        <f t="shared" si="21"/>
        <v>0</v>
      </c>
    </row>
    <row r="674" spans="1:17">
      <c r="A674">
        <f t="shared" si="20"/>
        <v>164</v>
      </c>
      <c r="B674" t="s">
        <v>879</v>
      </c>
      <c r="C674" t="s">
        <v>1103</v>
      </c>
      <c r="D674" t="s">
        <v>1216</v>
      </c>
      <c r="E674">
        <v>27</v>
      </c>
      <c r="F674" t="s">
        <v>244</v>
      </c>
      <c r="G674" t="s">
        <v>30</v>
      </c>
      <c r="H674" t="s">
        <v>881</v>
      </c>
      <c r="I674" t="s">
        <v>887</v>
      </c>
      <c r="J674" t="s">
        <v>263</v>
      </c>
      <c r="K674">
        <v>1</v>
      </c>
      <c r="L674">
        <v>2</v>
      </c>
      <c r="M674">
        <v>0</v>
      </c>
      <c r="P674" t="s">
        <v>894</v>
      </c>
      <c r="Q674" t="b">
        <f t="shared" si="21"/>
        <v>0</v>
      </c>
    </row>
    <row r="675" spans="1:17">
      <c r="A675">
        <f t="shared" si="20"/>
        <v>164</v>
      </c>
      <c r="B675" t="s">
        <v>879</v>
      </c>
      <c r="C675" t="s">
        <v>1103</v>
      </c>
      <c r="D675" t="s">
        <v>1216</v>
      </c>
      <c r="E675">
        <v>27</v>
      </c>
      <c r="F675" t="s">
        <v>244</v>
      </c>
      <c r="G675" t="s">
        <v>30</v>
      </c>
      <c r="H675" t="s">
        <v>881</v>
      </c>
      <c r="I675" t="s">
        <v>888</v>
      </c>
      <c r="J675" t="s">
        <v>256</v>
      </c>
      <c r="K675">
        <v>30</v>
      </c>
      <c r="L675">
        <v>8</v>
      </c>
      <c r="M675">
        <v>3</v>
      </c>
      <c r="P675" t="s">
        <v>894</v>
      </c>
      <c r="Q675" t="b">
        <f t="shared" si="21"/>
        <v>0</v>
      </c>
    </row>
    <row r="676" spans="1:17">
      <c r="A676">
        <f t="shared" si="20"/>
        <v>164</v>
      </c>
      <c r="B676" t="s">
        <v>879</v>
      </c>
      <c r="C676" t="s">
        <v>1103</v>
      </c>
      <c r="D676" t="s">
        <v>1216</v>
      </c>
      <c r="E676">
        <v>27</v>
      </c>
      <c r="F676" t="s">
        <v>244</v>
      </c>
      <c r="G676" t="s">
        <v>30</v>
      </c>
      <c r="H676" t="s">
        <v>881</v>
      </c>
      <c r="I676" t="s">
        <v>888</v>
      </c>
      <c r="J676" t="s">
        <v>263</v>
      </c>
      <c r="K676">
        <v>1</v>
      </c>
      <c r="L676">
        <v>8</v>
      </c>
      <c r="M676">
        <v>3</v>
      </c>
      <c r="P676" t="s">
        <v>894</v>
      </c>
      <c r="Q676" t="b">
        <f t="shared" si="21"/>
        <v>0</v>
      </c>
    </row>
    <row r="677" spans="1:17">
      <c r="A677">
        <f t="shared" si="20"/>
        <v>164</v>
      </c>
      <c r="B677" t="s">
        <v>879</v>
      </c>
      <c r="C677" t="s">
        <v>1103</v>
      </c>
      <c r="D677" t="s">
        <v>1216</v>
      </c>
      <c r="E677">
        <v>27</v>
      </c>
      <c r="F677" t="s">
        <v>244</v>
      </c>
      <c r="G677" t="s">
        <v>30</v>
      </c>
      <c r="H677" t="s">
        <v>881</v>
      </c>
      <c r="I677" t="s">
        <v>889</v>
      </c>
      <c r="J677" t="s">
        <v>256</v>
      </c>
      <c r="K677">
        <v>30</v>
      </c>
      <c r="L677">
        <v>5</v>
      </c>
      <c r="M677">
        <v>2</v>
      </c>
      <c r="P677" t="s">
        <v>894</v>
      </c>
      <c r="Q677" t="b">
        <f t="shared" si="21"/>
        <v>0</v>
      </c>
    </row>
    <row r="678" spans="1:17">
      <c r="A678">
        <f t="shared" si="20"/>
        <v>164</v>
      </c>
      <c r="B678" t="s">
        <v>879</v>
      </c>
      <c r="C678" t="s">
        <v>1103</v>
      </c>
      <c r="D678" t="s">
        <v>1216</v>
      </c>
      <c r="E678">
        <v>27</v>
      </c>
      <c r="F678" t="s">
        <v>244</v>
      </c>
      <c r="G678" t="s">
        <v>30</v>
      </c>
      <c r="H678" t="s">
        <v>881</v>
      </c>
      <c r="I678" t="s">
        <v>889</v>
      </c>
      <c r="J678" t="s">
        <v>263</v>
      </c>
      <c r="K678">
        <v>1</v>
      </c>
      <c r="L678">
        <v>5</v>
      </c>
      <c r="M678">
        <v>2</v>
      </c>
      <c r="P678" t="s">
        <v>894</v>
      </c>
      <c r="Q678" t="b">
        <f t="shared" si="21"/>
        <v>0</v>
      </c>
    </row>
    <row r="679" spans="1:17">
      <c r="A679">
        <f t="shared" si="20"/>
        <v>164</v>
      </c>
      <c r="B679" t="s">
        <v>879</v>
      </c>
      <c r="C679" t="s">
        <v>1103</v>
      </c>
      <c r="D679" t="s">
        <v>1216</v>
      </c>
      <c r="E679">
        <v>27</v>
      </c>
      <c r="F679" t="s">
        <v>244</v>
      </c>
      <c r="G679" t="s">
        <v>30</v>
      </c>
      <c r="H679" t="s">
        <v>881</v>
      </c>
      <c r="I679" t="s">
        <v>890</v>
      </c>
      <c r="J679" t="s">
        <v>263</v>
      </c>
      <c r="K679">
        <v>1</v>
      </c>
      <c r="L679" t="s">
        <v>278</v>
      </c>
      <c r="M679" t="s">
        <v>278</v>
      </c>
      <c r="P679" t="s">
        <v>894</v>
      </c>
      <c r="Q679" t="b">
        <f t="shared" si="21"/>
        <v>0</v>
      </c>
    </row>
    <row r="680" spans="1:17">
      <c r="A680">
        <f t="shared" si="20"/>
        <v>164</v>
      </c>
      <c r="B680" t="s">
        <v>879</v>
      </c>
      <c r="C680" t="s">
        <v>1103</v>
      </c>
      <c r="D680" t="s">
        <v>1216</v>
      </c>
      <c r="E680">
        <v>27</v>
      </c>
      <c r="F680" t="s">
        <v>244</v>
      </c>
      <c r="G680" t="s">
        <v>30</v>
      </c>
      <c r="H680" t="s">
        <v>881</v>
      </c>
      <c r="I680" t="s">
        <v>891</v>
      </c>
      <c r="J680" t="s">
        <v>256</v>
      </c>
      <c r="K680">
        <v>30</v>
      </c>
      <c r="L680">
        <v>5</v>
      </c>
      <c r="M680">
        <v>2</v>
      </c>
      <c r="P680" t="s">
        <v>894</v>
      </c>
      <c r="Q680" t="b">
        <f t="shared" si="21"/>
        <v>0</v>
      </c>
    </row>
    <row r="681" spans="1:17">
      <c r="A681">
        <f t="shared" si="20"/>
        <v>164</v>
      </c>
      <c r="B681" t="s">
        <v>879</v>
      </c>
      <c r="C681" t="s">
        <v>1103</v>
      </c>
      <c r="D681" t="s">
        <v>1216</v>
      </c>
      <c r="E681">
        <v>27</v>
      </c>
      <c r="F681" t="s">
        <v>244</v>
      </c>
      <c r="G681" t="s">
        <v>30</v>
      </c>
      <c r="H681" t="s">
        <v>881</v>
      </c>
      <c r="I681" t="s">
        <v>891</v>
      </c>
      <c r="J681" t="s">
        <v>263</v>
      </c>
      <c r="K681">
        <v>1</v>
      </c>
      <c r="L681">
        <v>5</v>
      </c>
      <c r="M681">
        <v>2</v>
      </c>
      <c r="P681" t="s">
        <v>894</v>
      </c>
      <c r="Q681" t="b">
        <f t="shared" si="21"/>
        <v>0</v>
      </c>
    </row>
    <row r="682" spans="1:17">
      <c r="A682">
        <f t="shared" si="20"/>
        <v>164</v>
      </c>
      <c r="B682" t="s">
        <v>879</v>
      </c>
      <c r="C682" t="s">
        <v>1103</v>
      </c>
      <c r="D682" t="s">
        <v>1216</v>
      </c>
      <c r="E682">
        <v>27</v>
      </c>
      <c r="F682" t="s">
        <v>244</v>
      </c>
      <c r="G682" t="s">
        <v>30</v>
      </c>
      <c r="H682" t="s">
        <v>881</v>
      </c>
      <c r="I682" t="s">
        <v>892</v>
      </c>
      <c r="J682" t="s">
        <v>245</v>
      </c>
      <c r="K682">
        <v>800</v>
      </c>
      <c r="L682">
        <v>6</v>
      </c>
      <c r="M682">
        <v>2</v>
      </c>
      <c r="P682" t="s">
        <v>894</v>
      </c>
      <c r="Q682" t="b">
        <f t="shared" si="21"/>
        <v>0</v>
      </c>
    </row>
    <row r="683" spans="1:17">
      <c r="A683">
        <f t="shared" si="20"/>
        <v>164</v>
      </c>
      <c r="B683" t="s">
        <v>879</v>
      </c>
      <c r="C683" t="s">
        <v>1103</v>
      </c>
      <c r="D683" t="s">
        <v>1216</v>
      </c>
      <c r="E683">
        <v>27</v>
      </c>
      <c r="F683" t="s">
        <v>244</v>
      </c>
      <c r="G683" t="s">
        <v>30</v>
      </c>
      <c r="H683" t="s">
        <v>881</v>
      </c>
      <c r="I683" t="s">
        <v>892</v>
      </c>
      <c r="J683" t="s">
        <v>263</v>
      </c>
      <c r="K683">
        <v>1</v>
      </c>
      <c r="L683">
        <v>6</v>
      </c>
      <c r="M683">
        <v>2</v>
      </c>
      <c r="P683" t="s">
        <v>894</v>
      </c>
      <c r="Q683" t="b">
        <f t="shared" si="21"/>
        <v>0</v>
      </c>
    </row>
    <row r="684" spans="1:17">
      <c r="A684">
        <f t="shared" si="20"/>
        <v>164</v>
      </c>
      <c r="B684" t="s">
        <v>879</v>
      </c>
      <c r="C684" t="s">
        <v>1103</v>
      </c>
      <c r="D684" t="s">
        <v>1216</v>
      </c>
      <c r="E684">
        <v>27</v>
      </c>
      <c r="F684" t="s">
        <v>244</v>
      </c>
      <c r="G684" t="s">
        <v>30</v>
      </c>
      <c r="H684" t="s">
        <v>881</v>
      </c>
      <c r="I684" t="s">
        <v>893</v>
      </c>
      <c r="J684" t="s">
        <v>245</v>
      </c>
      <c r="K684">
        <v>800</v>
      </c>
      <c r="L684">
        <v>6</v>
      </c>
      <c r="M684">
        <v>2</v>
      </c>
      <c r="P684" t="s">
        <v>894</v>
      </c>
      <c r="Q684" t="b">
        <f t="shared" si="21"/>
        <v>0</v>
      </c>
    </row>
    <row r="685" spans="1:17">
      <c r="A685">
        <f t="shared" si="20"/>
        <v>164</v>
      </c>
      <c r="B685" t="s">
        <v>879</v>
      </c>
      <c r="C685" t="s">
        <v>1103</v>
      </c>
      <c r="D685" t="s">
        <v>1216</v>
      </c>
      <c r="E685">
        <v>27</v>
      </c>
      <c r="F685" t="s">
        <v>244</v>
      </c>
      <c r="G685" t="s">
        <v>30</v>
      </c>
      <c r="H685" t="s">
        <v>881</v>
      </c>
      <c r="I685" t="s">
        <v>893</v>
      </c>
      <c r="J685" t="s">
        <v>263</v>
      </c>
      <c r="K685">
        <v>1</v>
      </c>
      <c r="L685">
        <v>6</v>
      </c>
      <c r="M685">
        <v>2</v>
      </c>
      <c r="P685" t="s">
        <v>894</v>
      </c>
      <c r="Q685" t="b">
        <f t="shared" si="21"/>
        <v>0</v>
      </c>
    </row>
    <row r="686" spans="1:17">
      <c r="A686">
        <f t="shared" si="20"/>
        <v>164</v>
      </c>
      <c r="B686" t="s">
        <v>879</v>
      </c>
      <c r="C686" t="s">
        <v>1103</v>
      </c>
      <c r="D686" t="s">
        <v>1216</v>
      </c>
      <c r="E686">
        <v>27</v>
      </c>
      <c r="F686" t="s">
        <v>244</v>
      </c>
      <c r="G686" t="s">
        <v>30</v>
      </c>
      <c r="H686" t="s">
        <v>881</v>
      </c>
      <c r="I686" t="s">
        <v>880</v>
      </c>
      <c r="J686" t="s">
        <v>245</v>
      </c>
      <c r="K686">
        <v>800</v>
      </c>
      <c r="L686">
        <v>6</v>
      </c>
      <c r="M686">
        <v>0</v>
      </c>
      <c r="P686" t="s">
        <v>894</v>
      </c>
      <c r="Q686" t="b">
        <f t="shared" si="21"/>
        <v>0</v>
      </c>
    </row>
    <row r="687" spans="1:17">
      <c r="A687">
        <f t="shared" si="20"/>
        <v>164</v>
      </c>
      <c r="B687" t="s">
        <v>879</v>
      </c>
      <c r="C687" t="s">
        <v>1103</v>
      </c>
      <c r="D687" t="s">
        <v>1216</v>
      </c>
      <c r="E687">
        <v>27</v>
      </c>
      <c r="F687" t="s">
        <v>244</v>
      </c>
      <c r="G687" t="s">
        <v>30</v>
      </c>
      <c r="H687" t="s">
        <v>881</v>
      </c>
      <c r="I687" t="s">
        <v>880</v>
      </c>
      <c r="J687" t="s">
        <v>263</v>
      </c>
      <c r="K687">
        <v>1</v>
      </c>
      <c r="L687">
        <v>6</v>
      </c>
      <c r="M687">
        <v>0</v>
      </c>
      <c r="P687" t="s">
        <v>894</v>
      </c>
      <c r="Q687" t="b">
        <f t="shared" si="21"/>
        <v>0</v>
      </c>
    </row>
    <row r="688" spans="1:17">
      <c r="A688">
        <f t="shared" si="20"/>
        <v>165</v>
      </c>
      <c r="B688" t="s">
        <v>895</v>
      </c>
      <c r="C688" t="s">
        <v>1104</v>
      </c>
      <c r="D688" t="s">
        <v>1217</v>
      </c>
      <c r="E688">
        <v>27</v>
      </c>
      <c r="F688" t="s">
        <v>113</v>
      </c>
      <c r="G688" t="s">
        <v>30</v>
      </c>
      <c r="H688" t="s">
        <v>897</v>
      </c>
      <c r="I688" t="s">
        <v>898</v>
      </c>
      <c r="J688" t="s">
        <v>256</v>
      </c>
      <c r="K688">
        <v>30</v>
      </c>
      <c r="L688">
        <v>1</v>
      </c>
      <c r="M688">
        <v>0</v>
      </c>
      <c r="P688" t="s">
        <v>906</v>
      </c>
      <c r="Q688" t="b">
        <f t="shared" si="21"/>
        <v>1</v>
      </c>
    </row>
    <row r="689" spans="1:17">
      <c r="A689">
        <f t="shared" si="20"/>
        <v>165</v>
      </c>
      <c r="B689" t="s">
        <v>895</v>
      </c>
      <c r="C689" t="s">
        <v>1104</v>
      </c>
      <c r="D689" t="s">
        <v>1217</v>
      </c>
      <c r="E689">
        <v>27</v>
      </c>
      <c r="F689" t="s">
        <v>113</v>
      </c>
      <c r="G689" t="s">
        <v>30</v>
      </c>
      <c r="H689" t="s">
        <v>897</v>
      </c>
      <c r="I689" t="s">
        <v>899</v>
      </c>
      <c r="J689" t="s">
        <v>256</v>
      </c>
      <c r="K689">
        <v>30</v>
      </c>
      <c r="L689">
        <v>1</v>
      </c>
      <c r="M689">
        <v>1</v>
      </c>
      <c r="P689" t="s">
        <v>906</v>
      </c>
      <c r="Q689" t="b">
        <f t="shared" si="21"/>
        <v>1</v>
      </c>
    </row>
    <row r="690" spans="1:17">
      <c r="A690">
        <f t="shared" si="20"/>
        <v>165</v>
      </c>
      <c r="B690" t="s">
        <v>895</v>
      </c>
      <c r="C690" t="s">
        <v>1104</v>
      </c>
      <c r="D690" t="s">
        <v>1217</v>
      </c>
      <c r="E690">
        <v>27</v>
      </c>
      <c r="F690" t="s">
        <v>113</v>
      </c>
      <c r="G690" t="s">
        <v>30</v>
      </c>
      <c r="H690" t="s">
        <v>897</v>
      </c>
      <c r="I690" t="s">
        <v>900</v>
      </c>
      <c r="J690" t="s">
        <v>256</v>
      </c>
      <c r="K690">
        <v>30</v>
      </c>
      <c r="L690">
        <v>2</v>
      </c>
      <c r="M690">
        <v>1</v>
      </c>
      <c r="P690" t="s">
        <v>906</v>
      </c>
      <c r="Q690" t="b">
        <f t="shared" si="21"/>
        <v>1</v>
      </c>
    </row>
    <row r="691" spans="1:17">
      <c r="A691">
        <f t="shared" si="20"/>
        <v>165</v>
      </c>
      <c r="B691" t="s">
        <v>895</v>
      </c>
      <c r="C691" t="s">
        <v>1104</v>
      </c>
      <c r="D691" t="s">
        <v>1217</v>
      </c>
      <c r="E691">
        <v>27</v>
      </c>
      <c r="F691" t="s">
        <v>113</v>
      </c>
      <c r="G691" t="s">
        <v>30</v>
      </c>
      <c r="H691" t="s">
        <v>897</v>
      </c>
      <c r="I691" t="s">
        <v>901</v>
      </c>
      <c r="J691" t="s">
        <v>256</v>
      </c>
      <c r="K691">
        <v>30</v>
      </c>
      <c r="L691">
        <v>4</v>
      </c>
      <c r="M691">
        <v>0</v>
      </c>
      <c r="P691" t="s">
        <v>906</v>
      </c>
      <c r="Q691" t="b">
        <f t="shared" si="21"/>
        <v>1</v>
      </c>
    </row>
    <row r="692" spans="1:17">
      <c r="A692">
        <f t="shared" si="20"/>
        <v>165</v>
      </c>
      <c r="B692" t="s">
        <v>895</v>
      </c>
      <c r="C692" t="s">
        <v>1104</v>
      </c>
      <c r="D692" t="s">
        <v>1217</v>
      </c>
      <c r="E692">
        <v>27</v>
      </c>
      <c r="F692" t="s">
        <v>113</v>
      </c>
      <c r="G692" t="s">
        <v>30</v>
      </c>
      <c r="H692" t="s">
        <v>897</v>
      </c>
      <c r="I692" t="s">
        <v>902</v>
      </c>
      <c r="J692" t="s">
        <v>263</v>
      </c>
      <c r="K692">
        <v>2</v>
      </c>
      <c r="L692">
        <v>4</v>
      </c>
      <c r="M692">
        <v>0</v>
      </c>
      <c r="P692" t="s">
        <v>906</v>
      </c>
      <c r="Q692" t="b">
        <f t="shared" si="21"/>
        <v>1</v>
      </c>
    </row>
    <row r="693" spans="1:17">
      <c r="A693">
        <f t="shared" si="20"/>
        <v>165</v>
      </c>
      <c r="B693" t="s">
        <v>895</v>
      </c>
      <c r="C693" t="s">
        <v>1104</v>
      </c>
      <c r="D693" t="s">
        <v>1217</v>
      </c>
      <c r="E693">
        <v>27</v>
      </c>
      <c r="F693" t="s">
        <v>113</v>
      </c>
      <c r="G693" t="s">
        <v>30</v>
      </c>
      <c r="H693" t="s">
        <v>897</v>
      </c>
      <c r="I693" t="s">
        <v>903</v>
      </c>
      <c r="J693" t="s">
        <v>256</v>
      </c>
      <c r="K693">
        <v>30</v>
      </c>
      <c r="L693">
        <v>3</v>
      </c>
      <c r="M693">
        <v>0</v>
      </c>
      <c r="P693" t="s">
        <v>906</v>
      </c>
      <c r="Q693" t="b">
        <f t="shared" si="21"/>
        <v>1</v>
      </c>
    </row>
    <row r="694" spans="1:17">
      <c r="A694">
        <f t="shared" si="20"/>
        <v>165</v>
      </c>
      <c r="B694" t="s">
        <v>895</v>
      </c>
      <c r="C694" t="s">
        <v>1104</v>
      </c>
      <c r="D694" t="s">
        <v>1217</v>
      </c>
      <c r="E694">
        <v>27</v>
      </c>
      <c r="F694" t="s">
        <v>113</v>
      </c>
      <c r="G694" t="s">
        <v>30</v>
      </c>
      <c r="H694" t="s">
        <v>897</v>
      </c>
      <c r="I694" t="s">
        <v>904</v>
      </c>
      <c r="J694" t="s">
        <v>245</v>
      </c>
      <c r="K694">
        <v>800</v>
      </c>
      <c r="L694">
        <v>6</v>
      </c>
      <c r="M694">
        <v>0</v>
      </c>
      <c r="P694" t="s">
        <v>906</v>
      </c>
      <c r="Q694" t="b">
        <f t="shared" si="21"/>
        <v>1</v>
      </c>
    </row>
    <row r="695" spans="1:17">
      <c r="A695">
        <f t="shared" si="20"/>
        <v>165</v>
      </c>
      <c r="B695" t="s">
        <v>895</v>
      </c>
      <c r="C695" t="s">
        <v>1104</v>
      </c>
      <c r="D695" t="s">
        <v>1217</v>
      </c>
      <c r="E695">
        <v>27</v>
      </c>
      <c r="F695" t="s">
        <v>113</v>
      </c>
      <c r="G695" t="s">
        <v>30</v>
      </c>
      <c r="H695" t="s">
        <v>897</v>
      </c>
      <c r="I695" t="s">
        <v>904</v>
      </c>
      <c r="J695" t="s">
        <v>263</v>
      </c>
      <c r="K695">
        <v>2</v>
      </c>
      <c r="L695">
        <v>6</v>
      </c>
      <c r="M695">
        <v>0</v>
      </c>
      <c r="P695" t="s">
        <v>906</v>
      </c>
      <c r="Q695" t="b">
        <f t="shared" si="21"/>
        <v>1</v>
      </c>
    </row>
    <row r="696" spans="1:17">
      <c r="A696">
        <f t="shared" si="20"/>
        <v>165</v>
      </c>
      <c r="B696" t="s">
        <v>895</v>
      </c>
      <c r="C696" t="s">
        <v>1104</v>
      </c>
      <c r="D696" t="s">
        <v>1217</v>
      </c>
      <c r="E696">
        <v>27</v>
      </c>
      <c r="F696" t="s">
        <v>113</v>
      </c>
      <c r="G696" t="s">
        <v>30</v>
      </c>
      <c r="H696" t="s">
        <v>897</v>
      </c>
      <c r="I696" t="s">
        <v>905</v>
      </c>
      <c r="J696" t="s">
        <v>245</v>
      </c>
      <c r="K696">
        <v>800</v>
      </c>
      <c r="L696">
        <v>4</v>
      </c>
      <c r="M696">
        <v>2</v>
      </c>
      <c r="P696" t="s">
        <v>906</v>
      </c>
      <c r="Q696" t="b">
        <f t="shared" si="21"/>
        <v>1</v>
      </c>
    </row>
    <row r="697" spans="1:17">
      <c r="A697">
        <f t="shared" si="20"/>
        <v>165</v>
      </c>
      <c r="B697" t="s">
        <v>895</v>
      </c>
      <c r="C697" t="s">
        <v>1104</v>
      </c>
      <c r="D697" t="s">
        <v>1217</v>
      </c>
      <c r="E697">
        <v>27</v>
      </c>
      <c r="F697" t="s">
        <v>113</v>
      </c>
      <c r="G697" t="s">
        <v>30</v>
      </c>
      <c r="H697" t="s">
        <v>897</v>
      </c>
      <c r="I697" t="s">
        <v>896</v>
      </c>
      <c r="J697" t="s">
        <v>263</v>
      </c>
      <c r="K697">
        <v>1</v>
      </c>
      <c r="L697">
        <v>6</v>
      </c>
      <c r="M697">
        <v>0</v>
      </c>
      <c r="P697" t="s">
        <v>906</v>
      </c>
      <c r="Q697" t="b">
        <f t="shared" si="21"/>
        <v>1</v>
      </c>
    </row>
    <row r="698" spans="1:17">
      <c r="A698">
        <f t="shared" si="20"/>
        <v>166</v>
      </c>
      <c r="B698" t="s">
        <v>910</v>
      </c>
      <c r="C698" t="s">
        <v>1105</v>
      </c>
      <c r="D698" t="s">
        <v>1218</v>
      </c>
      <c r="E698">
        <v>36</v>
      </c>
      <c r="F698" t="s">
        <v>244</v>
      </c>
      <c r="G698" t="s">
        <v>30</v>
      </c>
      <c r="H698" t="s">
        <v>912</v>
      </c>
      <c r="I698" t="s">
        <v>913</v>
      </c>
      <c r="J698" t="s">
        <v>824</v>
      </c>
      <c r="K698">
        <v>1000</v>
      </c>
      <c r="L698">
        <v>4</v>
      </c>
      <c r="M698">
        <v>0</v>
      </c>
      <c r="Q698" t="b">
        <f t="shared" si="21"/>
        <v>0</v>
      </c>
    </row>
    <row r="699" spans="1:17">
      <c r="A699">
        <f t="shared" si="20"/>
        <v>166</v>
      </c>
      <c r="B699" t="s">
        <v>910</v>
      </c>
      <c r="C699" t="s">
        <v>1105</v>
      </c>
      <c r="D699" t="s">
        <v>1218</v>
      </c>
      <c r="E699">
        <v>36</v>
      </c>
      <c r="F699" t="s">
        <v>244</v>
      </c>
      <c r="G699" t="s">
        <v>30</v>
      </c>
      <c r="H699" t="s">
        <v>912</v>
      </c>
      <c r="I699" t="s">
        <v>914</v>
      </c>
      <c r="J699" t="s">
        <v>256</v>
      </c>
      <c r="K699">
        <v>30</v>
      </c>
      <c r="L699">
        <v>8</v>
      </c>
      <c r="M699">
        <v>2</v>
      </c>
      <c r="Q699" t="b">
        <f t="shared" si="21"/>
        <v>0</v>
      </c>
    </row>
    <row r="700" spans="1:17">
      <c r="A700">
        <f t="shared" si="20"/>
        <v>166</v>
      </c>
      <c r="B700" t="s">
        <v>910</v>
      </c>
      <c r="C700" t="s">
        <v>1105</v>
      </c>
      <c r="D700" t="s">
        <v>1218</v>
      </c>
      <c r="E700">
        <v>36</v>
      </c>
      <c r="F700" t="s">
        <v>244</v>
      </c>
      <c r="G700" t="s">
        <v>30</v>
      </c>
      <c r="H700" t="s">
        <v>912</v>
      </c>
      <c r="I700" t="s">
        <v>915</v>
      </c>
      <c r="J700" t="s">
        <v>256</v>
      </c>
      <c r="K700">
        <v>30</v>
      </c>
      <c r="L700">
        <v>7</v>
      </c>
      <c r="M700">
        <v>3</v>
      </c>
      <c r="Q700" t="b">
        <f t="shared" si="21"/>
        <v>0</v>
      </c>
    </row>
    <row r="701" spans="1:17">
      <c r="A701">
        <f t="shared" si="20"/>
        <v>166</v>
      </c>
      <c r="B701" t="s">
        <v>910</v>
      </c>
      <c r="C701" t="s">
        <v>1105</v>
      </c>
      <c r="D701" t="s">
        <v>1218</v>
      </c>
      <c r="E701">
        <v>36</v>
      </c>
      <c r="F701" t="s">
        <v>244</v>
      </c>
      <c r="G701" t="s">
        <v>30</v>
      </c>
      <c r="H701" t="s">
        <v>912</v>
      </c>
      <c r="I701" t="s">
        <v>916</v>
      </c>
      <c r="J701" t="s">
        <v>271</v>
      </c>
      <c r="K701">
        <v>650</v>
      </c>
      <c r="L701">
        <v>6</v>
      </c>
      <c r="M701">
        <v>5</v>
      </c>
      <c r="Q701" t="b">
        <f t="shared" si="21"/>
        <v>0</v>
      </c>
    </row>
    <row r="702" spans="1:17">
      <c r="A702">
        <f t="shared" si="20"/>
        <v>166</v>
      </c>
      <c r="B702" t="s">
        <v>910</v>
      </c>
      <c r="C702" t="s">
        <v>1105</v>
      </c>
      <c r="D702" t="s">
        <v>1218</v>
      </c>
      <c r="E702">
        <v>36</v>
      </c>
      <c r="F702" t="s">
        <v>244</v>
      </c>
      <c r="G702" t="s">
        <v>30</v>
      </c>
      <c r="H702" t="s">
        <v>912</v>
      </c>
      <c r="I702" t="s">
        <v>917</v>
      </c>
      <c r="J702" t="s">
        <v>256</v>
      </c>
      <c r="K702">
        <v>30</v>
      </c>
      <c r="L702">
        <v>6</v>
      </c>
      <c r="M702">
        <v>3</v>
      </c>
      <c r="Q702" t="b">
        <f t="shared" si="21"/>
        <v>0</v>
      </c>
    </row>
    <row r="703" spans="1:17">
      <c r="A703">
        <f t="shared" si="20"/>
        <v>166</v>
      </c>
      <c r="B703" t="s">
        <v>910</v>
      </c>
      <c r="C703" t="s">
        <v>1105</v>
      </c>
      <c r="D703" t="s">
        <v>1218</v>
      </c>
      <c r="E703">
        <v>36</v>
      </c>
      <c r="F703" t="s">
        <v>244</v>
      </c>
      <c r="G703" t="s">
        <v>30</v>
      </c>
      <c r="H703" t="s">
        <v>912</v>
      </c>
      <c r="I703" t="s">
        <v>918</v>
      </c>
      <c r="J703" t="s">
        <v>263</v>
      </c>
      <c r="K703">
        <v>1</v>
      </c>
      <c r="L703">
        <v>7</v>
      </c>
      <c r="M703">
        <v>6</v>
      </c>
      <c r="Q703" t="b">
        <f t="shared" si="21"/>
        <v>0</v>
      </c>
    </row>
    <row r="704" spans="1:17">
      <c r="A704">
        <f t="shared" si="20"/>
        <v>166</v>
      </c>
      <c r="B704" t="s">
        <v>910</v>
      </c>
      <c r="C704" t="s">
        <v>1105</v>
      </c>
      <c r="D704" t="s">
        <v>1218</v>
      </c>
      <c r="E704">
        <v>36</v>
      </c>
      <c r="F704" t="s">
        <v>244</v>
      </c>
      <c r="G704" t="s">
        <v>30</v>
      </c>
      <c r="H704" t="s">
        <v>912</v>
      </c>
      <c r="I704" t="s">
        <v>919</v>
      </c>
      <c r="J704" t="s">
        <v>256</v>
      </c>
      <c r="K704">
        <v>30</v>
      </c>
      <c r="L704">
        <v>6</v>
      </c>
      <c r="M704">
        <v>4</v>
      </c>
      <c r="Q704" t="b">
        <f t="shared" si="21"/>
        <v>0</v>
      </c>
    </row>
    <row r="705" spans="1:17">
      <c r="A705">
        <f t="shared" si="20"/>
        <v>166</v>
      </c>
      <c r="B705" t="s">
        <v>910</v>
      </c>
      <c r="C705" t="s">
        <v>1105</v>
      </c>
      <c r="D705" t="s">
        <v>1218</v>
      </c>
      <c r="E705">
        <v>36</v>
      </c>
      <c r="F705" t="s">
        <v>244</v>
      </c>
      <c r="G705" t="s">
        <v>30</v>
      </c>
      <c r="H705" t="s">
        <v>912</v>
      </c>
      <c r="I705" t="s">
        <v>920</v>
      </c>
      <c r="J705" t="s">
        <v>263</v>
      </c>
      <c r="K705">
        <v>1</v>
      </c>
      <c r="L705">
        <v>6</v>
      </c>
      <c r="M705">
        <v>4</v>
      </c>
      <c r="Q705" t="b">
        <f t="shared" si="21"/>
        <v>0</v>
      </c>
    </row>
    <row r="706" spans="1:17">
      <c r="A706">
        <f t="shared" ref="A706:A769" si="22">IF(ROW()=2,1,IF(B706=B705,A705,A705+1))</f>
        <v>166</v>
      </c>
      <c r="B706" t="s">
        <v>910</v>
      </c>
      <c r="C706" t="s">
        <v>1105</v>
      </c>
      <c r="D706" t="s">
        <v>1218</v>
      </c>
      <c r="E706">
        <v>36</v>
      </c>
      <c r="F706" t="s">
        <v>244</v>
      </c>
      <c r="G706" t="s">
        <v>30</v>
      </c>
      <c r="H706" t="s">
        <v>912</v>
      </c>
      <c r="I706" t="s">
        <v>921</v>
      </c>
      <c r="J706" t="s">
        <v>245</v>
      </c>
      <c r="K706">
        <v>800</v>
      </c>
      <c r="L706">
        <v>9</v>
      </c>
      <c r="M706">
        <v>4</v>
      </c>
      <c r="Q706" t="b">
        <f t="shared" ref="Q706:Q769" si="23">ISODD(A706)</f>
        <v>0</v>
      </c>
    </row>
    <row r="707" spans="1:17">
      <c r="A707">
        <f t="shared" si="22"/>
        <v>166</v>
      </c>
      <c r="B707" t="s">
        <v>910</v>
      </c>
      <c r="C707" t="s">
        <v>1105</v>
      </c>
      <c r="D707" t="s">
        <v>1218</v>
      </c>
      <c r="E707">
        <v>36</v>
      </c>
      <c r="F707" t="s">
        <v>244</v>
      </c>
      <c r="G707" t="s">
        <v>30</v>
      </c>
      <c r="H707" t="s">
        <v>912</v>
      </c>
      <c r="I707" t="s">
        <v>921</v>
      </c>
      <c r="J707" t="s">
        <v>263</v>
      </c>
      <c r="K707">
        <v>1</v>
      </c>
      <c r="L707">
        <v>9</v>
      </c>
      <c r="M707">
        <v>4</v>
      </c>
      <c r="Q707" t="b">
        <f t="shared" si="23"/>
        <v>0</v>
      </c>
    </row>
    <row r="708" spans="1:17">
      <c r="A708">
        <f t="shared" si="22"/>
        <v>166</v>
      </c>
      <c r="B708" t="s">
        <v>910</v>
      </c>
      <c r="C708" t="s">
        <v>1105</v>
      </c>
      <c r="D708" t="s">
        <v>1218</v>
      </c>
      <c r="E708">
        <v>36</v>
      </c>
      <c r="F708" t="s">
        <v>244</v>
      </c>
      <c r="G708" t="s">
        <v>30</v>
      </c>
      <c r="H708" t="s">
        <v>912</v>
      </c>
      <c r="I708" t="s">
        <v>922</v>
      </c>
      <c r="J708" t="s">
        <v>263</v>
      </c>
      <c r="K708">
        <v>2</v>
      </c>
      <c r="L708">
        <v>6</v>
      </c>
      <c r="M708">
        <v>0</v>
      </c>
      <c r="Q708" t="b">
        <f t="shared" si="23"/>
        <v>0</v>
      </c>
    </row>
    <row r="709" spans="1:17">
      <c r="A709">
        <f t="shared" si="22"/>
        <v>166</v>
      </c>
      <c r="B709" t="s">
        <v>910</v>
      </c>
      <c r="C709" t="s">
        <v>1105</v>
      </c>
      <c r="D709" t="s">
        <v>1218</v>
      </c>
      <c r="E709">
        <v>36</v>
      </c>
      <c r="F709" t="s">
        <v>244</v>
      </c>
      <c r="G709" t="s">
        <v>30</v>
      </c>
      <c r="H709" t="s">
        <v>912</v>
      </c>
      <c r="I709" t="s">
        <v>923</v>
      </c>
      <c r="J709" t="s">
        <v>245</v>
      </c>
      <c r="K709">
        <v>800</v>
      </c>
      <c r="L709">
        <v>9</v>
      </c>
      <c r="M709">
        <v>6</v>
      </c>
      <c r="Q709" t="b">
        <f t="shared" si="23"/>
        <v>0</v>
      </c>
    </row>
    <row r="710" spans="1:17">
      <c r="A710">
        <f t="shared" si="22"/>
        <v>166</v>
      </c>
      <c r="B710" t="s">
        <v>910</v>
      </c>
      <c r="C710" t="s">
        <v>1105</v>
      </c>
      <c r="D710" t="s">
        <v>1218</v>
      </c>
      <c r="E710">
        <v>36</v>
      </c>
      <c r="F710" t="s">
        <v>244</v>
      </c>
      <c r="G710" t="s">
        <v>30</v>
      </c>
      <c r="H710" t="s">
        <v>912</v>
      </c>
      <c r="I710" t="s">
        <v>923</v>
      </c>
      <c r="J710" t="s">
        <v>263</v>
      </c>
      <c r="K710">
        <v>2</v>
      </c>
      <c r="L710">
        <v>9</v>
      </c>
      <c r="M710">
        <v>6</v>
      </c>
      <c r="Q710" t="b">
        <f t="shared" si="23"/>
        <v>0</v>
      </c>
    </row>
    <row r="711" spans="1:17">
      <c r="A711">
        <f t="shared" si="22"/>
        <v>166</v>
      </c>
      <c r="B711" t="s">
        <v>910</v>
      </c>
      <c r="C711" t="s">
        <v>1105</v>
      </c>
      <c r="D711" t="s">
        <v>1218</v>
      </c>
      <c r="E711">
        <v>36</v>
      </c>
      <c r="F711" t="s">
        <v>244</v>
      </c>
      <c r="G711" t="s">
        <v>30</v>
      </c>
      <c r="H711" t="s">
        <v>912</v>
      </c>
      <c r="I711" t="s">
        <v>924</v>
      </c>
      <c r="J711" t="s">
        <v>263</v>
      </c>
      <c r="K711">
        <v>2</v>
      </c>
      <c r="L711">
        <v>7</v>
      </c>
      <c r="M711">
        <v>4</v>
      </c>
      <c r="Q711" t="b">
        <f t="shared" si="23"/>
        <v>0</v>
      </c>
    </row>
    <row r="712" spans="1:17">
      <c r="A712">
        <f t="shared" si="22"/>
        <v>166</v>
      </c>
      <c r="B712" t="s">
        <v>910</v>
      </c>
      <c r="C712" t="s">
        <v>1105</v>
      </c>
      <c r="D712" t="s">
        <v>1218</v>
      </c>
      <c r="E712">
        <v>36</v>
      </c>
      <c r="F712" t="s">
        <v>244</v>
      </c>
      <c r="G712" t="s">
        <v>30</v>
      </c>
      <c r="H712" t="s">
        <v>912</v>
      </c>
      <c r="I712" t="s">
        <v>925</v>
      </c>
      <c r="J712" t="s">
        <v>245</v>
      </c>
      <c r="K712">
        <v>800</v>
      </c>
      <c r="L712">
        <v>4</v>
      </c>
      <c r="M712">
        <v>0</v>
      </c>
      <c r="Q712" t="b">
        <f t="shared" si="23"/>
        <v>0</v>
      </c>
    </row>
    <row r="713" spans="1:17">
      <c r="A713">
        <f t="shared" si="22"/>
        <v>166</v>
      </c>
      <c r="B713" t="s">
        <v>910</v>
      </c>
      <c r="C713" t="s">
        <v>1105</v>
      </c>
      <c r="D713" t="s">
        <v>1218</v>
      </c>
      <c r="E713">
        <v>36</v>
      </c>
      <c r="F713" t="s">
        <v>244</v>
      </c>
      <c r="G713" t="s">
        <v>30</v>
      </c>
      <c r="H713" t="s">
        <v>912</v>
      </c>
      <c r="I713" t="s">
        <v>926</v>
      </c>
      <c r="J713" t="s">
        <v>263</v>
      </c>
      <c r="K713">
        <v>2</v>
      </c>
      <c r="L713">
        <v>5</v>
      </c>
      <c r="M713">
        <v>3</v>
      </c>
      <c r="Q713" t="b">
        <f t="shared" si="23"/>
        <v>0</v>
      </c>
    </row>
    <row r="714" spans="1:17">
      <c r="A714">
        <f t="shared" si="22"/>
        <v>166</v>
      </c>
      <c r="B714" t="s">
        <v>910</v>
      </c>
      <c r="C714" t="s">
        <v>1105</v>
      </c>
      <c r="D714" t="s">
        <v>1218</v>
      </c>
      <c r="E714">
        <v>36</v>
      </c>
      <c r="F714" t="s">
        <v>244</v>
      </c>
      <c r="G714" t="s">
        <v>30</v>
      </c>
      <c r="H714" t="s">
        <v>912</v>
      </c>
      <c r="I714" t="s">
        <v>927</v>
      </c>
      <c r="J714" t="s">
        <v>263</v>
      </c>
      <c r="K714">
        <v>2</v>
      </c>
      <c r="L714">
        <v>8</v>
      </c>
      <c r="M714">
        <v>8</v>
      </c>
      <c r="Q714" t="b">
        <f t="shared" si="23"/>
        <v>0</v>
      </c>
    </row>
    <row r="715" spans="1:17">
      <c r="A715">
        <f t="shared" si="22"/>
        <v>166</v>
      </c>
      <c r="B715" t="s">
        <v>910</v>
      </c>
      <c r="C715" t="s">
        <v>1105</v>
      </c>
      <c r="D715" t="s">
        <v>1218</v>
      </c>
      <c r="E715">
        <v>36</v>
      </c>
      <c r="F715" t="s">
        <v>244</v>
      </c>
      <c r="G715" t="s">
        <v>30</v>
      </c>
      <c r="H715" t="s">
        <v>912</v>
      </c>
      <c r="I715" t="s">
        <v>928</v>
      </c>
      <c r="J715" t="s">
        <v>245</v>
      </c>
      <c r="K715">
        <v>800</v>
      </c>
      <c r="L715">
        <v>8</v>
      </c>
      <c r="M715">
        <v>4</v>
      </c>
      <c r="Q715" t="b">
        <f t="shared" si="23"/>
        <v>0</v>
      </c>
    </row>
    <row r="716" spans="1:17">
      <c r="A716">
        <f t="shared" si="22"/>
        <v>166</v>
      </c>
      <c r="B716" t="s">
        <v>910</v>
      </c>
      <c r="C716" t="s">
        <v>1105</v>
      </c>
      <c r="D716" t="s">
        <v>1218</v>
      </c>
      <c r="E716">
        <v>36</v>
      </c>
      <c r="F716" t="s">
        <v>244</v>
      </c>
      <c r="G716" t="s">
        <v>30</v>
      </c>
      <c r="H716" t="s">
        <v>912</v>
      </c>
      <c r="I716" t="s">
        <v>911</v>
      </c>
      <c r="J716" t="s">
        <v>263</v>
      </c>
      <c r="K716">
        <v>2</v>
      </c>
      <c r="L716">
        <v>2</v>
      </c>
      <c r="M716">
        <v>4</v>
      </c>
      <c r="Q716" t="b">
        <f t="shared" si="23"/>
        <v>0</v>
      </c>
    </row>
    <row r="717" spans="1:17">
      <c r="A717">
        <f t="shared" si="22"/>
        <v>167</v>
      </c>
      <c r="B717" t="s">
        <v>929</v>
      </c>
      <c r="C717" t="s">
        <v>982</v>
      </c>
      <c r="D717" t="s">
        <v>1219</v>
      </c>
      <c r="E717">
        <v>42</v>
      </c>
      <c r="F717" t="s">
        <v>14</v>
      </c>
      <c r="G717" t="s">
        <v>30</v>
      </c>
      <c r="H717" t="s">
        <v>931</v>
      </c>
      <c r="I717" t="s">
        <v>932</v>
      </c>
      <c r="J717" t="s">
        <v>256</v>
      </c>
      <c r="K717">
        <v>30</v>
      </c>
      <c r="L717">
        <v>4</v>
      </c>
      <c r="M717">
        <v>0</v>
      </c>
      <c r="Q717" t="b">
        <f t="shared" si="23"/>
        <v>1</v>
      </c>
    </row>
    <row r="718" spans="1:17">
      <c r="A718">
        <f t="shared" si="22"/>
        <v>167</v>
      </c>
      <c r="B718" t="s">
        <v>929</v>
      </c>
      <c r="C718" t="s">
        <v>982</v>
      </c>
      <c r="D718" t="s">
        <v>1219</v>
      </c>
      <c r="E718">
        <v>42</v>
      </c>
      <c r="F718" t="s">
        <v>14</v>
      </c>
      <c r="G718" t="s">
        <v>30</v>
      </c>
      <c r="H718" t="s">
        <v>931</v>
      </c>
      <c r="I718" t="s">
        <v>933</v>
      </c>
      <c r="J718" t="s">
        <v>256</v>
      </c>
      <c r="K718">
        <v>30</v>
      </c>
      <c r="L718">
        <v>0</v>
      </c>
      <c r="M718">
        <v>0</v>
      </c>
      <c r="Q718" t="b">
        <f t="shared" si="23"/>
        <v>1</v>
      </c>
    </row>
    <row r="719" spans="1:17">
      <c r="A719">
        <f t="shared" si="22"/>
        <v>167</v>
      </c>
      <c r="B719" t="s">
        <v>929</v>
      </c>
      <c r="C719" t="s">
        <v>982</v>
      </c>
      <c r="D719" t="s">
        <v>1219</v>
      </c>
      <c r="E719">
        <v>42</v>
      </c>
      <c r="F719" t="s">
        <v>14</v>
      </c>
      <c r="G719" t="s">
        <v>30</v>
      </c>
      <c r="H719" t="s">
        <v>931</v>
      </c>
      <c r="I719" t="s">
        <v>934</v>
      </c>
      <c r="J719" t="s">
        <v>256</v>
      </c>
      <c r="K719">
        <v>30</v>
      </c>
      <c r="L719">
        <v>0</v>
      </c>
      <c r="M719">
        <v>0</v>
      </c>
      <c r="Q719" t="b">
        <f t="shared" si="23"/>
        <v>1</v>
      </c>
    </row>
    <row r="720" spans="1:17">
      <c r="A720">
        <f t="shared" si="22"/>
        <v>167</v>
      </c>
      <c r="B720" t="s">
        <v>929</v>
      </c>
      <c r="C720" t="s">
        <v>982</v>
      </c>
      <c r="D720" t="s">
        <v>1219</v>
      </c>
      <c r="E720">
        <v>42</v>
      </c>
      <c r="F720" t="s">
        <v>14</v>
      </c>
      <c r="G720" t="s">
        <v>30</v>
      </c>
      <c r="H720" t="s">
        <v>931</v>
      </c>
      <c r="I720" t="s">
        <v>935</v>
      </c>
      <c r="J720" t="s">
        <v>263</v>
      </c>
      <c r="K720">
        <v>1</v>
      </c>
      <c r="L720">
        <v>6</v>
      </c>
      <c r="M720">
        <v>2</v>
      </c>
      <c r="Q720" t="b">
        <f t="shared" si="23"/>
        <v>1</v>
      </c>
    </row>
    <row r="721" spans="1:17">
      <c r="A721">
        <f t="shared" si="22"/>
        <v>167</v>
      </c>
      <c r="B721" t="s">
        <v>929</v>
      </c>
      <c r="C721" t="s">
        <v>982</v>
      </c>
      <c r="D721" t="s">
        <v>1219</v>
      </c>
      <c r="E721">
        <v>42</v>
      </c>
      <c r="F721" t="s">
        <v>14</v>
      </c>
      <c r="G721" t="s">
        <v>30</v>
      </c>
      <c r="H721" t="s">
        <v>931</v>
      </c>
      <c r="I721" t="s">
        <v>936</v>
      </c>
      <c r="J721" t="s">
        <v>256</v>
      </c>
      <c r="K721">
        <v>30</v>
      </c>
      <c r="L721">
        <v>4</v>
      </c>
      <c r="M721">
        <v>2</v>
      </c>
      <c r="Q721" t="b">
        <f t="shared" si="23"/>
        <v>1</v>
      </c>
    </row>
    <row r="722" spans="1:17">
      <c r="A722">
        <f t="shared" si="22"/>
        <v>167</v>
      </c>
      <c r="B722" t="s">
        <v>929</v>
      </c>
      <c r="C722" t="s">
        <v>982</v>
      </c>
      <c r="D722" t="s">
        <v>1219</v>
      </c>
      <c r="E722">
        <v>42</v>
      </c>
      <c r="F722" t="s">
        <v>14</v>
      </c>
      <c r="G722" t="s">
        <v>30</v>
      </c>
      <c r="H722" t="s">
        <v>931</v>
      </c>
      <c r="I722" t="s">
        <v>937</v>
      </c>
      <c r="J722" t="s">
        <v>263</v>
      </c>
      <c r="K722">
        <v>1</v>
      </c>
      <c r="L722">
        <v>2</v>
      </c>
      <c r="M722">
        <v>1</v>
      </c>
      <c r="Q722" t="b">
        <f t="shared" si="23"/>
        <v>1</v>
      </c>
    </row>
    <row r="723" spans="1:17">
      <c r="A723">
        <f t="shared" si="22"/>
        <v>167</v>
      </c>
      <c r="B723" t="s">
        <v>929</v>
      </c>
      <c r="C723" t="s">
        <v>982</v>
      </c>
      <c r="D723" t="s">
        <v>1219</v>
      </c>
      <c r="E723">
        <v>42</v>
      </c>
      <c r="F723" t="s">
        <v>14</v>
      </c>
      <c r="G723" t="s">
        <v>30</v>
      </c>
      <c r="H723" t="s">
        <v>931</v>
      </c>
      <c r="I723" t="s">
        <v>938</v>
      </c>
      <c r="J723" t="s">
        <v>263</v>
      </c>
      <c r="K723">
        <v>1</v>
      </c>
      <c r="L723">
        <v>5</v>
      </c>
      <c r="M723">
        <v>0</v>
      </c>
      <c r="Q723" t="b">
        <f t="shared" si="23"/>
        <v>1</v>
      </c>
    </row>
    <row r="724" spans="1:17">
      <c r="A724">
        <f t="shared" si="22"/>
        <v>167</v>
      </c>
      <c r="B724" t="s">
        <v>929</v>
      </c>
      <c r="C724" t="s">
        <v>982</v>
      </c>
      <c r="D724" t="s">
        <v>1219</v>
      </c>
      <c r="E724">
        <v>42</v>
      </c>
      <c r="F724" t="s">
        <v>14</v>
      </c>
      <c r="G724" t="s">
        <v>30</v>
      </c>
      <c r="H724" t="s">
        <v>931</v>
      </c>
      <c r="I724" t="s">
        <v>939</v>
      </c>
      <c r="J724" t="s">
        <v>245</v>
      </c>
      <c r="K724">
        <v>800</v>
      </c>
      <c r="L724">
        <v>8</v>
      </c>
      <c r="M724">
        <v>3</v>
      </c>
      <c r="Q724" t="b">
        <f t="shared" si="23"/>
        <v>1</v>
      </c>
    </row>
    <row r="725" spans="1:17">
      <c r="A725">
        <f t="shared" si="22"/>
        <v>167</v>
      </c>
      <c r="B725" t="s">
        <v>929</v>
      </c>
      <c r="C725" t="s">
        <v>982</v>
      </c>
      <c r="D725" t="s">
        <v>1219</v>
      </c>
      <c r="E725">
        <v>42</v>
      </c>
      <c r="F725" t="s">
        <v>14</v>
      </c>
      <c r="G725" t="s">
        <v>30</v>
      </c>
      <c r="H725" t="s">
        <v>931</v>
      </c>
      <c r="I725" t="s">
        <v>939</v>
      </c>
      <c r="J725" t="s">
        <v>263</v>
      </c>
      <c r="K725">
        <v>1</v>
      </c>
      <c r="L725">
        <v>8</v>
      </c>
      <c r="M725">
        <v>3</v>
      </c>
      <c r="Q725" t="b">
        <f t="shared" si="23"/>
        <v>1</v>
      </c>
    </row>
    <row r="726" spans="1:17">
      <c r="A726">
        <f t="shared" si="22"/>
        <v>167</v>
      </c>
      <c r="B726" t="s">
        <v>929</v>
      </c>
      <c r="C726" t="s">
        <v>982</v>
      </c>
      <c r="D726" t="s">
        <v>1219</v>
      </c>
      <c r="E726">
        <v>42</v>
      </c>
      <c r="F726" t="s">
        <v>14</v>
      </c>
      <c r="G726" t="s">
        <v>30</v>
      </c>
      <c r="H726" t="s">
        <v>931</v>
      </c>
      <c r="I726" t="s">
        <v>940</v>
      </c>
      <c r="J726" t="s">
        <v>245</v>
      </c>
      <c r="K726">
        <v>800</v>
      </c>
      <c r="L726">
        <v>6</v>
      </c>
      <c r="M726">
        <v>3</v>
      </c>
      <c r="Q726" t="b">
        <f t="shared" si="23"/>
        <v>1</v>
      </c>
    </row>
    <row r="727" spans="1:17">
      <c r="A727">
        <f t="shared" si="22"/>
        <v>167</v>
      </c>
      <c r="B727" t="s">
        <v>929</v>
      </c>
      <c r="C727" t="s">
        <v>982</v>
      </c>
      <c r="D727" t="s">
        <v>1219</v>
      </c>
      <c r="E727">
        <v>42</v>
      </c>
      <c r="F727" t="s">
        <v>14</v>
      </c>
      <c r="G727" t="s">
        <v>30</v>
      </c>
      <c r="H727" t="s">
        <v>931</v>
      </c>
      <c r="I727" t="s">
        <v>940</v>
      </c>
      <c r="J727" t="s">
        <v>263</v>
      </c>
      <c r="K727">
        <v>1</v>
      </c>
      <c r="L727">
        <v>6</v>
      </c>
      <c r="M727">
        <v>3</v>
      </c>
      <c r="Q727" t="b">
        <f t="shared" si="23"/>
        <v>1</v>
      </c>
    </row>
    <row r="728" spans="1:17">
      <c r="A728">
        <f t="shared" si="22"/>
        <v>167</v>
      </c>
      <c r="B728" t="s">
        <v>929</v>
      </c>
      <c r="C728" t="s">
        <v>982</v>
      </c>
      <c r="D728" t="s">
        <v>1219</v>
      </c>
      <c r="E728">
        <v>42</v>
      </c>
      <c r="F728" t="s">
        <v>14</v>
      </c>
      <c r="G728" t="s">
        <v>30</v>
      </c>
      <c r="H728" t="s">
        <v>931</v>
      </c>
      <c r="I728" t="s">
        <v>941</v>
      </c>
      <c r="J728" t="s">
        <v>263</v>
      </c>
      <c r="K728">
        <v>1</v>
      </c>
      <c r="L728">
        <v>2</v>
      </c>
      <c r="M728">
        <v>3</v>
      </c>
      <c r="Q728" t="b">
        <f t="shared" si="23"/>
        <v>1</v>
      </c>
    </row>
    <row r="729" spans="1:17">
      <c r="A729">
        <f t="shared" si="22"/>
        <v>167</v>
      </c>
      <c r="B729" t="s">
        <v>929</v>
      </c>
      <c r="C729" t="s">
        <v>982</v>
      </c>
      <c r="D729" t="s">
        <v>1219</v>
      </c>
      <c r="E729">
        <v>42</v>
      </c>
      <c r="F729" t="s">
        <v>14</v>
      </c>
      <c r="G729" t="s">
        <v>30</v>
      </c>
      <c r="H729" t="s">
        <v>931</v>
      </c>
      <c r="I729" t="s">
        <v>930</v>
      </c>
      <c r="J729" t="s">
        <v>245</v>
      </c>
      <c r="K729">
        <v>800</v>
      </c>
      <c r="L729">
        <v>3</v>
      </c>
      <c r="M729">
        <v>0</v>
      </c>
      <c r="Q729" t="b">
        <f t="shared" si="23"/>
        <v>1</v>
      </c>
    </row>
    <row r="730" spans="1:17">
      <c r="A730">
        <f t="shared" si="22"/>
        <v>168</v>
      </c>
      <c r="B730" t="s">
        <v>942</v>
      </c>
      <c r="C730" t="s">
        <v>1106</v>
      </c>
      <c r="D730" t="s">
        <v>278</v>
      </c>
      <c r="E730">
        <v>36</v>
      </c>
      <c r="F730" t="s">
        <v>244</v>
      </c>
      <c r="G730" t="s">
        <v>30</v>
      </c>
      <c r="H730" t="s">
        <v>944</v>
      </c>
      <c r="I730" t="s">
        <v>945</v>
      </c>
      <c r="J730" t="s">
        <v>256</v>
      </c>
      <c r="K730">
        <v>30</v>
      </c>
      <c r="L730">
        <v>3</v>
      </c>
      <c r="M730">
        <v>5</v>
      </c>
      <c r="Q730" t="b">
        <f t="shared" si="23"/>
        <v>0</v>
      </c>
    </row>
    <row r="731" spans="1:17">
      <c r="A731">
        <f t="shared" si="22"/>
        <v>168</v>
      </c>
      <c r="B731" t="s">
        <v>942</v>
      </c>
      <c r="C731" t="s">
        <v>1106</v>
      </c>
      <c r="D731" t="s">
        <v>278</v>
      </c>
      <c r="E731">
        <v>36</v>
      </c>
      <c r="F731" t="s">
        <v>244</v>
      </c>
      <c r="G731" t="s">
        <v>30</v>
      </c>
      <c r="H731" t="s">
        <v>944</v>
      </c>
      <c r="I731" t="s">
        <v>946</v>
      </c>
      <c r="J731" t="s">
        <v>263</v>
      </c>
      <c r="K731">
        <v>1</v>
      </c>
      <c r="L731">
        <v>5</v>
      </c>
      <c r="M731">
        <v>3</v>
      </c>
      <c r="Q731" t="b">
        <f t="shared" si="23"/>
        <v>0</v>
      </c>
    </row>
    <row r="732" spans="1:17">
      <c r="A732">
        <f t="shared" si="22"/>
        <v>168</v>
      </c>
      <c r="B732" t="s">
        <v>942</v>
      </c>
      <c r="C732" t="s">
        <v>1106</v>
      </c>
      <c r="D732" t="s">
        <v>278</v>
      </c>
      <c r="E732">
        <v>36</v>
      </c>
      <c r="F732" t="s">
        <v>244</v>
      </c>
      <c r="G732" t="s">
        <v>30</v>
      </c>
      <c r="H732" t="s">
        <v>944</v>
      </c>
      <c r="I732" t="s">
        <v>947</v>
      </c>
      <c r="J732" t="s">
        <v>263</v>
      </c>
      <c r="K732">
        <v>1</v>
      </c>
      <c r="L732">
        <v>6</v>
      </c>
      <c r="M732">
        <v>4</v>
      </c>
      <c r="Q732" t="b">
        <f t="shared" si="23"/>
        <v>0</v>
      </c>
    </row>
    <row r="733" spans="1:17">
      <c r="A733">
        <f t="shared" si="22"/>
        <v>168</v>
      </c>
      <c r="B733" t="s">
        <v>942</v>
      </c>
      <c r="C733" t="s">
        <v>1106</v>
      </c>
      <c r="D733" t="s">
        <v>278</v>
      </c>
      <c r="E733">
        <v>36</v>
      </c>
      <c r="F733" t="s">
        <v>244</v>
      </c>
      <c r="G733" t="s">
        <v>30</v>
      </c>
      <c r="H733" t="s">
        <v>944</v>
      </c>
      <c r="I733" t="s">
        <v>948</v>
      </c>
      <c r="J733" t="s">
        <v>256</v>
      </c>
      <c r="K733">
        <v>30</v>
      </c>
      <c r="L733">
        <v>7</v>
      </c>
      <c r="M733">
        <v>7</v>
      </c>
      <c r="Q733" t="b">
        <f t="shared" si="23"/>
        <v>0</v>
      </c>
    </row>
    <row r="734" spans="1:17">
      <c r="A734">
        <f t="shared" si="22"/>
        <v>168</v>
      </c>
      <c r="B734" t="s">
        <v>942</v>
      </c>
      <c r="C734" t="s">
        <v>1106</v>
      </c>
      <c r="D734" t="s">
        <v>278</v>
      </c>
      <c r="E734">
        <v>36</v>
      </c>
      <c r="F734" t="s">
        <v>244</v>
      </c>
      <c r="G734" t="s">
        <v>30</v>
      </c>
      <c r="H734" t="s">
        <v>944</v>
      </c>
      <c r="I734" t="s">
        <v>948</v>
      </c>
      <c r="J734" t="s">
        <v>263</v>
      </c>
      <c r="K734">
        <v>1</v>
      </c>
      <c r="L734">
        <v>7</v>
      </c>
      <c r="M734">
        <v>7</v>
      </c>
      <c r="Q734" t="b">
        <f t="shared" si="23"/>
        <v>0</v>
      </c>
    </row>
    <row r="735" spans="1:17">
      <c r="A735">
        <f t="shared" si="22"/>
        <v>168</v>
      </c>
      <c r="B735" t="s">
        <v>942</v>
      </c>
      <c r="C735" t="s">
        <v>1106</v>
      </c>
      <c r="D735" t="s">
        <v>278</v>
      </c>
      <c r="E735">
        <v>36</v>
      </c>
      <c r="F735" t="s">
        <v>244</v>
      </c>
      <c r="G735" t="s">
        <v>30</v>
      </c>
      <c r="H735" t="s">
        <v>944</v>
      </c>
      <c r="I735" t="s">
        <v>949</v>
      </c>
      <c r="J735" t="s">
        <v>263</v>
      </c>
      <c r="K735">
        <v>1</v>
      </c>
      <c r="L735">
        <v>7</v>
      </c>
      <c r="M735">
        <v>2</v>
      </c>
      <c r="Q735" t="b">
        <f t="shared" si="23"/>
        <v>0</v>
      </c>
    </row>
    <row r="736" spans="1:17">
      <c r="A736">
        <f t="shared" si="22"/>
        <v>168</v>
      </c>
      <c r="B736" t="s">
        <v>942</v>
      </c>
      <c r="C736" t="s">
        <v>1106</v>
      </c>
      <c r="D736" t="s">
        <v>278</v>
      </c>
      <c r="E736">
        <v>36</v>
      </c>
      <c r="F736" t="s">
        <v>244</v>
      </c>
      <c r="G736" t="s">
        <v>30</v>
      </c>
      <c r="H736" t="s">
        <v>944</v>
      </c>
      <c r="I736" t="s">
        <v>950</v>
      </c>
      <c r="J736" t="s">
        <v>263</v>
      </c>
      <c r="K736">
        <v>2</v>
      </c>
      <c r="L736" t="s">
        <v>278</v>
      </c>
      <c r="M736" t="s">
        <v>278</v>
      </c>
      <c r="Q736" t="b">
        <f t="shared" si="23"/>
        <v>0</v>
      </c>
    </row>
    <row r="737" spans="1:17">
      <c r="A737">
        <f t="shared" si="22"/>
        <v>168</v>
      </c>
      <c r="B737" t="s">
        <v>942</v>
      </c>
      <c r="C737" t="s">
        <v>1106</v>
      </c>
      <c r="D737" t="s">
        <v>278</v>
      </c>
      <c r="E737">
        <v>36</v>
      </c>
      <c r="F737" t="s">
        <v>244</v>
      </c>
      <c r="G737" t="s">
        <v>30</v>
      </c>
      <c r="H737" t="s">
        <v>944</v>
      </c>
      <c r="I737" t="s">
        <v>951</v>
      </c>
      <c r="J737" t="s">
        <v>256</v>
      </c>
      <c r="K737">
        <v>30</v>
      </c>
      <c r="L737" t="s">
        <v>278</v>
      </c>
      <c r="M737" t="s">
        <v>278</v>
      </c>
      <c r="Q737" t="b">
        <f t="shared" si="23"/>
        <v>0</v>
      </c>
    </row>
    <row r="738" spans="1:17">
      <c r="A738">
        <f t="shared" si="22"/>
        <v>168</v>
      </c>
      <c r="B738" t="s">
        <v>942</v>
      </c>
      <c r="C738" t="s">
        <v>1106</v>
      </c>
      <c r="D738" t="s">
        <v>278</v>
      </c>
      <c r="E738">
        <v>36</v>
      </c>
      <c r="F738" t="s">
        <v>244</v>
      </c>
      <c r="G738" t="s">
        <v>30</v>
      </c>
      <c r="H738" t="s">
        <v>944</v>
      </c>
      <c r="I738" t="s">
        <v>952</v>
      </c>
      <c r="J738" t="s">
        <v>263</v>
      </c>
      <c r="K738">
        <v>1</v>
      </c>
      <c r="L738">
        <v>4</v>
      </c>
      <c r="M738">
        <v>4</v>
      </c>
      <c r="Q738" t="b">
        <f t="shared" si="23"/>
        <v>0</v>
      </c>
    </row>
    <row r="739" spans="1:17">
      <c r="A739">
        <f t="shared" si="22"/>
        <v>168</v>
      </c>
      <c r="B739" t="s">
        <v>942</v>
      </c>
      <c r="C739" t="s">
        <v>1106</v>
      </c>
      <c r="D739" t="s">
        <v>278</v>
      </c>
      <c r="E739">
        <v>36</v>
      </c>
      <c r="F739" t="s">
        <v>244</v>
      </c>
      <c r="G739" t="s">
        <v>30</v>
      </c>
      <c r="H739" t="s">
        <v>944</v>
      </c>
      <c r="I739" t="s">
        <v>953</v>
      </c>
      <c r="J739" t="s">
        <v>245</v>
      </c>
      <c r="K739">
        <v>800</v>
      </c>
      <c r="L739">
        <v>4</v>
      </c>
      <c r="M739">
        <v>2</v>
      </c>
      <c r="Q739" t="b">
        <f t="shared" si="23"/>
        <v>0</v>
      </c>
    </row>
    <row r="740" spans="1:17">
      <c r="A740">
        <f t="shared" si="22"/>
        <v>168</v>
      </c>
      <c r="B740" t="s">
        <v>942</v>
      </c>
      <c r="C740" t="s">
        <v>1106</v>
      </c>
      <c r="D740" t="s">
        <v>278</v>
      </c>
      <c r="E740">
        <v>36</v>
      </c>
      <c r="F740" t="s">
        <v>244</v>
      </c>
      <c r="G740" t="s">
        <v>30</v>
      </c>
      <c r="H740" t="s">
        <v>944</v>
      </c>
      <c r="I740" t="s">
        <v>953</v>
      </c>
      <c r="J740" t="s">
        <v>263</v>
      </c>
      <c r="K740">
        <v>1</v>
      </c>
      <c r="L740">
        <v>4</v>
      </c>
      <c r="M740">
        <v>2</v>
      </c>
      <c r="Q740" t="b">
        <f t="shared" si="23"/>
        <v>0</v>
      </c>
    </row>
    <row r="741" spans="1:17">
      <c r="A741">
        <f t="shared" si="22"/>
        <v>168</v>
      </c>
      <c r="B741" t="s">
        <v>942</v>
      </c>
      <c r="C741" t="s">
        <v>1106</v>
      </c>
      <c r="D741" t="s">
        <v>278</v>
      </c>
      <c r="E741">
        <v>36</v>
      </c>
      <c r="F741" t="s">
        <v>244</v>
      </c>
      <c r="G741" t="s">
        <v>30</v>
      </c>
      <c r="H741" t="s">
        <v>944</v>
      </c>
      <c r="I741" t="s">
        <v>954</v>
      </c>
      <c r="J741" t="s">
        <v>263</v>
      </c>
      <c r="K741">
        <v>1</v>
      </c>
      <c r="L741">
        <v>8</v>
      </c>
      <c r="M741">
        <v>8</v>
      </c>
      <c r="Q741" t="b">
        <f t="shared" si="23"/>
        <v>0</v>
      </c>
    </row>
    <row r="742" spans="1:17">
      <c r="A742">
        <f t="shared" si="22"/>
        <v>168</v>
      </c>
      <c r="B742" t="s">
        <v>942</v>
      </c>
      <c r="C742" t="s">
        <v>1106</v>
      </c>
      <c r="D742" t="s">
        <v>278</v>
      </c>
      <c r="E742">
        <v>36</v>
      </c>
      <c r="F742" t="s">
        <v>244</v>
      </c>
      <c r="G742" t="s">
        <v>30</v>
      </c>
      <c r="H742" t="s">
        <v>944</v>
      </c>
      <c r="I742" t="s">
        <v>955</v>
      </c>
      <c r="J742" t="s">
        <v>245</v>
      </c>
      <c r="K742">
        <v>800</v>
      </c>
      <c r="L742">
        <v>8</v>
      </c>
      <c r="M742">
        <v>8</v>
      </c>
      <c r="Q742" t="b">
        <f t="shared" si="23"/>
        <v>0</v>
      </c>
    </row>
    <row r="743" spans="1:17">
      <c r="A743">
        <f t="shared" si="22"/>
        <v>168</v>
      </c>
      <c r="B743" t="s">
        <v>942</v>
      </c>
      <c r="C743" t="s">
        <v>1106</v>
      </c>
      <c r="D743" t="s">
        <v>278</v>
      </c>
      <c r="E743">
        <v>36</v>
      </c>
      <c r="F743" t="s">
        <v>244</v>
      </c>
      <c r="G743" t="s">
        <v>30</v>
      </c>
      <c r="H743" t="s">
        <v>944</v>
      </c>
      <c r="I743" t="s">
        <v>956</v>
      </c>
      <c r="J743" t="s">
        <v>263</v>
      </c>
      <c r="K743">
        <v>1</v>
      </c>
      <c r="L743">
        <v>8</v>
      </c>
      <c r="M743">
        <v>2</v>
      </c>
      <c r="Q743" t="b">
        <f t="shared" si="23"/>
        <v>0</v>
      </c>
    </row>
    <row r="744" spans="1:17">
      <c r="A744">
        <f t="shared" si="22"/>
        <v>168</v>
      </c>
      <c r="B744" t="s">
        <v>942</v>
      </c>
      <c r="C744" t="s">
        <v>1106</v>
      </c>
      <c r="D744" t="s">
        <v>278</v>
      </c>
      <c r="E744">
        <v>36</v>
      </c>
      <c r="F744" t="s">
        <v>244</v>
      </c>
      <c r="G744" t="s">
        <v>30</v>
      </c>
      <c r="H744" t="s">
        <v>944</v>
      </c>
      <c r="I744" t="s">
        <v>957</v>
      </c>
      <c r="J744" t="s">
        <v>245</v>
      </c>
      <c r="K744">
        <v>800</v>
      </c>
      <c r="L744">
        <v>7</v>
      </c>
      <c r="M744">
        <v>2</v>
      </c>
      <c r="Q744" t="b">
        <f t="shared" si="23"/>
        <v>0</v>
      </c>
    </row>
    <row r="745" spans="1:17">
      <c r="A745">
        <f t="shared" si="22"/>
        <v>168</v>
      </c>
      <c r="B745" t="s">
        <v>942</v>
      </c>
      <c r="C745" t="s">
        <v>1106</v>
      </c>
      <c r="D745" t="s">
        <v>278</v>
      </c>
      <c r="E745">
        <v>36</v>
      </c>
      <c r="F745" t="s">
        <v>244</v>
      </c>
      <c r="G745" t="s">
        <v>30</v>
      </c>
      <c r="H745" t="s">
        <v>944</v>
      </c>
      <c r="I745" t="s">
        <v>957</v>
      </c>
      <c r="J745" t="s">
        <v>263</v>
      </c>
      <c r="K745">
        <v>2</v>
      </c>
      <c r="L745">
        <v>7</v>
      </c>
      <c r="M745">
        <v>2</v>
      </c>
      <c r="Q745" t="b">
        <f t="shared" si="23"/>
        <v>0</v>
      </c>
    </row>
    <row r="746" spans="1:17">
      <c r="A746">
        <f t="shared" si="22"/>
        <v>168</v>
      </c>
      <c r="B746" t="s">
        <v>942</v>
      </c>
      <c r="C746" t="s">
        <v>1106</v>
      </c>
      <c r="D746" t="s">
        <v>278</v>
      </c>
      <c r="E746">
        <v>36</v>
      </c>
      <c r="F746" t="s">
        <v>244</v>
      </c>
      <c r="G746" t="s">
        <v>30</v>
      </c>
      <c r="H746" t="s">
        <v>944</v>
      </c>
      <c r="I746" t="s">
        <v>958</v>
      </c>
      <c r="J746" t="s">
        <v>245</v>
      </c>
      <c r="K746">
        <v>800</v>
      </c>
      <c r="L746">
        <v>10</v>
      </c>
      <c r="M746">
        <v>3</v>
      </c>
      <c r="Q746" t="b">
        <f t="shared" si="23"/>
        <v>0</v>
      </c>
    </row>
    <row r="747" spans="1:17">
      <c r="A747">
        <f t="shared" si="22"/>
        <v>168</v>
      </c>
      <c r="B747" t="s">
        <v>942</v>
      </c>
      <c r="C747" t="s">
        <v>1106</v>
      </c>
      <c r="D747" t="s">
        <v>278</v>
      </c>
      <c r="E747">
        <v>36</v>
      </c>
      <c r="F747" t="s">
        <v>244</v>
      </c>
      <c r="G747" t="s">
        <v>30</v>
      </c>
      <c r="H747" t="s">
        <v>944</v>
      </c>
      <c r="I747" t="s">
        <v>958</v>
      </c>
      <c r="J747" t="s">
        <v>263</v>
      </c>
      <c r="K747">
        <v>2</v>
      </c>
      <c r="L747">
        <v>10</v>
      </c>
      <c r="Q747" t="b">
        <f t="shared" si="23"/>
        <v>0</v>
      </c>
    </row>
    <row r="748" spans="1:17">
      <c r="A748">
        <f t="shared" si="22"/>
        <v>168</v>
      </c>
      <c r="B748" t="s">
        <v>942</v>
      </c>
      <c r="C748" t="s">
        <v>1106</v>
      </c>
      <c r="D748" t="s">
        <v>278</v>
      </c>
      <c r="E748">
        <v>36</v>
      </c>
      <c r="F748" t="s">
        <v>244</v>
      </c>
      <c r="G748" t="s">
        <v>30</v>
      </c>
      <c r="H748" t="s">
        <v>944</v>
      </c>
      <c r="I748" t="s">
        <v>959</v>
      </c>
      <c r="J748" t="s">
        <v>245</v>
      </c>
      <c r="K748">
        <v>800</v>
      </c>
      <c r="L748">
        <v>8</v>
      </c>
      <c r="M748">
        <v>5</v>
      </c>
      <c r="Q748" t="b">
        <f t="shared" si="23"/>
        <v>0</v>
      </c>
    </row>
    <row r="749" spans="1:17">
      <c r="A749">
        <f t="shared" si="22"/>
        <v>168</v>
      </c>
      <c r="B749" t="s">
        <v>942</v>
      </c>
      <c r="C749" t="s">
        <v>1106</v>
      </c>
      <c r="D749" t="s">
        <v>278</v>
      </c>
      <c r="E749">
        <v>36</v>
      </c>
      <c r="F749" t="s">
        <v>244</v>
      </c>
      <c r="G749" t="s">
        <v>30</v>
      </c>
      <c r="H749" t="s">
        <v>944</v>
      </c>
      <c r="I749" t="s">
        <v>959</v>
      </c>
      <c r="J749" t="s">
        <v>263</v>
      </c>
      <c r="K749">
        <v>2</v>
      </c>
      <c r="L749">
        <v>8</v>
      </c>
      <c r="M749">
        <v>5</v>
      </c>
      <c r="Q749" t="b">
        <f t="shared" si="23"/>
        <v>0</v>
      </c>
    </row>
    <row r="750" spans="1:17">
      <c r="A750">
        <f t="shared" si="22"/>
        <v>168</v>
      </c>
      <c r="B750" t="s">
        <v>942</v>
      </c>
      <c r="C750" t="s">
        <v>1106</v>
      </c>
      <c r="D750" t="s">
        <v>278</v>
      </c>
      <c r="E750">
        <v>36</v>
      </c>
      <c r="F750" t="s">
        <v>244</v>
      </c>
      <c r="G750" t="s">
        <v>30</v>
      </c>
      <c r="H750" t="s">
        <v>944</v>
      </c>
      <c r="I750" t="s">
        <v>960</v>
      </c>
      <c r="J750" t="s">
        <v>245</v>
      </c>
      <c r="K750">
        <v>800</v>
      </c>
      <c r="L750">
        <v>6</v>
      </c>
      <c r="M750">
        <v>4</v>
      </c>
      <c r="Q750" t="b">
        <f t="shared" si="23"/>
        <v>0</v>
      </c>
    </row>
    <row r="751" spans="1:17">
      <c r="A751">
        <f t="shared" si="22"/>
        <v>168</v>
      </c>
      <c r="B751" t="s">
        <v>942</v>
      </c>
      <c r="C751" t="s">
        <v>1106</v>
      </c>
      <c r="D751" t="s">
        <v>278</v>
      </c>
      <c r="E751">
        <v>36</v>
      </c>
      <c r="F751" t="s">
        <v>244</v>
      </c>
      <c r="G751" t="s">
        <v>30</v>
      </c>
      <c r="H751" t="s">
        <v>944</v>
      </c>
      <c r="I751" t="s">
        <v>960</v>
      </c>
      <c r="J751" t="s">
        <v>263</v>
      </c>
      <c r="K751">
        <v>2</v>
      </c>
      <c r="L751">
        <v>6</v>
      </c>
      <c r="M751">
        <v>4</v>
      </c>
      <c r="Q751" t="b">
        <f t="shared" si="23"/>
        <v>0</v>
      </c>
    </row>
    <row r="752" spans="1:17">
      <c r="A752">
        <f t="shared" si="22"/>
        <v>169</v>
      </c>
      <c r="B752" t="s">
        <v>961</v>
      </c>
      <c r="C752" t="s">
        <v>1107</v>
      </c>
      <c r="D752" t="s">
        <v>278</v>
      </c>
      <c r="E752">
        <v>31</v>
      </c>
      <c r="F752" t="s">
        <v>14</v>
      </c>
      <c r="G752" t="s">
        <v>30</v>
      </c>
      <c r="H752" t="s">
        <v>962</v>
      </c>
      <c r="I752" t="s">
        <v>963</v>
      </c>
      <c r="J752" t="s">
        <v>256</v>
      </c>
      <c r="K752">
        <v>30</v>
      </c>
      <c r="L752">
        <v>3</v>
      </c>
      <c r="M752">
        <v>0</v>
      </c>
      <c r="P752" t="s">
        <v>981</v>
      </c>
      <c r="Q752" t="b">
        <f t="shared" si="23"/>
        <v>1</v>
      </c>
    </row>
    <row r="753" spans="1:17">
      <c r="A753">
        <f t="shared" si="22"/>
        <v>169</v>
      </c>
      <c r="B753" t="s">
        <v>961</v>
      </c>
      <c r="C753" t="s">
        <v>1107</v>
      </c>
      <c r="D753" t="s">
        <v>278</v>
      </c>
      <c r="E753">
        <v>31</v>
      </c>
      <c r="F753" t="s">
        <v>14</v>
      </c>
      <c r="G753" t="s">
        <v>30</v>
      </c>
      <c r="H753" t="s">
        <v>962</v>
      </c>
      <c r="I753" t="s">
        <v>964</v>
      </c>
      <c r="J753" t="s">
        <v>256</v>
      </c>
      <c r="K753">
        <v>30</v>
      </c>
      <c r="L753">
        <v>3</v>
      </c>
      <c r="M753">
        <v>2</v>
      </c>
      <c r="Q753" t="b">
        <f t="shared" si="23"/>
        <v>1</v>
      </c>
    </row>
    <row r="754" spans="1:17">
      <c r="A754">
        <f t="shared" si="22"/>
        <v>169</v>
      </c>
      <c r="B754" t="s">
        <v>961</v>
      </c>
      <c r="C754" t="s">
        <v>1107</v>
      </c>
      <c r="D754" t="s">
        <v>278</v>
      </c>
      <c r="E754">
        <v>31</v>
      </c>
      <c r="F754" t="s">
        <v>14</v>
      </c>
      <c r="G754" t="s">
        <v>30</v>
      </c>
      <c r="H754" t="s">
        <v>962</v>
      </c>
      <c r="I754" t="s">
        <v>965</v>
      </c>
      <c r="J754" t="s">
        <v>256</v>
      </c>
      <c r="K754">
        <v>30</v>
      </c>
      <c r="L754">
        <v>3</v>
      </c>
      <c r="M754">
        <v>0</v>
      </c>
      <c r="Q754" t="b">
        <f t="shared" si="23"/>
        <v>1</v>
      </c>
    </row>
    <row r="755" spans="1:17">
      <c r="A755">
        <f t="shared" si="22"/>
        <v>169</v>
      </c>
      <c r="B755" t="s">
        <v>961</v>
      </c>
      <c r="C755" t="s">
        <v>1107</v>
      </c>
      <c r="D755" t="s">
        <v>278</v>
      </c>
      <c r="E755">
        <v>31</v>
      </c>
      <c r="F755" t="s">
        <v>14</v>
      </c>
      <c r="G755" t="s">
        <v>30</v>
      </c>
      <c r="H755" t="s">
        <v>962</v>
      </c>
      <c r="I755" t="s">
        <v>966</v>
      </c>
      <c r="J755" t="s">
        <v>256</v>
      </c>
      <c r="K755">
        <v>30</v>
      </c>
      <c r="L755">
        <v>4</v>
      </c>
      <c r="M755">
        <v>0</v>
      </c>
      <c r="Q755" t="b">
        <f t="shared" si="23"/>
        <v>1</v>
      </c>
    </row>
    <row r="756" spans="1:17">
      <c r="A756">
        <f t="shared" si="22"/>
        <v>169</v>
      </c>
      <c r="B756" t="s">
        <v>961</v>
      </c>
      <c r="C756" t="s">
        <v>1107</v>
      </c>
      <c r="D756" t="s">
        <v>278</v>
      </c>
      <c r="E756">
        <v>31</v>
      </c>
      <c r="F756" t="s">
        <v>14</v>
      </c>
      <c r="G756" t="s">
        <v>30</v>
      </c>
      <c r="H756" t="s">
        <v>962</v>
      </c>
      <c r="I756" t="s">
        <v>967</v>
      </c>
      <c r="J756" t="s">
        <v>263</v>
      </c>
      <c r="K756">
        <v>1</v>
      </c>
      <c r="L756">
        <v>5</v>
      </c>
      <c r="M756">
        <v>1</v>
      </c>
      <c r="Q756" t="b">
        <f t="shared" si="23"/>
        <v>1</v>
      </c>
    </row>
    <row r="757" spans="1:17">
      <c r="A757">
        <f t="shared" si="22"/>
        <v>169</v>
      </c>
      <c r="B757" t="s">
        <v>961</v>
      </c>
      <c r="C757" t="s">
        <v>1107</v>
      </c>
      <c r="D757" t="s">
        <v>278</v>
      </c>
      <c r="E757">
        <v>31</v>
      </c>
      <c r="F757" t="s">
        <v>14</v>
      </c>
      <c r="G757" t="s">
        <v>30</v>
      </c>
      <c r="H757" t="s">
        <v>962</v>
      </c>
      <c r="I757" t="s">
        <v>968</v>
      </c>
      <c r="J757" t="s">
        <v>976</v>
      </c>
      <c r="K757">
        <v>2</v>
      </c>
      <c r="L757">
        <v>5</v>
      </c>
      <c r="M757">
        <v>1</v>
      </c>
      <c r="Q757" t="b">
        <f t="shared" si="23"/>
        <v>1</v>
      </c>
    </row>
    <row r="758" spans="1:17">
      <c r="A758">
        <f t="shared" si="22"/>
        <v>169</v>
      </c>
      <c r="B758" t="s">
        <v>961</v>
      </c>
      <c r="C758" t="s">
        <v>1107</v>
      </c>
      <c r="D758" t="s">
        <v>278</v>
      </c>
      <c r="E758">
        <v>31</v>
      </c>
      <c r="F758" t="s">
        <v>14</v>
      </c>
      <c r="G758" t="s">
        <v>30</v>
      </c>
      <c r="H758" t="s">
        <v>962</v>
      </c>
      <c r="I758" t="s">
        <v>969</v>
      </c>
      <c r="J758" t="s">
        <v>256</v>
      </c>
      <c r="K758">
        <v>30</v>
      </c>
      <c r="L758">
        <v>6</v>
      </c>
      <c r="M758">
        <v>0</v>
      </c>
      <c r="O758" t="s">
        <v>980</v>
      </c>
      <c r="Q758" t="b">
        <f t="shared" si="23"/>
        <v>1</v>
      </c>
    </row>
    <row r="759" spans="1:17">
      <c r="A759">
        <f t="shared" si="22"/>
        <v>169</v>
      </c>
      <c r="B759" t="s">
        <v>961</v>
      </c>
      <c r="C759" t="s">
        <v>1107</v>
      </c>
      <c r="D759" t="s">
        <v>278</v>
      </c>
      <c r="E759">
        <v>31</v>
      </c>
      <c r="F759" t="s">
        <v>14</v>
      </c>
      <c r="G759" t="s">
        <v>30</v>
      </c>
      <c r="H759" t="s">
        <v>962</v>
      </c>
      <c r="I759" t="s">
        <v>970</v>
      </c>
      <c r="J759" t="s">
        <v>976</v>
      </c>
      <c r="K759">
        <v>2</v>
      </c>
      <c r="L759">
        <v>6</v>
      </c>
      <c r="M759">
        <v>3</v>
      </c>
      <c r="Q759" t="b">
        <f t="shared" si="23"/>
        <v>1</v>
      </c>
    </row>
    <row r="760" spans="1:17">
      <c r="A760">
        <f t="shared" si="22"/>
        <v>169</v>
      </c>
      <c r="B760" t="s">
        <v>961</v>
      </c>
      <c r="C760" t="s">
        <v>1107</v>
      </c>
      <c r="D760" t="s">
        <v>278</v>
      </c>
      <c r="E760">
        <v>31</v>
      </c>
      <c r="F760" t="s">
        <v>14</v>
      </c>
      <c r="G760" t="s">
        <v>30</v>
      </c>
      <c r="H760" t="s">
        <v>962</v>
      </c>
      <c r="I760" t="s">
        <v>971</v>
      </c>
      <c r="J760" t="s">
        <v>256</v>
      </c>
      <c r="K760">
        <v>30</v>
      </c>
      <c r="L760">
        <v>4</v>
      </c>
      <c r="M760">
        <v>0</v>
      </c>
      <c r="Q760" t="b">
        <f t="shared" si="23"/>
        <v>1</v>
      </c>
    </row>
    <row r="761" spans="1:17">
      <c r="A761">
        <f t="shared" si="22"/>
        <v>169</v>
      </c>
      <c r="B761" t="s">
        <v>961</v>
      </c>
      <c r="C761" t="s">
        <v>1107</v>
      </c>
      <c r="D761" t="s">
        <v>278</v>
      </c>
      <c r="E761">
        <v>31</v>
      </c>
      <c r="F761" t="s">
        <v>14</v>
      </c>
      <c r="G761" t="s">
        <v>30</v>
      </c>
      <c r="H761" t="s">
        <v>962</v>
      </c>
      <c r="I761" t="s">
        <v>972</v>
      </c>
      <c r="J761" t="s">
        <v>976</v>
      </c>
      <c r="K761">
        <v>2</v>
      </c>
      <c r="L761">
        <v>4</v>
      </c>
      <c r="M761">
        <v>0</v>
      </c>
      <c r="Q761" t="b">
        <f t="shared" si="23"/>
        <v>1</v>
      </c>
    </row>
    <row r="762" spans="1:17">
      <c r="A762">
        <f t="shared" si="22"/>
        <v>169</v>
      </c>
      <c r="B762" t="s">
        <v>961</v>
      </c>
      <c r="C762" t="s">
        <v>1107</v>
      </c>
      <c r="D762" t="s">
        <v>278</v>
      </c>
      <c r="E762">
        <v>31</v>
      </c>
      <c r="F762" t="s">
        <v>14</v>
      </c>
      <c r="G762" t="s">
        <v>30</v>
      </c>
      <c r="H762" t="s">
        <v>962</v>
      </c>
      <c r="I762" t="s">
        <v>973</v>
      </c>
      <c r="J762" t="s">
        <v>245</v>
      </c>
      <c r="K762">
        <v>800</v>
      </c>
      <c r="L762">
        <v>8</v>
      </c>
      <c r="M762">
        <v>0</v>
      </c>
      <c r="Q762" t="b">
        <f t="shared" si="23"/>
        <v>1</v>
      </c>
    </row>
    <row r="763" spans="1:17">
      <c r="A763">
        <f t="shared" si="22"/>
        <v>169</v>
      </c>
      <c r="B763" t="s">
        <v>961</v>
      </c>
      <c r="C763" t="s">
        <v>1107</v>
      </c>
      <c r="D763" t="s">
        <v>278</v>
      </c>
      <c r="E763">
        <v>31</v>
      </c>
      <c r="F763" t="s">
        <v>14</v>
      </c>
      <c r="G763" t="s">
        <v>30</v>
      </c>
      <c r="H763" t="s">
        <v>962</v>
      </c>
      <c r="I763" t="s">
        <v>974</v>
      </c>
      <c r="J763" t="s">
        <v>976</v>
      </c>
      <c r="K763">
        <v>2</v>
      </c>
      <c r="L763">
        <v>4</v>
      </c>
      <c r="M763">
        <v>0</v>
      </c>
      <c r="Q763" t="b">
        <f t="shared" si="23"/>
        <v>1</v>
      </c>
    </row>
    <row r="764" spans="1:17">
      <c r="A764">
        <f t="shared" si="22"/>
        <v>169</v>
      </c>
      <c r="B764" t="s">
        <v>961</v>
      </c>
      <c r="C764" t="s">
        <v>1107</v>
      </c>
      <c r="D764" t="s">
        <v>278</v>
      </c>
      <c r="E764">
        <v>31</v>
      </c>
      <c r="F764" t="s">
        <v>14</v>
      </c>
      <c r="G764" t="s">
        <v>30</v>
      </c>
      <c r="H764" t="s">
        <v>962</v>
      </c>
      <c r="I764" t="s">
        <v>975</v>
      </c>
      <c r="J764" t="s">
        <v>976</v>
      </c>
      <c r="K764">
        <v>2</v>
      </c>
      <c r="L764">
        <v>5</v>
      </c>
      <c r="M764">
        <v>0</v>
      </c>
      <c r="Q764" t="b">
        <f t="shared" si="23"/>
        <v>1</v>
      </c>
    </row>
    <row r="765" spans="1:17">
      <c r="A765">
        <f t="shared" si="22"/>
        <v>169</v>
      </c>
      <c r="B765" t="s">
        <v>961</v>
      </c>
      <c r="C765" t="s">
        <v>1107</v>
      </c>
      <c r="D765" t="s">
        <v>278</v>
      </c>
      <c r="E765">
        <v>31</v>
      </c>
      <c r="F765" t="s">
        <v>14</v>
      </c>
      <c r="G765" t="s">
        <v>30</v>
      </c>
      <c r="H765" t="s">
        <v>962</v>
      </c>
      <c r="I765" t="s">
        <v>975</v>
      </c>
      <c r="J765" t="s">
        <v>245</v>
      </c>
      <c r="K765">
        <v>800</v>
      </c>
      <c r="L765">
        <v>5</v>
      </c>
      <c r="M765">
        <v>0</v>
      </c>
      <c r="Q765" t="b">
        <f t="shared" si="23"/>
        <v>1</v>
      </c>
    </row>
    <row r="766" spans="1:17">
      <c r="A766">
        <f t="shared" si="22"/>
        <v>170</v>
      </c>
      <c r="B766" t="s">
        <v>1221</v>
      </c>
      <c r="C766" t="s">
        <v>1222</v>
      </c>
      <c r="D766" t="s">
        <v>1231</v>
      </c>
      <c r="E766">
        <v>42</v>
      </c>
      <c r="F766" t="s">
        <v>14</v>
      </c>
      <c r="G766" t="s">
        <v>15</v>
      </c>
      <c r="H766" t="s">
        <v>1223</v>
      </c>
      <c r="I766" t="s">
        <v>1224</v>
      </c>
      <c r="J766" t="s">
        <v>268</v>
      </c>
      <c r="K766">
        <v>650</v>
      </c>
      <c r="L766">
        <v>5</v>
      </c>
      <c r="M766">
        <v>4</v>
      </c>
      <c r="Q766" t="b">
        <f t="shared" si="23"/>
        <v>0</v>
      </c>
    </row>
    <row r="767" spans="1:17">
      <c r="A767">
        <f t="shared" si="22"/>
        <v>170</v>
      </c>
      <c r="B767" t="s">
        <v>1221</v>
      </c>
      <c r="C767" t="s">
        <v>1222</v>
      </c>
      <c r="D767" t="s">
        <v>1231</v>
      </c>
      <c r="E767">
        <v>42</v>
      </c>
      <c r="F767" t="s">
        <v>14</v>
      </c>
      <c r="G767" t="s">
        <v>15</v>
      </c>
      <c r="H767" t="s">
        <v>1223</v>
      </c>
      <c r="I767" t="s">
        <v>1225</v>
      </c>
      <c r="J767" t="s">
        <v>245</v>
      </c>
      <c r="K767">
        <v>800</v>
      </c>
      <c r="L767">
        <v>8</v>
      </c>
      <c r="M767">
        <v>4</v>
      </c>
      <c r="Q767" t="b">
        <f t="shared" si="23"/>
        <v>0</v>
      </c>
    </row>
    <row r="768" spans="1:17">
      <c r="A768">
        <f t="shared" si="22"/>
        <v>170</v>
      </c>
      <c r="B768" t="s">
        <v>1221</v>
      </c>
      <c r="C768" t="s">
        <v>1222</v>
      </c>
      <c r="D768" t="s">
        <v>1231</v>
      </c>
      <c r="E768">
        <v>42</v>
      </c>
      <c r="F768" t="s">
        <v>14</v>
      </c>
      <c r="G768" t="s">
        <v>15</v>
      </c>
      <c r="H768" t="s">
        <v>1223</v>
      </c>
      <c r="I768" t="s">
        <v>1226</v>
      </c>
      <c r="J768" t="s">
        <v>245</v>
      </c>
      <c r="K768">
        <v>800</v>
      </c>
      <c r="L768">
        <v>6</v>
      </c>
      <c r="M768">
        <v>2</v>
      </c>
      <c r="Q768" t="b">
        <f t="shared" si="23"/>
        <v>0</v>
      </c>
    </row>
    <row r="769" spans="1:17">
      <c r="A769">
        <f t="shared" si="22"/>
        <v>170</v>
      </c>
      <c r="B769" t="s">
        <v>1221</v>
      </c>
      <c r="C769" t="s">
        <v>1222</v>
      </c>
      <c r="D769" t="s">
        <v>1231</v>
      </c>
      <c r="E769">
        <v>42</v>
      </c>
      <c r="F769" t="s">
        <v>14</v>
      </c>
      <c r="G769" t="s">
        <v>15</v>
      </c>
      <c r="H769" t="s">
        <v>1223</v>
      </c>
      <c r="I769" t="s">
        <v>1227</v>
      </c>
      <c r="J769" t="s">
        <v>268</v>
      </c>
      <c r="K769">
        <v>650</v>
      </c>
      <c r="L769">
        <v>5</v>
      </c>
      <c r="M769">
        <v>3</v>
      </c>
      <c r="Q769" t="b">
        <f t="shared" si="23"/>
        <v>0</v>
      </c>
    </row>
    <row r="770" spans="1:17">
      <c r="A770">
        <f t="shared" ref="A770:A833" si="24">IF(ROW()=2,1,IF(B770=B769,A769,A769+1))</f>
        <v>170</v>
      </c>
      <c r="B770" t="s">
        <v>1221</v>
      </c>
      <c r="C770" t="s">
        <v>1222</v>
      </c>
      <c r="D770" t="s">
        <v>1231</v>
      </c>
      <c r="E770">
        <v>42</v>
      </c>
      <c r="F770" t="s">
        <v>14</v>
      </c>
      <c r="G770" t="s">
        <v>15</v>
      </c>
      <c r="H770" t="s">
        <v>1223</v>
      </c>
      <c r="I770" t="s">
        <v>1228</v>
      </c>
      <c r="J770" t="s">
        <v>245</v>
      </c>
      <c r="K770">
        <v>800</v>
      </c>
      <c r="L770">
        <v>4</v>
      </c>
      <c r="M770">
        <v>2</v>
      </c>
      <c r="Q770" t="b">
        <f t="shared" ref="Q770:Q833" si="25">ISODD(A770)</f>
        <v>0</v>
      </c>
    </row>
    <row r="771" spans="1:17">
      <c r="A771">
        <f t="shared" si="24"/>
        <v>170</v>
      </c>
      <c r="B771" t="s">
        <v>1221</v>
      </c>
      <c r="C771" t="s">
        <v>1222</v>
      </c>
      <c r="D771" t="s">
        <v>1231</v>
      </c>
      <c r="E771">
        <v>42</v>
      </c>
      <c r="F771" t="s">
        <v>14</v>
      </c>
      <c r="G771" t="s">
        <v>15</v>
      </c>
      <c r="H771" t="s">
        <v>1223</v>
      </c>
      <c r="I771" t="s">
        <v>1229</v>
      </c>
      <c r="J771" t="s">
        <v>245</v>
      </c>
      <c r="K771">
        <v>800</v>
      </c>
      <c r="L771">
        <v>4</v>
      </c>
      <c r="M771">
        <v>2</v>
      </c>
      <c r="Q771" t="b">
        <f t="shared" si="25"/>
        <v>0</v>
      </c>
    </row>
    <row r="772" spans="1:17">
      <c r="A772">
        <f t="shared" si="24"/>
        <v>170</v>
      </c>
      <c r="B772" t="s">
        <v>1221</v>
      </c>
      <c r="C772" t="s">
        <v>1222</v>
      </c>
      <c r="D772" t="s">
        <v>1231</v>
      </c>
      <c r="E772">
        <v>42</v>
      </c>
      <c r="F772" t="s">
        <v>14</v>
      </c>
      <c r="G772" t="s">
        <v>15</v>
      </c>
      <c r="H772" t="s">
        <v>1223</v>
      </c>
      <c r="I772" t="s">
        <v>1230</v>
      </c>
      <c r="J772" t="s">
        <v>268</v>
      </c>
      <c r="K772">
        <v>650</v>
      </c>
      <c r="L772">
        <v>4</v>
      </c>
      <c r="M772">
        <v>0</v>
      </c>
      <c r="Q772" t="b">
        <f t="shared" si="25"/>
        <v>0</v>
      </c>
    </row>
    <row r="773" spans="1:17">
      <c r="A773">
        <f t="shared" si="24"/>
        <v>171</v>
      </c>
      <c r="B773" t="s">
        <v>1232</v>
      </c>
      <c r="C773" t="s">
        <v>1233</v>
      </c>
      <c r="D773" t="s">
        <v>1234</v>
      </c>
      <c r="E773">
        <v>40</v>
      </c>
      <c r="F773" t="s">
        <v>14</v>
      </c>
      <c r="G773" t="s">
        <v>30</v>
      </c>
      <c r="H773" t="s">
        <v>1235</v>
      </c>
      <c r="I773" t="s">
        <v>1236</v>
      </c>
      <c r="J773" t="s">
        <v>256</v>
      </c>
      <c r="K773">
        <v>30</v>
      </c>
      <c r="L773">
        <v>1</v>
      </c>
      <c r="M773">
        <v>0</v>
      </c>
      <c r="P773" t="s">
        <v>1310</v>
      </c>
      <c r="Q773" t="b">
        <f t="shared" si="25"/>
        <v>1</v>
      </c>
    </row>
    <row r="774" spans="1:17">
      <c r="A774">
        <f t="shared" si="24"/>
        <v>171</v>
      </c>
      <c r="B774" t="s">
        <v>1232</v>
      </c>
      <c r="C774" t="s">
        <v>1233</v>
      </c>
      <c r="D774" t="s">
        <v>1234</v>
      </c>
      <c r="E774">
        <v>40</v>
      </c>
      <c r="F774" t="s">
        <v>14</v>
      </c>
      <c r="G774" t="s">
        <v>30</v>
      </c>
      <c r="H774" t="s">
        <v>1235</v>
      </c>
      <c r="I774" t="s">
        <v>1237</v>
      </c>
      <c r="J774" t="s">
        <v>256</v>
      </c>
      <c r="K774">
        <v>30</v>
      </c>
      <c r="L774">
        <v>3</v>
      </c>
      <c r="M774">
        <v>0</v>
      </c>
      <c r="P774" t="s">
        <v>1310</v>
      </c>
      <c r="Q774" t="b">
        <f t="shared" si="25"/>
        <v>1</v>
      </c>
    </row>
    <row r="775" spans="1:17">
      <c r="A775">
        <f t="shared" si="24"/>
        <v>171</v>
      </c>
      <c r="B775" t="s">
        <v>1232</v>
      </c>
      <c r="C775" t="s">
        <v>1233</v>
      </c>
      <c r="D775" t="s">
        <v>1234</v>
      </c>
      <c r="E775">
        <v>40</v>
      </c>
      <c r="F775" t="s">
        <v>14</v>
      </c>
      <c r="G775" t="s">
        <v>30</v>
      </c>
      <c r="H775" t="s">
        <v>1235</v>
      </c>
      <c r="I775" t="s">
        <v>1246</v>
      </c>
      <c r="J775" t="s">
        <v>256</v>
      </c>
      <c r="K775">
        <v>30</v>
      </c>
      <c r="L775">
        <v>4</v>
      </c>
      <c r="M775">
        <v>2</v>
      </c>
      <c r="P775" t="s">
        <v>1310</v>
      </c>
      <c r="Q775" t="b">
        <f t="shared" si="25"/>
        <v>1</v>
      </c>
    </row>
    <row r="776" spans="1:17">
      <c r="A776">
        <f t="shared" si="24"/>
        <v>171</v>
      </c>
      <c r="B776" t="s">
        <v>1232</v>
      </c>
      <c r="C776" t="s">
        <v>1233</v>
      </c>
      <c r="D776" t="s">
        <v>1234</v>
      </c>
      <c r="E776">
        <v>40</v>
      </c>
      <c r="F776" t="s">
        <v>14</v>
      </c>
      <c r="G776" t="s">
        <v>30</v>
      </c>
      <c r="H776" t="s">
        <v>1235</v>
      </c>
      <c r="I776" t="s">
        <v>1246</v>
      </c>
      <c r="J776" t="s">
        <v>263</v>
      </c>
      <c r="K776">
        <v>1</v>
      </c>
      <c r="L776">
        <v>4</v>
      </c>
      <c r="M776">
        <v>2</v>
      </c>
      <c r="P776" t="s">
        <v>1310</v>
      </c>
      <c r="Q776" t="b">
        <f t="shared" si="25"/>
        <v>1</v>
      </c>
    </row>
    <row r="777" spans="1:17">
      <c r="A777">
        <f t="shared" si="24"/>
        <v>171</v>
      </c>
      <c r="B777" t="s">
        <v>1232</v>
      </c>
      <c r="C777" t="s">
        <v>1233</v>
      </c>
      <c r="D777" t="s">
        <v>1234</v>
      </c>
      <c r="E777">
        <v>40</v>
      </c>
      <c r="F777" t="s">
        <v>14</v>
      </c>
      <c r="G777" t="s">
        <v>30</v>
      </c>
      <c r="H777" t="s">
        <v>1235</v>
      </c>
      <c r="I777" t="s">
        <v>1238</v>
      </c>
      <c r="J777" t="s">
        <v>263</v>
      </c>
      <c r="K777">
        <v>1</v>
      </c>
      <c r="L777">
        <v>2</v>
      </c>
      <c r="M777">
        <v>0</v>
      </c>
      <c r="P777" t="s">
        <v>1310</v>
      </c>
      <c r="Q777" t="b">
        <f t="shared" si="25"/>
        <v>1</v>
      </c>
    </row>
    <row r="778" spans="1:17">
      <c r="A778">
        <f t="shared" si="24"/>
        <v>171</v>
      </c>
      <c r="B778" t="s">
        <v>1232</v>
      </c>
      <c r="C778" t="s">
        <v>1233</v>
      </c>
      <c r="D778" t="s">
        <v>1234</v>
      </c>
      <c r="E778">
        <v>40</v>
      </c>
      <c r="F778" t="s">
        <v>14</v>
      </c>
      <c r="G778" t="s">
        <v>30</v>
      </c>
      <c r="H778" t="s">
        <v>1235</v>
      </c>
      <c r="I778" t="s">
        <v>1239</v>
      </c>
      <c r="J778" t="s">
        <v>256</v>
      </c>
      <c r="K778">
        <v>30</v>
      </c>
      <c r="L778">
        <v>2</v>
      </c>
      <c r="M778">
        <v>0</v>
      </c>
      <c r="P778" t="s">
        <v>1310</v>
      </c>
      <c r="Q778" t="b">
        <f t="shared" si="25"/>
        <v>1</v>
      </c>
    </row>
    <row r="779" spans="1:17">
      <c r="A779">
        <f t="shared" si="24"/>
        <v>171</v>
      </c>
      <c r="B779" t="s">
        <v>1232</v>
      </c>
      <c r="C779" t="s">
        <v>1233</v>
      </c>
      <c r="D779" t="s">
        <v>1234</v>
      </c>
      <c r="E779">
        <v>40</v>
      </c>
      <c r="F779" t="s">
        <v>14</v>
      </c>
      <c r="G779" t="s">
        <v>30</v>
      </c>
      <c r="H779" t="s">
        <v>1235</v>
      </c>
      <c r="I779" t="s">
        <v>1240</v>
      </c>
      <c r="J779" t="s">
        <v>263</v>
      </c>
      <c r="K779">
        <v>2</v>
      </c>
      <c r="L779">
        <v>4</v>
      </c>
      <c r="M779">
        <v>0</v>
      </c>
      <c r="P779" t="s">
        <v>1310</v>
      </c>
      <c r="Q779" t="b">
        <f t="shared" si="25"/>
        <v>1</v>
      </c>
    </row>
    <row r="780" spans="1:17">
      <c r="A780">
        <f t="shared" si="24"/>
        <v>171</v>
      </c>
      <c r="B780" t="s">
        <v>1232</v>
      </c>
      <c r="C780" t="s">
        <v>1233</v>
      </c>
      <c r="D780" t="s">
        <v>1234</v>
      </c>
      <c r="E780">
        <v>40</v>
      </c>
      <c r="F780" t="s">
        <v>14</v>
      </c>
      <c r="G780" t="s">
        <v>30</v>
      </c>
      <c r="H780" t="s">
        <v>1235</v>
      </c>
      <c r="I780" t="s">
        <v>1241</v>
      </c>
      <c r="J780" t="s">
        <v>245</v>
      </c>
      <c r="K780">
        <v>800</v>
      </c>
      <c r="L780">
        <v>2</v>
      </c>
      <c r="M780">
        <v>1</v>
      </c>
      <c r="P780" t="s">
        <v>1310</v>
      </c>
      <c r="Q780" t="b">
        <f t="shared" si="25"/>
        <v>1</v>
      </c>
    </row>
    <row r="781" spans="1:17">
      <c r="A781">
        <f t="shared" si="24"/>
        <v>171</v>
      </c>
      <c r="B781" t="s">
        <v>1232</v>
      </c>
      <c r="C781" t="s">
        <v>1233</v>
      </c>
      <c r="D781" t="s">
        <v>1234</v>
      </c>
      <c r="E781">
        <v>40</v>
      </c>
      <c r="F781" t="s">
        <v>14</v>
      </c>
      <c r="G781" t="s">
        <v>30</v>
      </c>
      <c r="H781" t="s">
        <v>1235</v>
      </c>
      <c r="I781" t="s">
        <v>1241</v>
      </c>
      <c r="J781" t="s">
        <v>263</v>
      </c>
      <c r="K781">
        <v>2</v>
      </c>
      <c r="L781">
        <v>2</v>
      </c>
      <c r="M781">
        <v>1</v>
      </c>
      <c r="P781" t="s">
        <v>1310</v>
      </c>
      <c r="Q781" t="b">
        <f t="shared" si="25"/>
        <v>1</v>
      </c>
    </row>
    <row r="782" spans="1:17">
      <c r="A782">
        <f t="shared" si="24"/>
        <v>171</v>
      </c>
      <c r="B782" t="s">
        <v>1232</v>
      </c>
      <c r="C782" t="s">
        <v>1233</v>
      </c>
      <c r="D782" t="s">
        <v>1234</v>
      </c>
      <c r="E782">
        <v>40</v>
      </c>
      <c r="F782" t="s">
        <v>14</v>
      </c>
      <c r="G782" t="s">
        <v>30</v>
      </c>
      <c r="H782" t="s">
        <v>1235</v>
      </c>
      <c r="I782" t="s">
        <v>1242</v>
      </c>
      <c r="J782" t="s">
        <v>245</v>
      </c>
      <c r="K782">
        <v>800</v>
      </c>
      <c r="L782">
        <v>2</v>
      </c>
      <c r="M782">
        <v>1</v>
      </c>
      <c r="P782" t="s">
        <v>1310</v>
      </c>
      <c r="Q782" t="b">
        <f t="shared" si="25"/>
        <v>1</v>
      </c>
    </row>
    <row r="783" spans="1:17">
      <c r="A783">
        <f t="shared" si="24"/>
        <v>171</v>
      </c>
      <c r="B783" t="s">
        <v>1232</v>
      </c>
      <c r="C783" t="s">
        <v>1233</v>
      </c>
      <c r="D783" t="s">
        <v>1234</v>
      </c>
      <c r="E783">
        <v>40</v>
      </c>
      <c r="F783" t="s">
        <v>14</v>
      </c>
      <c r="G783" t="s">
        <v>30</v>
      </c>
      <c r="H783" t="s">
        <v>1235</v>
      </c>
      <c r="I783" t="s">
        <v>1242</v>
      </c>
      <c r="J783" t="s">
        <v>263</v>
      </c>
      <c r="K783">
        <v>2</v>
      </c>
      <c r="L783">
        <v>2</v>
      </c>
      <c r="M783">
        <v>1</v>
      </c>
      <c r="P783" t="s">
        <v>1310</v>
      </c>
      <c r="Q783" t="b">
        <f t="shared" si="25"/>
        <v>1</v>
      </c>
    </row>
    <row r="784" spans="1:17">
      <c r="A784">
        <f t="shared" si="24"/>
        <v>171</v>
      </c>
      <c r="B784" t="s">
        <v>1232</v>
      </c>
      <c r="C784" t="s">
        <v>1233</v>
      </c>
      <c r="D784" t="s">
        <v>1234</v>
      </c>
      <c r="E784">
        <v>40</v>
      </c>
      <c r="F784" t="s">
        <v>14</v>
      </c>
      <c r="G784" t="s">
        <v>30</v>
      </c>
      <c r="H784" t="s">
        <v>1235</v>
      </c>
      <c r="I784" t="s">
        <v>1243</v>
      </c>
      <c r="J784" t="s">
        <v>245</v>
      </c>
      <c r="K784">
        <v>800</v>
      </c>
      <c r="L784">
        <v>1</v>
      </c>
      <c r="M784">
        <v>1</v>
      </c>
      <c r="P784" t="s">
        <v>1310</v>
      </c>
      <c r="Q784" t="b">
        <f t="shared" si="25"/>
        <v>1</v>
      </c>
    </row>
    <row r="785" spans="1:17">
      <c r="A785">
        <f t="shared" si="24"/>
        <v>171</v>
      </c>
      <c r="B785" t="s">
        <v>1232</v>
      </c>
      <c r="C785" t="s">
        <v>1233</v>
      </c>
      <c r="D785" t="s">
        <v>1234</v>
      </c>
      <c r="E785">
        <v>40</v>
      </c>
      <c r="F785" t="s">
        <v>14</v>
      </c>
      <c r="G785" t="s">
        <v>30</v>
      </c>
      <c r="H785" t="s">
        <v>1235</v>
      </c>
      <c r="I785" t="s">
        <v>1243</v>
      </c>
      <c r="J785" t="s">
        <v>263</v>
      </c>
      <c r="K785">
        <v>1</v>
      </c>
      <c r="L785">
        <v>1</v>
      </c>
      <c r="M785">
        <v>1</v>
      </c>
      <c r="P785" t="s">
        <v>1310</v>
      </c>
      <c r="Q785" t="b">
        <f t="shared" si="25"/>
        <v>1</v>
      </c>
    </row>
    <row r="786" spans="1:17">
      <c r="A786">
        <f t="shared" si="24"/>
        <v>171</v>
      </c>
      <c r="B786" t="s">
        <v>1232</v>
      </c>
      <c r="C786" t="s">
        <v>1233</v>
      </c>
      <c r="D786" t="s">
        <v>1234</v>
      </c>
      <c r="E786">
        <v>40</v>
      </c>
      <c r="F786" t="s">
        <v>14</v>
      </c>
      <c r="G786" t="s">
        <v>30</v>
      </c>
      <c r="H786" t="s">
        <v>1235</v>
      </c>
      <c r="I786" t="s">
        <v>1244</v>
      </c>
      <c r="J786" t="s">
        <v>245</v>
      </c>
      <c r="K786">
        <v>800</v>
      </c>
      <c r="L786">
        <v>2</v>
      </c>
      <c r="M786">
        <v>1</v>
      </c>
      <c r="P786" t="s">
        <v>1310</v>
      </c>
      <c r="Q786" t="b">
        <f t="shared" si="25"/>
        <v>1</v>
      </c>
    </row>
    <row r="787" spans="1:17">
      <c r="A787">
        <f t="shared" si="24"/>
        <v>171</v>
      </c>
      <c r="B787" t="s">
        <v>1232</v>
      </c>
      <c r="C787" t="s">
        <v>1233</v>
      </c>
      <c r="D787" t="s">
        <v>1234</v>
      </c>
      <c r="E787">
        <v>40</v>
      </c>
      <c r="F787" t="s">
        <v>14</v>
      </c>
      <c r="G787" t="s">
        <v>30</v>
      </c>
      <c r="H787" t="s">
        <v>1235</v>
      </c>
      <c r="I787" t="s">
        <v>1244</v>
      </c>
      <c r="J787" t="s">
        <v>263</v>
      </c>
      <c r="K787">
        <v>1</v>
      </c>
      <c r="L787">
        <v>2</v>
      </c>
      <c r="M787">
        <v>1</v>
      </c>
      <c r="P787" t="s">
        <v>1310</v>
      </c>
      <c r="Q787" t="b">
        <f t="shared" si="25"/>
        <v>1</v>
      </c>
    </row>
    <row r="788" spans="1:17">
      <c r="A788">
        <f t="shared" si="24"/>
        <v>171</v>
      </c>
      <c r="B788" t="s">
        <v>1232</v>
      </c>
      <c r="C788" t="s">
        <v>1233</v>
      </c>
      <c r="D788" t="s">
        <v>1234</v>
      </c>
      <c r="E788">
        <v>40</v>
      </c>
      <c r="F788" t="s">
        <v>14</v>
      </c>
      <c r="G788" t="s">
        <v>30</v>
      </c>
      <c r="H788" t="s">
        <v>1235</v>
      </c>
      <c r="I788" t="s">
        <v>1245</v>
      </c>
      <c r="J788" t="s">
        <v>245</v>
      </c>
      <c r="K788">
        <v>800</v>
      </c>
      <c r="L788">
        <v>3</v>
      </c>
      <c r="M788">
        <v>1</v>
      </c>
      <c r="P788" t="s">
        <v>1310</v>
      </c>
      <c r="Q788" t="b">
        <f t="shared" si="25"/>
        <v>1</v>
      </c>
    </row>
    <row r="789" spans="1:17">
      <c r="A789">
        <f t="shared" si="24"/>
        <v>171</v>
      </c>
      <c r="B789" t="s">
        <v>1232</v>
      </c>
      <c r="C789" t="s">
        <v>1233</v>
      </c>
      <c r="D789" t="s">
        <v>1234</v>
      </c>
      <c r="E789">
        <v>40</v>
      </c>
      <c r="F789" t="s">
        <v>14</v>
      </c>
      <c r="G789" t="s">
        <v>30</v>
      </c>
      <c r="H789" t="s">
        <v>1235</v>
      </c>
      <c r="I789" t="s">
        <v>1245</v>
      </c>
      <c r="J789" t="s">
        <v>263</v>
      </c>
      <c r="K789">
        <v>2</v>
      </c>
      <c r="L789">
        <v>3</v>
      </c>
      <c r="M789">
        <v>1</v>
      </c>
      <c r="P789" t="s">
        <v>1310</v>
      </c>
      <c r="Q789" t="b">
        <f t="shared" si="25"/>
        <v>1</v>
      </c>
    </row>
    <row r="790" spans="1:17">
      <c r="A790">
        <f t="shared" si="24"/>
        <v>172</v>
      </c>
      <c r="B790" t="s">
        <v>1247</v>
      </c>
      <c r="C790" t="s">
        <v>1248</v>
      </c>
      <c r="D790" t="s">
        <v>1249</v>
      </c>
      <c r="E790">
        <v>27</v>
      </c>
      <c r="F790" t="s">
        <v>244</v>
      </c>
      <c r="G790" t="s">
        <v>15</v>
      </c>
      <c r="H790" t="s">
        <v>1251</v>
      </c>
      <c r="I790" t="s">
        <v>1250</v>
      </c>
      <c r="J790" t="s">
        <v>245</v>
      </c>
      <c r="K790">
        <v>800</v>
      </c>
      <c r="L790">
        <v>5</v>
      </c>
      <c r="M790">
        <v>3</v>
      </c>
      <c r="P790" t="s">
        <v>1311</v>
      </c>
      <c r="Q790" t="b">
        <f t="shared" si="25"/>
        <v>0</v>
      </c>
    </row>
    <row r="791" spans="1:17">
      <c r="A791">
        <f t="shared" si="24"/>
        <v>172</v>
      </c>
      <c r="B791" t="s">
        <v>1247</v>
      </c>
      <c r="C791" t="s">
        <v>1248</v>
      </c>
      <c r="D791" t="s">
        <v>1249</v>
      </c>
      <c r="E791">
        <v>27</v>
      </c>
      <c r="F791" t="s">
        <v>244</v>
      </c>
      <c r="G791" t="s">
        <v>15</v>
      </c>
      <c r="H791" t="s">
        <v>1251</v>
      </c>
      <c r="I791" t="s">
        <v>1250</v>
      </c>
      <c r="J791" t="s">
        <v>263</v>
      </c>
      <c r="K791">
        <v>1</v>
      </c>
      <c r="L791">
        <v>5</v>
      </c>
      <c r="M791">
        <v>3</v>
      </c>
      <c r="P791" t="s">
        <v>1311</v>
      </c>
      <c r="Q791" t="b">
        <f t="shared" si="25"/>
        <v>0</v>
      </c>
    </row>
    <row r="792" spans="1:17">
      <c r="A792">
        <f t="shared" si="24"/>
        <v>172</v>
      </c>
      <c r="B792" t="s">
        <v>1247</v>
      </c>
      <c r="C792" t="s">
        <v>1248</v>
      </c>
      <c r="D792" t="s">
        <v>1249</v>
      </c>
      <c r="E792">
        <v>27</v>
      </c>
      <c r="F792" t="s">
        <v>244</v>
      </c>
      <c r="G792" t="s">
        <v>15</v>
      </c>
      <c r="H792" t="s">
        <v>1251</v>
      </c>
      <c r="I792" t="s">
        <v>1252</v>
      </c>
      <c r="J792" t="s">
        <v>245</v>
      </c>
      <c r="K792">
        <v>800</v>
      </c>
      <c r="L792">
        <v>6</v>
      </c>
      <c r="M792">
        <v>2</v>
      </c>
      <c r="P792" t="s">
        <v>1311</v>
      </c>
      <c r="Q792" t="b">
        <f t="shared" si="25"/>
        <v>0</v>
      </c>
    </row>
    <row r="793" spans="1:17">
      <c r="A793">
        <f t="shared" si="24"/>
        <v>172</v>
      </c>
      <c r="B793" t="s">
        <v>1247</v>
      </c>
      <c r="C793" t="s">
        <v>1248</v>
      </c>
      <c r="D793" t="s">
        <v>1249</v>
      </c>
      <c r="E793">
        <v>27</v>
      </c>
      <c r="F793" t="s">
        <v>244</v>
      </c>
      <c r="G793" t="s">
        <v>15</v>
      </c>
      <c r="H793" t="s">
        <v>1251</v>
      </c>
      <c r="I793" t="s">
        <v>1252</v>
      </c>
      <c r="J793" t="s">
        <v>263</v>
      </c>
      <c r="K793">
        <v>1</v>
      </c>
      <c r="L793">
        <v>6</v>
      </c>
      <c r="M793">
        <v>2</v>
      </c>
      <c r="P793" t="s">
        <v>1311</v>
      </c>
      <c r="Q793" t="b">
        <f t="shared" si="25"/>
        <v>0</v>
      </c>
    </row>
    <row r="794" spans="1:17">
      <c r="A794">
        <f t="shared" si="24"/>
        <v>172</v>
      </c>
      <c r="B794" t="s">
        <v>1247</v>
      </c>
      <c r="C794" t="s">
        <v>1248</v>
      </c>
      <c r="D794" t="s">
        <v>1249</v>
      </c>
      <c r="E794">
        <v>27</v>
      </c>
      <c r="F794" t="s">
        <v>244</v>
      </c>
      <c r="G794" t="s">
        <v>15</v>
      </c>
      <c r="H794" t="s">
        <v>1251</v>
      </c>
      <c r="I794" t="s">
        <v>1253</v>
      </c>
      <c r="J794" t="s">
        <v>245</v>
      </c>
      <c r="K794">
        <v>800</v>
      </c>
      <c r="L794">
        <v>4</v>
      </c>
      <c r="M794">
        <v>0</v>
      </c>
      <c r="P794" t="s">
        <v>1311</v>
      </c>
      <c r="Q794" t="b">
        <f t="shared" si="25"/>
        <v>0</v>
      </c>
    </row>
    <row r="795" spans="1:17">
      <c r="A795">
        <f t="shared" si="24"/>
        <v>172</v>
      </c>
      <c r="B795" t="s">
        <v>1247</v>
      </c>
      <c r="C795" t="s">
        <v>1248</v>
      </c>
      <c r="D795" t="s">
        <v>1249</v>
      </c>
      <c r="E795">
        <v>27</v>
      </c>
      <c r="F795" t="s">
        <v>244</v>
      </c>
      <c r="G795" t="s">
        <v>15</v>
      </c>
      <c r="H795" t="s">
        <v>1251</v>
      </c>
      <c r="I795" t="s">
        <v>1253</v>
      </c>
      <c r="J795" t="s">
        <v>263</v>
      </c>
      <c r="K795">
        <v>1</v>
      </c>
      <c r="L795">
        <v>4</v>
      </c>
      <c r="M795">
        <v>0</v>
      </c>
      <c r="P795" t="s">
        <v>1311</v>
      </c>
      <c r="Q795" t="b">
        <f t="shared" si="25"/>
        <v>0</v>
      </c>
    </row>
    <row r="796" spans="1:17">
      <c r="A796">
        <f t="shared" si="24"/>
        <v>172</v>
      </c>
      <c r="B796" t="s">
        <v>1247</v>
      </c>
      <c r="C796" t="s">
        <v>1248</v>
      </c>
      <c r="D796" t="s">
        <v>1249</v>
      </c>
      <c r="E796">
        <v>27</v>
      </c>
      <c r="F796" t="s">
        <v>244</v>
      </c>
      <c r="G796" t="s">
        <v>15</v>
      </c>
      <c r="H796" t="s">
        <v>1251</v>
      </c>
      <c r="I796" t="s">
        <v>1254</v>
      </c>
      <c r="J796" t="s">
        <v>245</v>
      </c>
      <c r="K796">
        <v>800</v>
      </c>
      <c r="L796">
        <v>4</v>
      </c>
      <c r="M796">
        <v>2</v>
      </c>
      <c r="P796" t="s">
        <v>1311</v>
      </c>
      <c r="Q796" t="b">
        <f t="shared" si="25"/>
        <v>0</v>
      </c>
    </row>
    <row r="797" spans="1:17">
      <c r="A797">
        <f t="shared" si="24"/>
        <v>172</v>
      </c>
      <c r="B797" t="s">
        <v>1247</v>
      </c>
      <c r="C797" t="s">
        <v>1248</v>
      </c>
      <c r="D797" t="s">
        <v>1249</v>
      </c>
      <c r="E797">
        <v>27</v>
      </c>
      <c r="F797" t="s">
        <v>244</v>
      </c>
      <c r="G797" t="s">
        <v>15</v>
      </c>
      <c r="H797" t="s">
        <v>1251</v>
      </c>
      <c r="I797" t="s">
        <v>1255</v>
      </c>
      <c r="J797" t="s">
        <v>263</v>
      </c>
      <c r="K797">
        <v>1</v>
      </c>
      <c r="L797" t="s">
        <v>278</v>
      </c>
      <c r="M797" t="s">
        <v>278</v>
      </c>
      <c r="P797" t="s">
        <v>1311</v>
      </c>
      <c r="Q797" t="b">
        <f t="shared" si="25"/>
        <v>0</v>
      </c>
    </row>
    <row r="798" spans="1:17">
      <c r="A798">
        <f t="shared" si="24"/>
        <v>172</v>
      </c>
      <c r="B798" t="s">
        <v>1247</v>
      </c>
      <c r="C798" t="s">
        <v>1248</v>
      </c>
      <c r="D798" t="s">
        <v>1249</v>
      </c>
      <c r="E798">
        <v>27</v>
      </c>
      <c r="F798" t="s">
        <v>244</v>
      </c>
      <c r="G798" t="s">
        <v>15</v>
      </c>
      <c r="H798" t="s">
        <v>1251</v>
      </c>
      <c r="I798" t="s">
        <v>1256</v>
      </c>
      <c r="J798" t="s">
        <v>245</v>
      </c>
      <c r="K798">
        <v>800</v>
      </c>
      <c r="L798">
        <v>5</v>
      </c>
      <c r="M798">
        <v>2</v>
      </c>
      <c r="P798" t="s">
        <v>1311</v>
      </c>
      <c r="Q798" t="b">
        <f t="shared" si="25"/>
        <v>0</v>
      </c>
    </row>
    <row r="799" spans="1:17">
      <c r="A799">
        <f t="shared" si="24"/>
        <v>172</v>
      </c>
      <c r="B799" t="s">
        <v>1247</v>
      </c>
      <c r="C799" t="s">
        <v>1248</v>
      </c>
      <c r="D799" t="s">
        <v>1249</v>
      </c>
      <c r="E799">
        <v>27</v>
      </c>
      <c r="F799" t="s">
        <v>244</v>
      </c>
      <c r="G799" t="s">
        <v>15</v>
      </c>
      <c r="H799" t="s">
        <v>1251</v>
      </c>
      <c r="I799" t="s">
        <v>1256</v>
      </c>
      <c r="J799" t="s">
        <v>263</v>
      </c>
      <c r="K799">
        <v>1</v>
      </c>
      <c r="L799">
        <v>5</v>
      </c>
      <c r="M799">
        <v>2</v>
      </c>
      <c r="P799" t="s">
        <v>1311</v>
      </c>
      <c r="Q799" t="b">
        <f t="shared" si="25"/>
        <v>0</v>
      </c>
    </row>
    <row r="800" spans="1:17">
      <c r="A800">
        <f t="shared" si="24"/>
        <v>172</v>
      </c>
      <c r="B800" t="s">
        <v>1247</v>
      </c>
      <c r="C800" t="s">
        <v>1248</v>
      </c>
      <c r="D800" t="s">
        <v>1249</v>
      </c>
      <c r="E800">
        <v>27</v>
      </c>
      <c r="F800" t="s">
        <v>244</v>
      </c>
      <c r="G800" t="s">
        <v>15</v>
      </c>
      <c r="H800" t="s">
        <v>1251</v>
      </c>
      <c r="I800" t="s">
        <v>1257</v>
      </c>
      <c r="J800" t="s">
        <v>245</v>
      </c>
      <c r="K800">
        <v>800</v>
      </c>
      <c r="L800">
        <v>5</v>
      </c>
      <c r="M800">
        <v>0</v>
      </c>
      <c r="P800" t="s">
        <v>1311</v>
      </c>
      <c r="Q800" t="b">
        <f t="shared" si="25"/>
        <v>0</v>
      </c>
    </row>
    <row r="801" spans="1:17">
      <c r="A801">
        <f t="shared" si="24"/>
        <v>172</v>
      </c>
      <c r="B801" t="s">
        <v>1247</v>
      </c>
      <c r="C801" t="s">
        <v>1248</v>
      </c>
      <c r="D801" t="s">
        <v>1249</v>
      </c>
      <c r="E801">
        <v>27</v>
      </c>
      <c r="F801" t="s">
        <v>244</v>
      </c>
      <c r="G801" t="s">
        <v>15</v>
      </c>
      <c r="H801" t="s">
        <v>1251</v>
      </c>
      <c r="I801" t="s">
        <v>1257</v>
      </c>
      <c r="J801" t="s">
        <v>263</v>
      </c>
      <c r="K801">
        <v>1</v>
      </c>
      <c r="L801">
        <v>5</v>
      </c>
      <c r="M801">
        <v>0</v>
      </c>
      <c r="P801" t="s">
        <v>1311</v>
      </c>
      <c r="Q801" t="b">
        <f t="shared" si="25"/>
        <v>0</v>
      </c>
    </row>
    <row r="802" spans="1:17">
      <c r="A802">
        <f t="shared" si="24"/>
        <v>172</v>
      </c>
      <c r="B802" t="s">
        <v>1247</v>
      </c>
      <c r="C802" t="s">
        <v>1248</v>
      </c>
      <c r="D802" t="s">
        <v>1249</v>
      </c>
      <c r="E802">
        <v>27</v>
      </c>
      <c r="F802" t="s">
        <v>244</v>
      </c>
      <c r="G802" t="s">
        <v>15</v>
      </c>
      <c r="H802" t="s">
        <v>1251</v>
      </c>
      <c r="I802" t="s">
        <v>1258</v>
      </c>
      <c r="J802" t="s">
        <v>245</v>
      </c>
      <c r="K802">
        <v>800</v>
      </c>
      <c r="L802">
        <v>3</v>
      </c>
      <c r="M802">
        <v>2</v>
      </c>
      <c r="P802" t="s">
        <v>1311</v>
      </c>
      <c r="Q802" t="b">
        <f t="shared" si="25"/>
        <v>0</v>
      </c>
    </row>
    <row r="803" spans="1:17">
      <c r="A803">
        <f t="shared" si="24"/>
        <v>172</v>
      </c>
      <c r="B803" t="s">
        <v>1247</v>
      </c>
      <c r="C803" t="s">
        <v>1248</v>
      </c>
      <c r="D803" t="s">
        <v>1249</v>
      </c>
      <c r="E803">
        <v>27</v>
      </c>
      <c r="F803" t="s">
        <v>244</v>
      </c>
      <c r="G803" t="s">
        <v>15</v>
      </c>
      <c r="H803" t="s">
        <v>1251</v>
      </c>
      <c r="I803" t="s">
        <v>1258</v>
      </c>
      <c r="J803" t="s">
        <v>263</v>
      </c>
      <c r="K803">
        <v>1</v>
      </c>
      <c r="L803">
        <v>3</v>
      </c>
      <c r="M803">
        <v>2</v>
      </c>
      <c r="P803" t="s">
        <v>1311</v>
      </c>
      <c r="Q803" t="b">
        <f t="shared" si="25"/>
        <v>0</v>
      </c>
    </row>
    <row r="804" spans="1:17">
      <c r="A804">
        <f t="shared" si="24"/>
        <v>173</v>
      </c>
      <c r="B804" t="s">
        <v>1259</v>
      </c>
      <c r="C804" t="s">
        <v>1260</v>
      </c>
      <c r="D804" t="s">
        <v>1261</v>
      </c>
      <c r="E804">
        <v>31</v>
      </c>
      <c r="F804" t="s">
        <v>14</v>
      </c>
      <c r="G804" t="s">
        <v>15</v>
      </c>
      <c r="H804" t="s">
        <v>1262</v>
      </c>
      <c r="I804" t="s">
        <v>1263</v>
      </c>
      <c r="J804" t="s">
        <v>263</v>
      </c>
      <c r="K804">
        <v>1</v>
      </c>
      <c r="L804">
        <v>8</v>
      </c>
      <c r="M804">
        <v>3</v>
      </c>
      <c r="Q804" t="b">
        <f t="shared" si="25"/>
        <v>1</v>
      </c>
    </row>
    <row r="805" spans="1:17">
      <c r="A805">
        <f t="shared" si="24"/>
        <v>173</v>
      </c>
      <c r="B805" t="s">
        <v>1259</v>
      </c>
      <c r="C805" t="s">
        <v>1260</v>
      </c>
      <c r="D805" t="s">
        <v>1261</v>
      </c>
      <c r="E805">
        <v>31</v>
      </c>
      <c r="F805" t="s">
        <v>14</v>
      </c>
      <c r="G805" t="s">
        <v>15</v>
      </c>
      <c r="H805" t="s">
        <v>1262</v>
      </c>
      <c r="I805" t="s">
        <v>1264</v>
      </c>
      <c r="J805" t="s">
        <v>263</v>
      </c>
      <c r="L805">
        <v>7</v>
      </c>
      <c r="M805">
        <v>3</v>
      </c>
      <c r="Q805" t="b">
        <f t="shared" si="25"/>
        <v>1</v>
      </c>
    </row>
    <row r="806" spans="1:17">
      <c r="A806">
        <f t="shared" si="24"/>
        <v>173</v>
      </c>
      <c r="B806" t="s">
        <v>1259</v>
      </c>
      <c r="C806" t="s">
        <v>1260</v>
      </c>
      <c r="D806" t="s">
        <v>1261</v>
      </c>
      <c r="E806">
        <v>31</v>
      </c>
      <c r="F806" t="s">
        <v>14</v>
      </c>
      <c r="G806" t="s">
        <v>15</v>
      </c>
      <c r="H806" t="s">
        <v>1262</v>
      </c>
      <c r="I806" t="s">
        <v>1265</v>
      </c>
      <c r="J806" t="s">
        <v>245</v>
      </c>
      <c r="K806">
        <v>800</v>
      </c>
      <c r="L806">
        <v>8</v>
      </c>
      <c r="M806">
        <v>6</v>
      </c>
      <c r="Q806" t="b">
        <f t="shared" si="25"/>
        <v>1</v>
      </c>
    </row>
    <row r="807" spans="1:17">
      <c r="A807">
        <f t="shared" si="24"/>
        <v>173</v>
      </c>
      <c r="B807" t="s">
        <v>1259</v>
      </c>
      <c r="C807" t="s">
        <v>1260</v>
      </c>
      <c r="D807" t="s">
        <v>1261</v>
      </c>
      <c r="E807">
        <v>31</v>
      </c>
      <c r="F807" t="s">
        <v>14</v>
      </c>
      <c r="G807" t="s">
        <v>15</v>
      </c>
      <c r="H807" t="s">
        <v>1262</v>
      </c>
      <c r="I807" t="s">
        <v>1265</v>
      </c>
      <c r="J807" t="s">
        <v>263</v>
      </c>
      <c r="K807">
        <v>1</v>
      </c>
      <c r="L807">
        <v>8</v>
      </c>
      <c r="M807">
        <v>6</v>
      </c>
      <c r="Q807" t="b">
        <f t="shared" si="25"/>
        <v>1</v>
      </c>
    </row>
    <row r="808" spans="1:17">
      <c r="A808">
        <f t="shared" si="24"/>
        <v>173</v>
      </c>
      <c r="B808" t="s">
        <v>1259</v>
      </c>
      <c r="C808" t="s">
        <v>1260</v>
      </c>
      <c r="D808" t="s">
        <v>1261</v>
      </c>
      <c r="E808">
        <v>31</v>
      </c>
      <c r="F808" t="s">
        <v>14</v>
      </c>
      <c r="G808" t="s">
        <v>15</v>
      </c>
      <c r="H808" t="s">
        <v>1262</v>
      </c>
      <c r="I808" t="s">
        <v>1266</v>
      </c>
      <c r="J808" t="s">
        <v>263</v>
      </c>
      <c r="K808">
        <v>2</v>
      </c>
      <c r="L808">
        <v>6</v>
      </c>
      <c r="M808">
        <v>2</v>
      </c>
      <c r="Q808" t="b">
        <f t="shared" si="25"/>
        <v>1</v>
      </c>
    </row>
    <row r="809" spans="1:17">
      <c r="A809">
        <f t="shared" si="24"/>
        <v>173</v>
      </c>
      <c r="B809" t="s">
        <v>1259</v>
      </c>
      <c r="C809" t="s">
        <v>1260</v>
      </c>
      <c r="D809" t="s">
        <v>1261</v>
      </c>
      <c r="E809">
        <v>31</v>
      </c>
      <c r="F809" t="s">
        <v>14</v>
      </c>
      <c r="G809" t="s">
        <v>15</v>
      </c>
      <c r="H809" t="s">
        <v>1262</v>
      </c>
      <c r="I809" t="s">
        <v>1267</v>
      </c>
      <c r="J809" t="s">
        <v>245</v>
      </c>
      <c r="K809">
        <v>800</v>
      </c>
      <c r="L809">
        <v>2</v>
      </c>
      <c r="M809">
        <v>4</v>
      </c>
      <c r="Q809" t="b">
        <f t="shared" si="25"/>
        <v>1</v>
      </c>
    </row>
    <row r="810" spans="1:17">
      <c r="A810">
        <f t="shared" si="24"/>
        <v>173</v>
      </c>
      <c r="B810" t="s">
        <v>1259</v>
      </c>
      <c r="C810" t="s">
        <v>1260</v>
      </c>
      <c r="D810" t="s">
        <v>1261</v>
      </c>
      <c r="E810">
        <v>31</v>
      </c>
      <c r="F810" t="s">
        <v>14</v>
      </c>
      <c r="G810" t="s">
        <v>15</v>
      </c>
      <c r="H810" t="s">
        <v>1262</v>
      </c>
      <c r="I810" t="s">
        <v>1268</v>
      </c>
      <c r="J810" t="s">
        <v>263</v>
      </c>
      <c r="K810">
        <v>2</v>
      </c>
      <c r="L810">
        <v>6</v>
      </c>
      <c r="M810">
        <v>6</v>
      </c>
      <c r="Q810" t="b">
        <f t="shared" si="25"/>
        <v>1</v>
      </c>
    </row>
    <row r="811" spans="1:17">
      <c r="A811">
        <f t="shared" si="24"/>
        <v>173</v>
      </c>
      <c r="B811" t="s">
        <v>1259</v>
      </c>
      <c r="C811" t="s">
        <v>1260</v>
      </c>
      <c r="D811" t="s">
        <v>1261</v>
      </c>
      <c r="E811">
        <v>31</v>
      </c>
      <c r="F811" t="s">
        <v>14</v>
      </c>
      <c r="G811" t="s">
        <v>15</v>
      </c>
      <c r="H811" t="s">
        <v>1262</v>
      </c>
      <c r="I811" t="s">
        <v>1269</v>
      </c>
      <c r="J811" t="s">
        <v>245</v>
      </c>
      <c r="K811">
        <v>800</v>
      </c>
      <c r="L811">
        <v>5</v>
      </c>
      <c r="M811">
        <v>3</v>
      </c>
      <c r="Q811" t="b">
        <f t="shared" si="25"/>
        <v>1</v>
      </c>
    </row>
    <row r="812" spans="1:17">
      <c r="A812">
        <f t="shared" si="24"/>
        <v>173</v>
      </c>
      <c r="B812" t="s">
        <v>1259</v>
      </c>
      <c r="C812" t="s">
        <v>1260</v>
      </c>
      <c r="D812" t="s">
        <v>1261</v>
      </c>
      <c r="E812">
        <v>31</v>
      </c>
      <c r="F812" t="s">
        <v>14</v>
      </c>
      <c r="G812" t="s">
        <v>15</v>
      </c>
      <c r="H812" t="s">
        <v>1262</v>
      </c>
      <c r="I812" t="s">
        <v>1269</v>
      </c>
      <c r="J812" t="s">
        <v>263</v>
      </c>
      <c r="K812">
        <v>1</v>
      </c>
      <c r="L812">
        <v>5</v>
      </c>
      <c r="M812">
        <v>3</v>
      </c>
      <c r="Q812" t="b">
        <f t="shared" si="25"/>
        <v>1</v>
      </c>
    </row>
    <row r="813" spans="1:17">
      <c r="A813">
        <f t="shared" si="24"/>
        <v>173</v>
      </c>
      <c r="B813" t="s">
        <v>1259</v>
      </c>
      <c r="C813" t="s">
        <v>1260</v>
      </c>
      <c r="D813" t="s">
        <v>1261</v>
      </c>
      <c r="E813">
        <v>31</v>
      </c>
      <c r="F813" t="s">
        <v>14</v>
      </c>
      <c r="G813" t="s">
        <v>15</v>
      </c>
      <c r="H813" t="s">
        <v>1262</v>
      </c>
      <c r="I813" t="s">
        <v>1270</v>
      </c>
      <c r="J813" t="s">
        <v>263</v>
      </c>
      <c r="K813">
        <v>2</v>
      </c>
      <c r="L813">
        <v>6</v>
      </c>
      <c r="M813">
        <v>4</v>
      </c>
      <c r="Q813" t="b">
        <f t="shared" si="25"/>
        <v>1</v>
      </c>
    </row>
    <row r="814" spans="1:17">
      <c r="A814">
        <f t="shared" si="24"/>
        <v>173</v>
      </c>
      <c r="B814" t="s">
        <v>1259</v>
      </c>
      <c r="C814" t="s">
        <v>1260</v>
      </c>
      <c r="D814" t="s">
        <v>1261</v>
      </c>
      <c r="E814">
        <v>31</v>
      </c>
      <c r="F814" t="s">
        <v>14</v>
      </c>
      <c r="G814" t="s">
        <v>15</v>
      </c>
      <c r="H814" t="s">
        <v>1262</v>
      </c>
      <c r="I814" t="s">
        <v>1271</v>
      </c>
      <c r="J814" t="s">
        <v>245</v>
      </c>
      <c r="K814">
        <v>800</v>
      </c>
      <c r="L814">
        <v>5</v>
      </c>
      <c r="M814">
        <v>3</v>
      </c>
      <c r="Q814" t="b">
        <f t="shared" si="25"/>
        <v>1</v>
      </c>
    </row>
    <row r="815" spans="1:17">
      <c r="A815">
        <f t="shared" si="24"/>
        <v>173</v>
      </c>
      <c r="B815" t="s">
        <v>1259</v>
      </c>
      <c r="C815" t="s">
        <v>1260</v>
      </c>
      <c r="D815" t="s">
        <v>1261</v>
      </c>
      <c r="E815">
        <v>31</v>
      </c>
      <c r="F815" t="s">
        <v>14</v>
      </c>
      <c r="G815" t="s">
        <v>15</v>
      </c>
      <c r="H815" t="s">
        <v>1262</v>
      </c>
      <c r="I815" t="s">
        <v>1271</v>
      </c>
      <c r="J815" t="s">
        <v>263</v>
      </c>
      <c r="K815">
        <v>1</v>
      </c>
      <c r="L815">
        <v>5</v>
      </c>
      <c r="M815">
        <v>3</v>
      </c>
      <c r="Q815" t="b">
        <f t="shared" si="25"/>
        <v>1</v>
      </c>
    </row>
    <row r="816" spans="1:17">
      <c r="A816">
        <f t="shared" si="24"/>
        <v>173</v>
      </c>
      <c r="B816" t="s">
        <v>1259</v>
      </c>
      <c r="C816" t="s">
        <v>1260</v>
      </c>
      <c r="D816" t="s">
        <v>1261</v>
      </c>
      <c r="E816">
        <v>31</v>
      </c>
      <c r="F816" t="s">
        <v>14</v>
      </c>
      <c r="G816" t="s">
        <v>15</v>
      </c>
      <c r="H816" t="s">
        <v>1262</v>
      </c>
      <c r="I816" t="s">
        <v>1272</v>
      </c>
      <c r="J816" t="s">
        <v>263</v>
      </c>
      <c r="K816">
        <v>2</v>
      </c>
      <c r="L816">
        <v>6</v>
      </c>
      <c r="M816">
        <v>0</v>
      </c>
      <c r="Q816" t="b">
        <f t="shared" si="25"/>
        <v>1</v>
      </c>
    </row>
    <row r="817" spans="1:17">
      <c r="A817">
        <f t="shared" si="24"/>
        <v>173</v>
      </c>
      <c r="B817" t="s">
        <v>1259</v>
      </c>
      <c r="C817" t="s">
        <v>1260</v>
      </c>
      <c r="D817" t="s">
        <v>1261</v>
      </c>
      <c r="E817">
        <v>31</v>
      </c>
      <c r="F817" t="s">
        <v>14</v>
      </c>
      <c r="G817" t="s">
        <v>15</v>
      </c>
      <c r="H817" t="s">
        <v>1262</v>
      </c>
      <c r="I817" t="s">
        <v>1273</v>
      </c>
      <c r="J817" t="s">
        <v>245</v>
      </c>
      <c r="K817">
        <v>800</v>
      </c>
      <c r="L817">
        <v>4</v>
      </c>
      <c r="M817">
        <v>2</v>
      </c>
      <c r="Q817" t="b">
        <f t="shared" si="25"/>
        <v>1</v>
      </c>
    </row>
    <row r="818" spans="1:17">
      <c r="A818">
        <f t="shared" si="24"/>
        <v>173</v>
      </c>
      <c r="B818" t="s">
        <v>1259</v>
      </c>
      <c r="C818" t="s">
        <v>1260</v>
      </c>
      <c r="D818" t="s">
        <v>1261</v>
      </c>
      <c r="E818">
        <v>31</v>
      </c>
      <c r="F818" t="s">
        <v>14</v>
      </c>
      <c r="G818" t="s">
        <v>15</v>
      </c>
      <c r="H818" t="s">
        <v>1262</v>
      </c>
      <c r="I818" t="s">
        <v>1273</v>
      </c>
      <c r="J818" t="s">
        <v>263</v>
      </c>
      <c r="K818">
        <v>2</v>
      </c>
      <c r="L818">
        <v>4</v>
      </c>
      <c r="M818">
        <v>2</v>
      </c>
      <c r="Q818" t="b">
        <f t="shared" si="25"/>
        <v>1</v>
      </c>
    </row>
    <row r="819" spans="1:17">
      <c r="A819">
        <f t="shared" si="24"/>
        <v>173</v>
      </c>
      <c r="B819" t="s">
        <v>1259</v>
      </c>
      <c r="C819" t="s">
        <v>1260</v>
      </c>
      <c r="D819" t="s">
        <v>1261</v>
      </c>
      <c r="E819">
        <v>31</v>
      </c>
      <c r="F819" t="s">
        <v>14</v>
      </c>
      <c r="G819" t="s">
        <v>15</v>
      </c>
      <c r="H819" t="s">
        <v>1262</v>
      </c>
      <c r="I819" t="s">
        <v>1274</v>
      </c>
      <c r="J819" t="s">
        <v>263</v>
      </c>
      <c r="K819">
        <v>2</v>
      </c>
      <c r="L819">
        <v>6</v>
      </c>
      <c r="M819">
        <v>2</v>
      </c>
      <c r="Q819" t="b">
        <f t="shared" si="25"/>
        <v>1</v>
      </c>
    </row>
    <row r="820" spans="1:17">
      <c r="A820">
        <f t="shared" si="24"/>
        <v>173</v>
      </c>
      <c r="B820" t="s">
        <v>1259</v>
      </c>
      <c r="C820" t="s">
        <v>1260</v>
      </c>
      <c r="D820" t="s">
        <v>1261</v>
      </c>
      <c r="E820">
        <v>31</v>
      </c>
      <c r="F820" t="s">
        <v>14</v>
      </c>
      <c r="G820" t="s">
        <v>15</v>
      </c>
      <c r="H820" t="s">
        <v>1262</v>
      </c>
      <c r="I820" t="s">
        <v>1275</v>
      </c>
      <c r="J820" t="s">
        <v>245</v>
      </c>
      <c r="K820">
        <v>800</v>
      </c>
      <c r="L820">
        <v>5</v>
      </c>
      <c r="M820">
        <v>4</v>
      </c>
      <c r="Q820" t="b">
        <f t="shared" si="25"/>
        <v>1</v>
      </c>
    </row>
    <row r="821" spans="1:17">
      <c r="A821">
        <f t="shared" si="24"/>
        <v>173</v>
      </c>
      <c r="B821" t="s">
        <v>1259</v>
      </c>
      <c r="C821" t="s">
        <v>1260</v>
      </c>
      <c r="D821" t="s">
        <v>1261</v>
      </c>
      <c r="E821">
        <v>31</v>
      </c>
      <c r="F821" t="s">
        <v>14</v>
      </c>
      <c r="G821" t="s">
        <v>15</v>
      </c>
      <c r="H821" t="s">
        <v>1262</v>
      </c>
      <c r="I821" t="s">
        <v>1275</v>
      </c>
      <c r="J821" t="s">
        <v>263</v>
      </c>
      <c r="K821">
        <v>1</v>
      </c>
      <c r="L821">
        <v>5</v>
      </c>
      <c r="M821">
        <v>4</v>
      </c>
      <c r="Q821" t="b">
        <f t="shared" si="25"/>
        <v>1</v>
      </c>
    </row>
    <row r="822" spans="1:17">
      <c r="A822">
        <f t="shared" si="24"/>
        <v>173</v>
      </c>
      <c r="B822" t="s">
        <v>1259</v>
      </c>
      <c r="C822" t="s">
        <v>1260</v>
      </c>
      <c r="D822" t="s">
        <v>1261</v>
      </c>
      <c r="E822">
        <v>31</v>
      </c>
      <c r="F822" t="s">
        <v>14</v>
      </c>
      <c r="G822" t="s">
        <v>15</v>
      </c>
      <c r="H822" t="s">
        <v>1262</v>
      </c>
      <c r="I822" t="s">
        <v>1276</v>
      </c>
      <c r="J822" t="s">
        <v>263</v>
      </c>
      <c r="K822">
        <v>2</v>
      </c>
      <c r="L822">
        <v>7</v>
      </c>
      <c r="M822">
        <v>3</v>
      </c>
      <c r="Q822" t="b">
        <f t="shared" si="25"/>
        <v>1</v>
      </c>
    </row>
    <row r="823" spans="1:17">
      <c r="A823">
        <f t="shared" si="24"/>
        <v>174</v>
      </c>
      <c r="B823" t="s">
        <v>1277</v>
      </c>
      <c r="C823" t="s">
        <v>1278</v>
      </c>
      <c r="D823" t="s">
        <v>278</v>
      </c>
      <c r="E823">
        <v>35</v>
      </c>
      <c r="F823" t="s">
        <v>14</v>
      </c>
      <c r="G823" t="s">
        <v>15</v>
      </c>
      <c r="H823" t="s">
        <v>1279</v>
      </c>
      <c r="I823" t="s">
        <v>1280</v>
      </c>
      <c r="J823" t="s">
        <v>263</v>
      </c>
      <c r="K823">
        <v>2</v>
      </c>
      <c r="L823" t="s">
        <v>278</v>
      </c>
      <c r="M823" t="s">
        <v>278</v>
      </c>
      <c r="P823" t="s">
        <v>1312</v>
      </c>
      <c r="Q823" t="b">
        <f t="shared" si="25"/>
        <v>0</v>
      </c>
    </row>
    <row r="824" spans="1:17">
      <c r="A824">
        <f t="shared" si="24"/>
        <v>174</v>
      </c>
      <c r="B824" t="s">
        <v>1277</v>
      </c>
      <c r="C824" t="s">
        <v>1278</v>
      </c>
      <c r="D824" t="s">
        <v>278</v>
      </c>
      <c r="E824">
        <v>35</v>
      </c>
      <c r="F824" t="s">
        <v>14</v>
      </c>
      <c r="G824" t="s">
        <v>15</v>
      </c>
      <c r="H824" t="s">
        <v>1279</v>
      </c>
      <c r="I824" t="s">
        <v>1281</v>
      </c>
      <c r="J824" t="s">
        <v>245</v>
      </c>
      <c r="K824">
        <v>800</v>
      </c>
      <c r="L824" t="s">
        <v>278</v>
      </c>
      <c r="M824" t="s">
        <v>278</v>
      </c>
      <c r="P824" t="s">
        <v>1312</v>
      </c>
      <c r="Q824" t="b">
        <f t="shared" si="25"/>
        <v>0</v>
      </c>
    </row>
    <row r="825" spans="1:17">
      <c r="A825">
        <f t="shared" si="24"/>
        <v>174</v>
      </c>
      <c r="B825" t="s">
        <v>1277</v>
      </c>
      <c r="C825" t="s">
        <v>1278</v>
      </c>
      <c r="D825" t="s">
        <v>278</v>
      </c>
      <c r="E825">
        <v>35</v>
      </c>
      <c r="F825" t="s">
        <v>14</v>
      </c>
      <c r="G825" t="s">
        <v>15</v>
      </c>
      <c r="H825" t="s">
        <v>1279</v>
      </c>
      <c r="I825" t="s">
        <v>1282</v>
      </c>
      <c r="J825" t="s">
        <v>263</v>
      </c>
      <c r="K825">
        <v>2</v>
      </c>
      <c r="L825" t="s">
        <v>278</v>
      </c>
      <c r="M825" t="s">
        <v>278</v>
      </c>
      <c r="P825" t="s">
        <v>1312</v>
      </c>
      <c r="Q825" t="b">
        <f t="shared" si="25"/>
        <v>0</v>
      </c>
    </row>
    <row r="826" spans="1:17">
      <c r="A826">
        <f t="shared" si="24"/>
        <v>174</v>
      </c>
      <c r="B826" t="s">
        <v>1277</v>
      </c>
      <c r="C826" t="s">
        <v>1278</v>
      </c>
      <c r="D826" t="s">
        <v>278</v>
      </c>
      <c r="E826">
        <v>35</v>
      </c>
      <c r="F826" t="s">
        <v>14</v>
      </c>
      <c r="G826" t="s">
        <v>15</v>
      </c>
      <c r="H826" t="s">
        <v>1279</v>
      </c>
      <c r="I826" t="s">
        <v>1283</v>
      </c>
      <c r="J826" t="s">
        <v>263</v>
      </c>
      <c r="K826">
        <v>2</v>
      </c>
      <c r="L826" t="s">
        <v>278</v>
      </c>
      <c r="M826" t="s">
        <v>278</v>
      </c>
      <c r="P826" t="s">
        <v>1312</v>
      </c>
      <c r="Q826" t="b">
        <f t="shared" si="25"/>
        <v>0</v>
      </c>
    </row>
    <row r="827" spans="1:17">
      <c r="A827">
        <f t="shared" si="24"/>
        <v>174</v>
      </c>
      <c r="B827" t="s">
        <v>1277</v>
      </c>
      <c r="C827" t="s">
        <v>1278</v>
      </c>
      <c r="D827" t="s">
        <v>278</v>
      </c>
      <c r="E827">
        <v>35</v>
      </c>
      <c r="F827" t="s">
        <v>14</v>
      </c>
      <c r="G827" t="s">
        <v>15</v>
      </c>
      <c r="H827" t="s">
        <v>1279</v>
      </c>
      <c r="I827" t="s">
        <v>1284</v>
      </c>
      <c r="J827" t="s">
        <v>245</v>
      </c>
      <c r="K827">
        <v>800</v>
      </c>
      <c r="L827" t="s">
        <v>278</v>
      </c>
      <c r="M827" t="s">
        <v>278</v>
      </c>
      <c r="P827" t="s">
        <v>1312</v>
      </c>
      <c r="Q827" t="b">
        <f t="shared" si="25"/>
        <v>0</v>
      </c>
    </row>
    <row r="828" spans="1:17">
      <c r="A828">
        <f t="shared" si="24"/>
        <v>174</v>
      </c>
      <c r="B828" t="s">
        <v>1277</v>
      </c>
      <c r="C828" t="s">
        <v>1278</v>
      </c>
      <c r="D828" t="s">
        <v>278</v>
      </c>
      <c r="E828">
        <v>35</v>
      </c>
      <c r="F828" t="s">
        <v>14</v>
      </c>
      <c r="G828" t="s">
        <v>15</v>
      </c>
      <c r="H828" t="s">
        <v>1279</v>
      </c>
      <c r="I828" t="s">
        <v>1284</v>
      </c>
      <c r="J828" t="s">
        <v>263</v>
      </c>
      <c r="K828">
        <v>1</v>
      </c>
      <c r="L828" t="s">
        <v>278</v>
      </c>
      <c r="M828" t="s">
        <v>278</v>
      </c>
      <c r="P828" t="s">
        <v>1312</v>
      </c>
      <c r="Q828" t="b">
        <f t="shared" si="25"/>
        <v>0</v>
      </c>
    </row>
    <row r="829" spans="1:17">
      <c r="A829">
        <f t="shared" si="24"/>
        <v>174</v>
      </c>
      <c r="B829" t="s">
        <v>1277</v>
      </c>
      <c r="C829" t="s">
        <v>1278</v>
      </c>
      <c r="D829" t="s">
        <v>278</v>
      </c>
      <c r="E829">
        <v>35</v>
      </c>
      <c r="F829" t="s">
        <v>14</v>
      </c>
      <c r="G829" t="s">
        <v>15</v>
      </c>
      <c r="H829" t="s">
        <v>1279</v>
      </c>
      <c r="I829" t="s">
        <v>1285</v>
      </c>
      <c r="J829" t="s">
        <v>263</v>
      </c>
      <c r="K829">
        <v>2</v>
      </c>
      <c r="L829" t="s">
        <v>278</v>
      </c>
      <c r="M829" t="s">
        <v>278</v>
      </c>
      <c r="P829" t="s">
        <v>1312</v>
      </c>
      <c r="Q829" t="b">
        <f t="shared" si="25"/>
        <v>0</v>
      </c>
    </row>
    <row r="830" spans="1:17">
      <c r="A830">
        <f t="shared" si="24"/>
        <v>174</v>
      </c>
      <c r="B830" t="s">
        <v>1277</v>
      </c>
      <c r="C830" t="s">
        <v>1278</v>
      </c>
      <c r="D830" t="s">
        <v>278</v>
      </c>
      <c r="E830">
        <v>35</v>
      </c>
      <c r="F830" t="s">
        <v>14</v>
      </c>
      <c r="G830" t="s">
        <v>15</v>
      </c>
      <c r="H830" t="s">
        <v>1279</v>
      </c>
      <c r="I830" t="s">
        <v>1286</v>
      </c>
      <c r="J830" t="s">
        <v>245</v>
      </c>
      <c r="K830">
        <v>800</v>
      </c>
      <c r="L830" t="s">
        <v>278</v>
      </c>
      <c r="M830" t="s">
        <v>278</v>
      </c>
      <c r="P830" t="s">
        <v>1312</v>
      </c>
      <c r="Q830" t="b">
        <f t="shared" si="25"/>
        <v>0</v>
      </c>
    </row>
    <row r="831" spans="1:17">
      <c r="A831">
        <f t="shared" si="24"/>
        <v>174</v>
      </c>
      <c r="B831" t="s">
        <v>1277</v>
      </c>
      <c r="C831" t="s">
        <v>1278</v>
      </c>
      <c r="D831" t="s">
        <v>278</v>
      </c>
      <c r="E831">
        <v>35</v>
      </c>
      <c r="F831" t="s">
        <v>14</v>
      </c>
      <c r="G831" t="s">
        <v>15</v>
      </c>
      <c r="H831" t="s">
        <v>1279</v>
      </c>
      <c r="I831" t="s">
        <v>1284</v>
      </c>
      <c r="J831" t="s">
        <v>263</v>
      </c>
      <c r="K831">
        <v>2</v>
      </c>
      <c r="L831" t="s">
        <v>278</v>
      </c>
      <c r="M831" t="s">
        <v>278</v>
      </c>
      <c r="P831" t="s">
        <v>1312</v>
      </c>
      <c r="Q831" t="b">
        <f t="shared" si="25"/>
        <v>0</v>
      </c>
    </row>
    <row r="832" spans="1:17">
      <c r="A832">
        <f t="shared" si="24"/>
        <v>174</v>
      </c>
      <c r="B832" t="s">
        <v>1277</v>
      </c>
      <c r="C832" t="s">
        <v>1278</v>
      </c>
      <c r="D832" t="s">
        <v>278</v>
      </c>
      <c r="E832">
        <v>35</v>
      </c>
      <c r="F832" t="s">
        <v>14</v>
      </c>
      <c r="G832" t="s">
        <v>15</v>
      </c>
      <c r="H832" t="s">
        <v>1279</v>
      </c>
      <c r="I832" t="s">
        <v>1287</v>
      </c>
      <c r="J832" t="s">
        <v>245</v>
      </c>
      <c r="K832">
        <v>800</v>
      </c>
      <c r="L832" t="s">
        <v>278</v>
      </c>
      <c r="M832" t="s">
        <v>278</v>
      </c>
      <c r="P832" t="s">
        <v>1312</v>
      </c>
      <c r="Q832" t="b">
        <f t="shared" si="25"/>
        <v>0</v>
      </c>
    </row>
    <row r="833" spans="1:17">
      <c r="A833">
        <f t="shared" si="24"/>
        <v>174</v>
      </c>
      <c r="B833" t="s">
        <v>1277</v>
      </c>
      <c r="C833" t="s">
        <v>1278</v>
      </c>
      <c r="D833" t="s">
        <v>278</v>
      </c>
      <c r="E833">
        <v>35</v>
      </c>
      <c r="F833" t="s">
        <v>14</v>
      </c>
      <c r="G833" t="s">
        <v>15</v>
      </c>
      <c r="H833" t="s">
        <v>1279</v>
      </c>
      <c r="I833" t="s">
        <v>1287</v>
      </c>
      <c r="J833" t="s">
        <v>263</v>
      </c>
      <c r="K833">
        <v>1</v>
      </c>
      <c r="L833" t="s">
        <v>278</v>
      </c>
      <c r="M833" t="s">
        <v>278</v>
      </c>
      <c r="P833" t="s">
        <v>1312</v>
      </c>
      <c r="Q833" t="b">
        <f t="shared" si="25"/>
        <v>0</v>
      </c>
    </row>
    <row r="834" spans="1:17">
      <c r="A834">
        <f t="shared" ref="A834:A897" si="26">IF(ROW()=2,1,IF(B834=B833,A833,A833+1))</f>
        <v>174</v>
      </c>
      <c r="B834" t="s">
        <v>1277</v>
      </c>
      <c r="C834" t="s">
        <v>1278</v>
      </c>
      <c r="D834" t="s">
        <v>278</v>
      </c>
      <c r="E834">
        <v>35</v>
      </c>
      <c r="F834" t="s">
        <v>14</v>
      </c>
      <c r="G834" t="s">
        <v>15</v>
      </c>
      <c r="H834" t="s">
        <v>1279</v>
      </c>
      <c r="I834" t="s">
        <v>1288</v>
      </c>
      <c r="J834" t="s">
        <v>245</v>
      </c>
      <c r="K834">
        <v>800</v>
      </c>
      <c r="L834" t="s">
        <v>278</v>
      </c>
      <c r="M834" t="s">
        <v>278</v>
      </c>
      <c r="P834" t="s">
        <v>1312</v>
      </c>
      <c r="Q834" t="b">
        <f t="shared" ref="Q834:Q897" si="27">ISODD(A834)</f>
        <v>0</v>
      </c>
    </row>
    <row r="835" spans="1:17">
      <c r="A835">
        <f t="shared" si="26"/>
        <v>174</v>
      </c>
      <c r="B835" t="s">
        <v>1277</v>
      </c>
      <c r="C835" t="s">
        <v>1278</v>
      </c>
      <c r="D835" t="s">
        <v>278</v>
      </c>
      <c r="E835">
        <v>35</v>
      </c>
      <c r="F835" t="s">
        <v>14</v>
      </c>
      <c r="G835" t="s">
        <v>15</v>
      </c>
      <c r="H835" t="s">
        <v>1279</v>
      </c>
      <c r="I835" t="s">
        <v>1288</v>
      </c>
      <c r="J835" t="s">
        <v>263</v>
      </c>
      <c r="K835">
        <v>1</v>
      </c>
      <c r="L835" t="s">
        <v>278</v>
      </c>
      <c r="M835" t="s">
        <v>278</v>
      </c>
      <c r="P835" t="s">
        <v>1312</v>
      </c>
      <c r="Q835" t="b">
        <f t="shared" si="27"/>
        <v>0</v>
      </c>
    </row>
    <row r="836" spans="1:17">
      <c r="A836">
        <f t="shared" si="26"/>
        <v>174</v>
      </c>
      <c r="B836" t="s">
        <v>1277</v>
      </c>
      <c r="C836" t="s">
        <v>1278</v>
      </c>
      <c r="D836" t="s">
        <v>278</v>
      </c>
      <c r="E836">
        <v>35</v>
      </c>
      <c r="F836" t="s">
        <v>14</v>
      </c>
      <c r="G836" t="s">
        <v>15</v>
      </c>
      <c r="H836" t="s">
        <v>1279</v>
      </c>
      <c r="I836" t="s">
        <v>1289</v>
      </c>
      <c r="J836" t="s">
        <v>263</v>
      </c>
      <c r="K836">
        <v>1</v>
      </c>
      <c r="L836" t="s">
        <v>278</v>
      </c>
      <c r="M836" t="s">
        <v>278</v>
      </c>
      <c r="P836" t="s">
        <v>1312</v>
      </c>
      <c r="Q836" t="b">
        <f t="shared" si="27"/>
        <v>0</v>
      </c>
    </row>
    <row r="837" spans="1:17">
      <c r="A837">
        <f t="shared" si="26"/>
        <v>174</v>
      </c>
      <c r="B837" t="s">
        <v>1277</v>
      </c>
      <c r="C837" t="s">
        <v>1278</v>
      </c>
      <c r="D837" t="s">
        <v>278</v>
      </c>
      <c r="E837">
        <v>35</v>
      </c>
      <c r="F837" t="s">
        <v>14</v>
      </c>
      <c r="G837" t="s">
        <v>15</v>
      </c>
      <c r="H837" t="s">
        <v>1279</v>
      </c>
      <c r="I837" t="s">
        <v>1290</v>
      </c>
      <c r="J837" t="s">
        <v>245</v>
      </c>
      <c r="K837">
        <v>800</v>
      </c>
      <c r="L837" t="s">
        <v>278</v>
      </c>
      <c r="M837" t="s">
        <v>278</v>
      </c>
      <c r="P837" t="s">
        <v>1312</v>
      </c>
      <c r="Q837" t="b">
        <f t="shared" si="27"/>
        <v>0</v>
      </c>
    </row>
    <row r="838" spans="1:17">
      <c r="A838">
        <f t="shared" si="26"/>
        <v>174</v>
      </c>
      <c r="B838" t="s">
        <v>1277</v>
      </c>
      <c r="C838" t="s">
        <v>1278</v>
      </c>
      <c r="D838" t="s">
        <v>278</v>
      </c>
      <c r="E838">
        <v>35</v>
      </c>
      <c r="F838" t="s">
        <v>14</v>
      </c>
      <c r="G838" t="s">
        <v>15</v>
      </c>
      <c r="H838" t="s">
        <v>1279</v>
      </c>
      <c r="I838" t="s">
        <v>1291</v>
      </c>
      <c r="J838" t="s">
        <v>245</v>
      </c>
      <c r="K838">
        <v>800</v>
      </c>
      <c r="L838" t="s">
        <v>278</v>
      </c>
      <c r="M838" t="s">
        <v>278</v>
      </c>
      <c r="P838" t="s">
        <v>1312</v>
      </c>
      <c r="Q838" t="b">
        <f t="shared" si="27"/>
        <v>0</v>
      </c>
    </row>
    <row r="839" spans="1:17">
      <c r="A839">
        <f t="shared" si="26"/>
        <v>174</v>
      </c>
      <c r="B839" t="s">
        <v>1277</v>
      </c>
      <c r="C839" t="s">
        <v>1278</v>
      </c>
      <c r="D839" t="s">
        <v>278</v>
      </c>
      <c r="E839">
        <v>35</v>
      </c>
      <c r="F839" t="s">
        <v>14</v>
      </c>
      <c r="G839" t="s">
        <v>15</v>
      </c>
      <c r="H839" t="s">
        <v>1279</v>
      </c>
      <c r="I839" t="s">
        <v>1292</v>
      </c>
      <c r="J839" t="s">
        <v>245</v>
      </c>
      <c r="K839">
        <v>800</v>
      </c>
      <c r="L839" t="s">
        <v>278</v>
      </c>
      <c r="M839" t="s">
        <v>278</v>
      </c>
      <c r="P839" t="s">
        <v>1312</v>
      </c>
      <c r="Q839" t="b">
        <f t="shared" si="27"/>
        <v>0</v>
      </c>
    </row>
    <row r="840" spans="1:17">
      <c r="A840">
        <f t="shared" si="26"/>
        <v>175</v>
      </c>
      <c r="B840" t="s">
        <v>1293</v>
      </c>
      <c r="C840" t="s">
        <v>1294</v>
      </c>
      <c r="D840" t="s">
        <v>278</v>
      </c>
      <c r="E840">
        <v>36</v>
      </c>
      <c r="F840" t="s">
        <v>14</v>
      </c>
      <c r="G840" t="s">
        <v>30</v>
      </c>
      <c r="H840" t="s">
        <v>1295</v>
      </c>
      <c r="I840" t="s">
        <v>1296</v>
      </c>
      <c r="J840" t="s">
        <v>256</v>
      </c>
      <c r="K840">
        <v>30</v>
      </c>
      <c r="L840">
        <v>2</v>
      </c>
      <c r="M840">
        <v>2</v>
      </c>
      <c r="P840" t="s">
        <v>1313</v>
      </c>
      <c r="Q840" t="b">
        <f t="shared" si="27"/>
        <v>1</v>
      </c>
    </row>
    <row r="841" spans="1:17">
      <c r="A841">
        <f t="shared" si="26"/>
        <v>175</v>
      </c>
      <c r="B841" t="s">
        <v>1293</v>
      </c>
      <c r="C841" t="s">
        <v>1294</v>
      </c>
      <c r="D841" t="s">
        <v>278</v>
      </c>
      <c r="E841">
        <v>36</v>
      </c>
      <c r="F841" t="s">
        <v>14</v>
      </c>
      <c r="G841" t="s">
        <v>30</v>
      </c>
      <c r="H841" t="s">
        <v>1295</v>
      </c>
      <c r="I841" t="s">
        <v>1278</v>
      </c>
      <c r="J841" t="s">
        <v>256</v>
      </c>
      <c r="K841">
        <v>30</v>
      </c>
      <c r="L841">
        <v>3</v>
      </c>
      <c r="M841">
        <v>3</v>
      </c>
      <c r="P841" t="s">
        <v>1313</v>
      </c>
      <c r="Q841" t="b">
        <f t="shared" si="27"/>
        <v>1</v>
      </c>
    </row>
    <row r="842" spans="1:17">
      <c r="A842">
        <f t="shared" si="26"/>
        <v>175</v>
      </c>
      <c r="B842" t="s">
        <v>1293</v>
      </c>
      <c r="C842" t="s">
        <v>1294</v>
      </c>
      <c r="D842" t="s">
        <v>278</v>
      </c>
      <c r="E842">
        <v>36</v>
      </c>
      <c r="F842" t="s">
        <v>14</v>
      </c>
      <c r="G842" t="s">
        <v>30</v>
      </c>
      <c r="H842" t="s">
        <v>1295</v>
      </c>
      <c r="I842" t="s">
        <v>1297</v>
      </c>
      <c r="J842" t="s">
        <v>256</v>
      </c>
      <c r="K842">
        <v>30</v>
      </c>
      <c r="L842">
        <v>2</v>
      </c>
      <c r="M842">
        <v>1</v>
      </c>
      <c r="P842" t="s">
        <v>1313</v>
      </c>
      <c r="Q842" t="b">
        <f t="shared" si="27"/>
        <v>1</v>
      </c>
    </row>
    <row r="843" spans="1:17">
      <c r="A843">
        <f t="shared" si="26"/>
        <v>175</v>
      </c>
      <c r="B843" t="s">
        <v>1293</v>
      </c>
      <c r="C843" t="s">
        <v>1294</v>
      </c>
      <c r="D843" t="s">
        <v>278</v>
      </c>
      <c r="E843">
        <v>36</v>
      </c>
      <c r="F843" t="s">
        <v>14</v>
      </c>
      <c r="G843" t="s">
        <v>30</v>
      </c>
      <c r="H843" t="s">
        <v>1295</v>
      </c>
      <c r="I843" t="s">
        <v>1298</v>
      </c>
      <c r="J843" t="s">
        <v>256</v>
      </c>
      <c r="K843">
        <v>30</v>
      </c>
      <c r="L843">
        <v>3</v>
      </c>
      <c r="M843">
        <v>0</v>
      </c>
      <c r="P843" t="s">
        <v>1313</v>
      </c>
      <c r="Q843" t="b">
        <f t="shared" si="27"/>
        <v>1</v>
      </c>
    </row>
    <row r="844" spans="1:17">
      <c r="A844">
        <f t="shared" si="26"/>
        <v>175</v>
      </c>
      <c r="B844" t="s">
        <v>1293</v>
      </c>
      <c r="C844" t="s">
        <v>1294</v>
      </c>
      <c r="D844" t="s">
        <v>278</v>
      </c>
      <c r="E844">
        <v>36</v>
      </c>
      <c r="F844" t="s">
        <v>14</v>
      </c>
      <c r="G844" t="s">
        <v>30</v>
      </c>
      <c r="H844" t="s">
        <v>1295</v>
      </c>
      <c r="I844" t="s">
        <v>1299</v>
      </c>
      <c r="J844" t="s">
        <v>256</v>
      </c>
      <c r="K844">
        <v>30</v>
      </c>
      <c r="L844">
        <v>5</v>
      </c>
      <c r="M844">
        <v>0</v>
      </c>
      <c r="P844" t="s">
        <v>1313</v>
      </c>
      <c r="Q844" t="b">
        <f t="shared" si="27"/>
        <v>1</v>
      </c>
    </row>
    <row r="845" spans="1:17">
      <c r="A845">
        <f t="shared" si="26"/>
        <v>175</v>
      </c>
      <c r="B845" t="s">
        <v>1293</v>
      </c>
      <c r="C845" t="s">
        <v>1294</v>
      </c>
      <c r="D845" t="s">
        <v>278</v>
      </c>
      <c r="E845">
        <v>36</v>
      </c>
      <c r="F845" t="s">
        <v>14</v>
      </c>
      <c r="G845" t="s">
        <v>30</v>
      </c>
      <c r="H845" t="s">
        <v>1295</v>
      </c>
      <c r="I845" t="s">
        <v>1300</v>
      </c>
      <c r="J845" t="s">
        <v>256</v>
      </c>
      <c r="K845">
        <v>30</v>
      </c>
      <c r="L845">
        <v>4</v>
      </c>
      <c r="M845">
        <v>0</v>
      </c>
      <c r="P845" t="s">
        <v>1313</v>
      </c>
      <c r="Q845" t="b">
        <f t="shared" si="27"/>
        <v>1</v>
      </c>
    </row>
    <row r="846" spans="1:17">
      <c r="A846">
        <f t="shared" si="26"/>
        <v>175</v>
      </c>
      <c r="B846" t="s">
        <v>1293</v>
      </c>
      <c r="C846" t="s">
        <v>1294</v>
      </c>
      <c r="D846" t="s">
        <v>278</v>
      </c>
      <c r="E846">
        <v>36</v>
      </c>
      <c r="F846" t="s">
        <v>14</v>
      </c>
      <c r="G846" t="s">
        <v>30</v>
      </c>
      <c r="H846" t="s">
        <v>1295</v>
      </c>
      <c r="I846" t="s">
        <v>1301</v>
      </c>
      <c r="J846" t="s">
        <v>245</v>
      </c>
      <c r="K846">
        <v>800</v>
      </c>
      <c r="L846">
        <v>4</v>
      </c>
      <c r="M846">
        <v>3</v>
      </c>
      <c r="P846" t="s">
        <v>1313</v>
      </c>
      <c r="Q846" t="b">
        <f t="shared" si="27"/>
        <v>1</v>
      </c>
    </row>
    <row r="847" spans="1:17">
      <c r="A847">
        <f t="shared" si="26"/>
        <v>175</v>
      </c>
      <c r="B847" t="s">
        <v>1293</v>
      </c>
      <c r="C847" t="s">
        <v>1294</v>
      </c>
      <c r="D847" t="s">
        <v>278</v>
      </c>
      <c r="E847">
        <v>36</v>
      </c>
      <c r="F847" t="s">
        <v>14</v>
      </c>
      <c r="G847" t="s">
        <v>30</v>
      </c>
      <c r="H847" t="s">
        <v>1295</v>
      </c>
      <c r="I847" t="s">
        <v>1289</v>
      </c>
      <c r="J847" t="s">
        <v>263</v>
      </c>
      <c r="K847">
        <v>1</v>
      </c>
      <c r="L847">
        <v>5</v>
      </c>
      <c r="M847">
        <v>3</v>
      </c>
      <c r="P847" t="s">
        <v>1313</v>
      </c>
      <c r="Q847" t="b">
        <f t="shared" si="27"/>
        <v>1</v>
      </c>
    </row>
    <row r="848" spans="1:17">
      <c r="A848">
        <f t="shared" si="26"/>
        <v>175</v>
      </c>
      <c r="B848" t="s">
        <v>1293</v>
      </c>
      <c r="C848" t="s">
        <v>1294</v>
      </c>
      <c r="D848" t="s">
        <v>278</v>
      </c>
      <c r="E848">
        <v>36</v>
      </c>
      <c r="F848" t="s">
        <v>14</v>
      </c>
      <c r="G848" t="s">
        <v>30</v>
      </c>
      <c r="H848" t="s">
        <v>1295</v>
      </c>
      <c r="I848" t="s">
        <v>1302</v>
      </c>
      <c r="J848" t="s">
        <v>263</v>
      </c>
      <c r="K848">
        <v>1</v>
      </c>
      <c r="L848">
        <v>4</v>
      </c>
      <c r="M848">
        <v>0</v>
      </c>
      <c r="P848" t="s">
        <v>1313</v>
      </c>
      <c r="Q848" t="b">
        <f t="shared" si="27"/>
        <v>1</v>
      </c>
    </row>
    <row r="849" spans="1:17">
      <c r="A849">
        <f t="shared" si="26"/>
        <v>175</v>
      </c>
      <c r="B849" t="s">
        <v>1293</v>
      </c>
      <c r="C849" t="s">
        <v>1294</v>
      </c>
      <c r="D849" t="s">
        <v>278</v>
      </c>
      <c r="E849">
        <v>36</v>
      </c>
      <c r="F849" t="s">
        <v>14</v>
      </c>
      <c r="G849" t="s">
        <v>30</v>
      </c>
      <c r="H849" t="s">
        <v>1295</v>
      </c>
      <c r="I849" t="s">
        <v>1303</v>
      </c>
      <c r="J849" t="s">
        <v>245</v>
      </c>
      <c r="K849">
        <v>800</v>
      </c>
      <c r="L849">
        <v>2</v>
      </c>
      <c r="M849">
        <v>1</v>
      </c>
      <c r="P849" t="s">
        <v>1313</v>
      </c>
      <c r="Q849" t="b">
        <f t="shared" si="27"/>
        <v>1</v>
      </c>
    </row>
    <row r="850" spans="1:17">
      <c r="A850">
        <f t="shared" si="26"/>
        <v>175</v>
      </c>
      <c r="B850" t="s">
        <v>1293</v>
      </c>
      <c r="C850" t="s">
        <v>1294</v>
      </c>
      <c r="D850" t="s">
        <v>278</v>
      </c>
      <c r="E850">
        <v>36</v>
      </c>
      <c r="F850" t="s">
        <v>14</v>
      </c>
      <c r="G850" t="s">
        <v>30</v>
      </c>
      <c r="H850" t="s">
        <v>1295</v>
      </c>
      <c r="I850" t="s">
        <v>1304</v>
      </c>
      <c r="J850" t="s">
        <v>263</v>
      </c>
      <c r="K850">
        <v>1</v>
      </c>
      <c r="L850">
        <v>3</v>
      </c>
      <c r="M850">
        <v>2</v>
      </c>
      <c r="O850" t="s">
        <v>1309</v>
      </c>
      <c r="P850" t="s">
        <v>1313</v>
      </c>
      <c r="Q850" t="b">
        <f t="shared" si="27"/>
        <v>1</v>
      </c>
    </row>
    <row r="851" spans="1:17">
      <c r="A851">
        <f t="shared" si="26"/>
        <v>175</v>
      </c>
      <c r="B851" t="s">
        <v>1293</v>
      </c>
      <c r="C851" t="s">
        <v>1294</v>
      </c>
      <c r="D851" t="s">
        <v>278</v>
      </c>
      <c r="E851">
        <v>36</v>
      </c>
      <c r="F851" t="s">
        <v>14</v>
      </c>
      <c r="G851" t="s">
        <v>30</v>
      </c>
      <c r="H851" t="s">
        <v>1295</v>
      </c>
      <c r="I851" t="s">
        <v>1305</v>
      </c>
      <c r="J851" t="s">
        <v>245</v>
      </c>
      <c r="K851">
        <v>800</v>
      </c>
      <c r="L851">
        <v>3</v>
      </c>
      <c r="M851">
        <v>2</v>
      </c>
      <c r="P851" t="s">
        <v>1313</v>
      </c>
      <c r="Q851" t="b">
        <f t="shared" si="27"/>
        <v>1</v>
      </c>
    </row>
    <row r="852" spans="1:17">
      <c r="A852">
        <f t="shared" si="26"/>
        <v>175</v>
      </c>
      <c r="B852" t="s">
        <v>1293</v>
      </c>
      <c r="C852" t="s">
        <v>1294</v>
      </c>
      <c r="D852" t="s">
        <v>278</v>
      </c>
      <c r="E852">
        <v>36</v>
      </c>
      <c r="F852" t="s">
        <v>14</v>
      </c>
      <c r="G852" t="s">
        <v>30</v>
      </c>
      <c r="H852" t="s">
        <v>1295</v>
      </c>
      <c r="I852" t="s">
        <v>1306</v>
      </c>
      <c r="J852" t="s">
        <v>263</v>
      </c>
      <c r="K852">
        <v>1</v>
      </c>
      <c r="L852">
        <v>4</v>
      </c>
      <c r="M852">
        <v>0</v>
      </c>
      <c r="P852" t="s">
        <v>1313</v>
      </c>
      <c r="Q852" t="b">
        <f t="shared" si="27"/>
        <v>1</v>
      </c>
    </row>
    <row r="853" spans="1:17">
      <c r="A853">
        <f t="shared" si="26"/>
        <v>175</v>
      </c>
      <c r="B853" t="s">
        <v>1293</v>
      </c>
      <c r="C853" t="s">
        <v>1294</v>
      </c>
      <c r="D853" t="s">
        <v>278</v>
      </c>
      <c r="E853">
        <v>36</v>
      </c>
      <c r="F853" t="s">
        <v>14</v>
      </c>
      <c r="G853" t="s">
        <v>30</v>
      </c>
      <c r="H853" t="s">
        <v>1295</v>
      </c>
      <c r="I853" t="s">
        <v>1307</v>
      </c>
      <c r="J853" t="s">
        <v>245</v>
      </c>
      <c r="K853">
        <v>800</v>
      </c>
      <c r="L853">
        <v>4</v>
      </c>
      <c r="M853">
        <v>0</v>
      </c>
      <c r="P853" t="s">
        <v>1313</v>
      </c>
      <c r="Q853" t="b">
        <f t="shared" si="27"/>
        <v>1</v>
      </c>
    </row>
    <row r="854" spans="1:17">
      <c r="A854">
        <f t="shared" si="26"/>
        <v>175</v>
      </c>
      <c r="B854" t="s">
        <v>1293</v>
      </c>
      <c r="C854" t="s">
        <v>1294</v>
      </c>
      <c r="D854" t="s">
        <v>278</v>
      </c>
      <c r="E854">
        <v>36</v>
      </c>
      <c r="F854" t="s">
        <v>14</v>
      </c>
      <c r="G854" t="s">
        <v>30</v>
      </c>
      <c r="H854" t="s">
        <v>1295</v>
      </c>
      <c r="I854" t="s">
        <v>1308</v>
      </c>
      <c r="J854" t="s">
        <v>263</v>
      </c>
      <c r="K854">
        <v>1</v>
      </c>
      <c r="L854">
        <v>4</v>
      </c>
      <c r="M854" t="s">
        <v>278</v>
      </c>
      <c r="O854" t="s">
        <v>1309</v>
      </c>
      <c r="P854" t="s">
        <v>1313</v>
      </c>
      <c r="Q854" t="b">
        <f t="shared" si="27"/>
        <v>1</v>
      </c>
    </row>
    <row r="855" spans="1:17">
      <c r="A855">
        <f t="shared" si="26"/>
        <v>176</v>
      </c>
      <c r="Q855" t="b">
        <f t="shared" si="27"/>
        <v>0</v>
      </c>
    </row>
    <row r="856" spans="1:17">
      <c r="A856">
        <f t="shared" si="26"/>
        <v>176</v>
      </c>
      <c r="Q856" t="b">
        <f t="shared" si="27"/>
        <v>0</v>
      </c>
    </row>
    <row r="857" spans="1:17">
      <c r="A857">
        <f t="shared" si="26"/>
        <v>176</v>
      </c>
      <c r="Q857" t="b">
        <f t="shared" si="27"/>
        <v>0</v>
      </c>
    </row>
    <row r="858" spans="1:17">
      <c r="A858">
        <f t="shared" si="26"/>
        <v>176</v>
      </c>
      <c r="Q858" t="b">
        <f t="shared" si="27"/>
        <v>0</v>
      </c>
    </row>
    <row r="859" spans="1:17">
      <c r="A859">
        <f t="shared" si="26"/>
        <v>176</v>
      </c>
      <c r="Q859" t="b">
        <f t="shared" si="27"/>
        <v>0</v>
      </c>
    </row>
    <row r="860" spans="1:17">
      <c r="A860">
        <f t="shared" si="26"/>
        <v>176</v>
      </c>
      <c r="Q860" t="b">
        <f t="shared" si="27"/>
        <v>0</v>
      </c>
    </row>
    <row r="861" spans="1:17">
      <c r="A861">
        <f t="shared" si="26"/>
        <v>176</v>
      </c>
      <c r="Q861" t="b">
        <f t="shared" si="27"/>
        <v>0</v>
      </c>
    </row>
    <row r="862" spans="1:17">
      <c r="A862">
        <f t="shared" si="26"/>
        <v>176</v>
      </c>
      <c r="Q862" t="b">
        <f t="shared" si="27"/>
        <v>0</v>
      </c>
    </row>
    <row r="863" spans="1:17">
      <c r="A863">
        <f t="shared" si="26"/>
        <v>176</v>
      </c>
      <c r="Q863" t="b">
        <f t="shared" si="27"/>
        <v>0</v>
      </c>
    </row>
    <row r="864" spans="1:17">
      <c r="A864">
        <f t="shared" si="26"/>
        <v>176</v>
      </c>
      <c r="Q864" t="b">
        <f t="shared" si="27"/>
        <v>0</v>
      </c>
    </row>
    <row r="865" spans="1:17">
      <c r="A865">
        <f t="shared" si="26"/>
        <v>176</v>
      </c>
      <c r="Q865" t="b">
        <f t="shared" si="27"/>
        <v>0</v>
      </c>
    </row>
    <row r="866" spans="1:17">
      <c r="A866">
        <f t="shared" si="26"/>
        <v>176</v>
      </c>
      <c r="Q866" t="b">
        <f t="shared" si="27"/>
        <v>0</v>
      </c>
    </row>
    <row r="867" spans="1:17">
      <c r="A867">
        <f t="shared" si="26"/>
        <v>176</v>
      </c>
      <c r="Q867" t="b">
        <f t="shared" si="27"/>
        <v>0</v>
      </c>
    </row>
    <row r="868" spans="1:17">
      <c r="A868">
        <f t="shared" si="26"/>
        <v>176</v>
      </c>
      <c r="Q868" t="b">
        <f t="shared" si="27"/>
        <v>0</v>
      </c>
    </row>
    <row r="869" spans="1:17">
      <c r="A869">
        <f t="shared" si="26"/>
        <v>176</v>
      </c>
      <c r="Q869" t="b">
        <f t="shared" si="27"/>
        <v>0</v>
      </c>
    </row>
    <row r="870" spans="1:17">
      <c r="A870">
        <f t="shared" si="26"/>
        <v>176</v>
      </c>
      <c r="Q870" t="b">
        <f t="shared" si="27"/>
        <v>0</v>
      </c>
    </row>
    <row r="871" spans="1:17">
      <c r="A871">
        <f t="shared" si="26"/>
        <v>176</v>
      </c>
      <c r="Q871" t="b">
        <f t="shared" si="27"/>
        <v>0</v>
      </c>
    </row>
    <row r="872" spans="1:17">
      <c r="A872">
        <f t="shared" si="26"/>
        <v>176</v>
      </c>
      <c r="Q872" t="b">
        <f t="shared" si="27"/>
        <v>0</v>
      </c>
    </row>
    <row r="873" spans="1:17">
      <c r="A873">
        <f t="shared" si="26"/>
        <v>176</v>
      </c>
      <c r="Q873" t="b">
        <f t="shared" si="27"/>
        <v>0</v>
      </c>
    </row>
    <row r="874" spans="1:17">
      <c r="A874">
        <f t="shared" si="26"/>
        <v>176</v>
      </c>
      <c r="Q874" t="b">
        <f t="shared" si="27"/>
        <v>0</v>
      </c>
    </row>
    <row r="875" spans="1:17">
      <c r="A875">
        <f t="shared" si="26"/>
        <v>176</v>
      </c>
      <c r="Q875" t="b">
        <f t="shared" si="27"/>
        <v>0</v>
      </c>
    </row>
    <row r="876" spans="1:17">
      <c r="A876">
        <f t="shared" si="26"/>
        <v>176</v>
      </c>
      <c r="Q876" t="b">
        <f t="shared" si="27"/>
        <v>0</v>
      </c>
    </row>
    <row r="877" spans="1:17">
      <c r="A877">
        <f t="shared" si="26"/>
        <v>176</v>
      </c>
      <c r="Q877" t="b">
        <f t="shared" si="27"/>
        <v>0</v>
      </c>
    </row>
    <row r="878" spans="1:17">
      <c r="A878">
        <f t="shared" si="26"/>
        <v>176</v>
      </c>
      <c r="Q878" t="b">
        <f t="shared" si="27"/>
        <v>0</v>
      </c>
    </row>
    <row r="879" spans="1:17">
      <c r="A879">
        <f t="shared" si="26"/>
        <v>176</v>
      </c>
      <c r="Q879" t="b">
        <f t="shared" si="27"/>
        <v>0</v>
      </c>
    </row>
    <row r="880" spans="1:17">
      <c r="A880">
        <f t="shared" si="26"/>
        <v>176</v>
      </c>
      <c r="Q880" t="b">
        <f t="shared" si="27"/>
        <v>0</v>
      </c>
    </row>
    <row r="881" spans="1:17">
      <c r="A881">
        <f t="shared" si="26"/>
        <v>176</v>
      </c>
      <c r="Q881" t="b">
        <f t="shared" si="27"/>
        <v>0</v>
      </c>
    </row>
    <row r="882" spans="1:17">
      <c r="A882">
        <f t="shared" si="26"/>
        <v>176</v>
      </c>
      <c r="Q882" t="b">
        <f t="shared" si="27"/>
        <v>0</v>
      </c>
    </row>
    <row r="883" spans="1:17">
      <c r="A883">
        <f t="shared" si="26"/>
        <v>176</v>
      </c>
      <c r="Q883" t="b">
        <f t="shared" si="27"/>
        <v>0</v>
      </c>
    </row>
    <row r="884" spans="1:17">
      <c r="A884">
        <f t="shared" si="26"/>
        <v>176</v>
      </c>
      <c r="Q884" t="b">
        <f t="shared" si="27"/>
        <v>0</v>
      </c>
    </row>
    <row r="885" spans="1:17">
      <c r="A885">
        <f t="shared" si="26"/>
        <v>176</v>
      </c>
      <c r="Q885" t="b">
        <f t="shared" si="27"/>
        <v>0</v>
      </c>
    </row>
    <row r="886" spans="1:17">
      <c r="A886">
        <f t="shared" si="26"/>
        <v>176</v>
      </c>
      <c r="Q886" t="b">
        <f t="shared" si="27"/>
        <v>0</v>
      </c>
    </row>
    <row r="887" spans="1:17">
      <c r="A887">
        <f t="shared" si="26"/>
        <v>176</v>
      </c>
      <c r="Q887" t="b">
        <f t="shared" si="27"/>
        <v>0</v>
      </c>
    </row>
    <row r="888" spans="1:17">
      <c r="A888">
        <f t="shared" si="26"/>
        <v>176</v>
      </c>
      <c r="Q888" t="b">
        <f t="shared" si="27"/>
        <v>0</v>
      </c>
    </row>
    <row r="889" spans="1:17">
      <c r="A889">
        <f t="shared" si="26"/>
        <v>176</v>
      </c>
      <c r="Q889" t="b">
        <f t="shared" si="27"/>
        <v>0</v>
      </c>
    </row>
    <row r="890" spans="1:17">
      <c r="A890">
        <f t="shared" si="26"/>
        <v>176</v>
      </c>
      <c r="Q890" t="b">
        <f t="shared" si="27"/>
        <v>0</v>
      </c>
    </row>
    <row r="891" spans="1:17">
      <c r="A891">
        <f t="shared" si="26"/>
        <v>176</v>
      </c>
      <c r="Q891" t="b">
        <f t="shared" si="27"/>
        <v>0</v>
      </c>
    </row>
    <row r="892" spans="1:17">
      <c r="A892">
        <f t="shared" si="26"/>
        <v>176</v>
      </c>
      <c r="Q892" t="b">
        <f t="shared" si="27"/>
        <v>0</v>
      </c>
    </row>
    <row r="893" spans="1:17">
      <c r="A893">
        <f t="shared" si="26"/>
        <v>176</v>
      </c>
      <c r="Q893" t="b">
        <f t="shared" si="27"/>
        <v>0</v>
      </c>
    </row>
    <row r="894" spans="1:17">
      <c r="A894">
        <f t="shared" si="26"/>
        <v>176</v>
      </c>
      <c r="Q894" t="b">
        <f t="shared" si="27"/>
        <v>0</v>
      </c>
    </row>
    <row r="895" spans="1:17">
      <c r="A895">
        <f t="shared" si="26"/>
        <v>176</v>
      </c>
      <c r="Q895" t="b">
        <f t="shared" si="27"/>
        <v>0</v>
      </c>
    </row>
    <row r="896" spans="1:17">
      <c r="A896">
        <f t="shared" si="26"/>
        <v>176</v>
      </c>
      <c r="Q896" t="b">
        <f t="shared" si="27"/>
        <v>0</v>
      </c>
    </row>
    <row r="897" spans="1:17">
      <c r="A897">
        <f t="shared" si="26"/>
        <v>176</v>
      </c>
      <c r="Q897" t="b">
        <f t="shared" si="27"/>
        <v>0</v>
      </c>
    </row>
    <row r="898" spans="1:17">
      <c r="A898">
        <f t="shared" ref="A898:A961" si="28">IF(ROW()=2,1,IF(B898=B897,A897,A897+1))</f>
        <v>176</v>
      </c>
      <c r="Q898" t="b">
        <f t="shared" ref="Q898:Q961" si="29">ISODD(A898)</f>
        <v>0</v>
      </c>
    </row>
    <row r="899" spans="1:17">
      <c r="A899">
        <f t="shared" si="28"/>
        <v>176</v>
      </c>
      <c r="Q899" t="b">
        <f t="shared" si="29"/>
        <v>0</v>
      </c>
    </row>
    <row r="900" spans="1:17">
      <c r="A900">
        <f t="shared" si="28"/>
        <v>176</v>
      </c>
      <c r="Q900" t="b">
        <f t="shared" si="29"/>
        <v>0</v>
      </c>
    </row>
    <row r="901" spans="1:17">
      <c r="A901">
        <f t="shared" si="28"/>
        <v>176</v>
      </c>
      <c r="Q901" t="b">
        <f t="shared" si="29"/>
        <v>0</v>
      </c>
    </row>
    <row r="902" spans="1:17">
      <c r="A902">
        <f t="shared" si="28"/>
        <v>176</v>
      </c>
      <c r="Q902" t="b">
        <f t="shared" si="29"/>
        <v>0</v>
      </c>
    </row>
    <row r="903" spans="1:17">
      <c r="A903">
        <f t="shared" si="28"/>
        <v>176</v>
      </c>
      <c r="Q903" t="b">
        <f t="shared" si="29"/>
        <v>0</v>
      </c>
    </row>
    <row r="904" spans="1:17">
      <c r="A904">
        <f t="shared" si="28"/>
        <v>176</v>
      </c>
      <c r="Q904" t="b">
        <f t="shared" si="29"/>
        <v>0</v>
      </c>
    </row>
    <row r="905" spans="1:17">
      <c r="A905">
        <f t="shared" si="28"/>
        <v>176</v>
      </c>
      <c r="Q905" t="b">
        <f t="shared" si="29"/>
        <v>0</v>
      </c>
    </row>
    <row r="906" spans="1:17">
      <c r="A906">
        <f t="shared" si="28"/>
        <v>176</v>
      </c>
      <c r="Q906" t="b">
        <f t="shared" si="29"/>
        <v>0</v>
      </c>
    </row>
    <row r="907" spans="1:17">
      <c r="A907">
        <f t="shared" si="28"/>
        <v>176</v>
      </c>
      <c r="Q907" t="b">
        <f t="shared" si="29"/>
        <v>0</v>
      </c>
    </row>
    <row r="908" spans="1:17">
      <c r="A908">
        <f t="shared" si="28"/>
        <v>176</v>
      </c>
      <c r="Q908" t="b">
        <f t="shared" si="29"/>
        <v>0</v>
      </c>
    </row>
    <row r="909" spans="1:17">
      <c r="A909">
        <f t="shared" si="28"/>
        <v>176</v>
      </c>
      <c r="Q909" t="b">
        <f t="shared" si="29"/>
        <v>0</v>
      </c>
    </row>
    <row r="910" spans="1:17">
      <c r="A910">
        <f t="shared" si="28"/>
        <v>176</v>
      </c>
      <c r="Q910" t="b">
        <f t="shared" si="29"/>
        <v>0</v>
      </c>
    </row>
    <row r="911" spans="1:17">
      <c r="A911">
        <f t="shared" si="28"/>
        <v>176</v>
      </c>
      <c r="Q911" t="b">
        <f t="shared" si="29"/>
        <v>0</v>
      </c>
    </row>
    <row r="912" spans="1:17">
      <c r="A912">
        <f t="shared" si="28"/>
        <v>176</v>
      </c>
      <c r="Q912" t="b">
        <f t="shared" si="29"/>
        <v>0</v>
      </c>
    </row>
    <row r="913" spans="1:17">
      <c r="A913">
        <f t="shared" si="28"/>
        <v>176</v>
      </c>
      <c r="Q913" t="b">
        <f t="shared" si="29"/>
        <v>0</v>
      </c>
    </row>
    <row r="914" spans="1:17">
      <c r="A914">
        <f t="shared" si="28"/>
        <v>176</v>
      </c>
      <c r="Q914" t="b">
        <f t="shared" si="29"/>
        <v>0</v>
      </c>
    </row>
    <row r="915" spans="1:17">
      <c r="A915">
        <f t="shared" si="28"/>
        <v>176</v>
      </c>
      <c r="Q915" t="b">
        <f t="shared" si="29"/>
        <v>0</v>
      </c>
    </row>
    <row r="916" spans="1:17">
      <c r="A916">
        <f t="shared" si="28"/>
        <v>176</v>
      </c>
      <c r="Q916" t="b">
        <f t="shared" si="29"/>
        <v>0</v>
      </c>
    </row>
    <row r="917" spans="1:17">
      <c r="A917">
        <f t="shared" si="28"/>
        <v>176</v>
      </c>
      <c r="Q917" t="b">
        <f t="shared" si="29"/>
        <v>0</v>
      </c>
    </row>
    <row r="918" spans="1:17">
      <c r="A918">
        <f t="shared" si="28"/>
        <v>176</v>
      </c>
      <c r="Q918" t="b">
        <f t="shared" si="29"/>
        <v>0</v>
      </c>
    </row>
    <row r="919" spans="1:17">
      <c r="A919">
        <f t="shared" si="28"/>
        <v>176</v>
      </c>
      <c r="Q919" t="b">
        <f t="shared" si="29"/>
        <v>0</v>
      </c>
    </row>
    <row r="920" spans="1:17">
      <c r="A920">
        <f t="shared" si="28"/>
        <v>176</v>
      </c>
      <c r="Q920" t="b">
        <f t="shared" si="29"/>
        <v>0</v>
      </c>
    </row>
    <row r="921" spans="1:17">
      <c r="A921">
        <f t="shared" si="28"/>
        <v>176</v>
      </c>
      <c r="Q921" t="b">
        <f t="shared" si="29"/>
        <v>0</v>
      </c>
    </row>
    <row r="922" spans="1:17">
      <c r="A922">
        <f t="shared" si="28"/>
        <v>176</v>
      </c>
      <c r="Q922" t="b">
        <f t="shared" si="29"/>
        <v>0</v>
      </c>
    </row>
    <row r="923" spans="1:17">
      <c r="A923">
        <f t="shared" si="28"/>
        <v>176</v>
      </c>
      <c r="Q923" t="b">
        <f t="shared" si="29"/>
        <v>0</v>
      </c>
    </row>
    <row r="924" spans="1:17">
      <c r="A924">
        <f t="shared" si="28"/>
        <v>176</v>
      </c>
      <c r="Q924" t="b">
        <f t="shared" si="29"/>
        <v>0</v>
      </c>
    </row>
    <row r="925" spans="1:17">
      <c r="A925">
        <f t="shared" si="28"/>
        <v>176</v>
      </c>
      <c r="Q925" t="b">
        <f t="shared" si="29"/>
        <v>0</v>
      </c>
    </row>
    <row r="926" spans="1:17">
      <c r="A926">
        <f t="shared" si="28"/>
        <v>176</v>
      </c>
      <c r="Q926" t="b">
        <f t="shared" si="29"/>
        <v>0</v>
      </c>
    </row>
    <row r="927" spans="1:17">
      <c r="A927">
        <f t="shared" si="28"/>
        <v>176</v>
      </c>
      <c r="Q927" t="b">
        <f t="shared" si="29"/>
        <v>0</v>
      </c>
    </row>
    <row r="928" spans="1:17">
      <c r="A928">
        <f t="shared" si="28"/>
        <v>176</v>
      </c>
      <c r="Q928" t="b">
        <f t="shared" si="29"/>
        <v>0</v>
      </c>
    </row>
    <row r="929" spans="1:17">
      <c r="A929">
        <f t="shared" si="28"/>
        <v>176</v>
      </c>
      <c r="Q929" t="b">
        <f t="shared" si="29"/>
        <v>0</v>
      </c>
    </row>
    <row r="930" spans="1:17">
      <c r="A930">
        <f t="shared" si="28"/>
        <v>176</v>
      </c>
      <c r="Q930" t="b">
        <f t="shared" si="29"/>
        <v>0</v>
      </c>
    </row>
    <row r="931" spans="1:17">
      <c r="A931">
        <f t="shared" si="28"/>
        <v>176</v>
      </c>
      <c r="Q931" t="b">
        <f t="shared" si="29"/>
        <v>0</v>
      </c>
    </row>
    <row r="932" spans="1:17">
      <c r="A932">
        <f t="shared" si="28"/>
        <v>176</v>
      </c>
      <c r="Q932" t="b">
        <f t="shared" si="29"/>
        <v>0</v>
      </c>
    </row>
    <row r="933" spans="1:17">
      <c r="A933">
        <f t="shared" si="28"/>
        <v>176</v>
      </c>
      <c r="Q933" t="b">
        <f t="shared" si="29"/>
        <v>0</v>
      </c>
    </row>
    <row r="934" spans="1:17">
      <c r="A934">
        <f t="shared" si="28"/>
        <v>176</v>
      </c>
      <c r="Q934" t="b">
        <f t="shared" si="29"/>
        <v>0</v>
      </c>
    </row>
    <row r="935" spans="1:17">
      <c r="A935">
        <f t="shared" si="28"/>
        <v>176</v>
      </c>
      <c r="Q935" t="b">
        <f t="shared" si="29"/>
        <v>0</v>
      </c>
    </row>
    <row r="936" spans="1:17">
      <c r="A936">
        <f t="shared" si="28"/>
        <v>176</v>
      </c>
      <c r="Q936" t="b">
        <f t="shared" si="29"/>
        <v>0</v>
      </c>
    </row>
    <row r="937" spans="1:17">
      <c r="A937">
        <f t="shared" si="28"/>
        <v>176</v>
      </c>
      <c r="Q937" t="b">
        <f t="shared" si="29"/>
        <v>0</v>
      </c>
    </row>
    <row r="938" spans="1:17">
      <c r="A938">
        <f t="shared" si="28"/>
        <v>176</v>
      </c>
      <c r="Q938" t="b">
        <f t="shared" si="29"/>
        <v>0</v>
      </c>
    </row>
    <row r="939" spans="1:17">
      <c r="A939">
        <f t="shared" si="28"/>
        <v>176</v>
      </c>
      <c r="Q939" t="b">
        <f t="shared" si="29"/>
        <v>0</v>
      </c>
    </row>
    <row r="940" spans="1:17">
      <c r="A940">
        <f t="shared" si="28"/>
        <v>176</v>
      </c>
      <c r="Q940" t="b">
        <f t="shared" si="29"/>
        <v>0</v>
      </c>
    </row>
    <row r="941" spans="1:17">
      <c r="A941">
        <f t="shared" si="28"/>
        <v>176</v>
      </c>
      <c r="Q941" t="b">
        <f t="shared" si="29"/>
        <v>0</v>
      </c>
    </row>
    <row r="942" spans="1:17">
      <c r="A942">
        <f t="shared" si="28"/>
        <v>176</v>
      </c>
      <c r="Q942" t="b">
        <f t="shared" si="29"/>
        <v>0</v>
      </c>
    </row>
    <row r="943" spans="1:17">
      <c r="A943">
        <f t="shared" si="28"/>
        <v>176</v>
      </c>
      <c r="Q943" t="b">
        <f t="shared" si="29"/>
        <v>0</v>
      </c>
    </row>
    <row r="944" spans="1:17">
      <c r="A944">
        <f t="shared" si="28"/>
        <v>176</v>
      </c>
      <c r="Q944" t="b">
        <f t="shared" si="29"/>
        <v>0</v>
      </c>
    </row>
    <row r="945" spans="1:17">
      <c r="A945">
        <f t="shared" si="28"/>
        <v>176</v>
      </c>
      <c r="Q945" t="b">
        <f t="shared" si="29"/>
        <v>0</v>
      </c>
    </row>
    <row r="946" spans="1:17">
      <c r="A946">
        <f t="shared" si="28"/>
        <v>176</v>
      </c>
      <c r="Q946" t="b">
        <f t="shared" si="29"/>
        <v>0</v>
      </c>
    </row>
    <row r="947" spans="1:17">
      <c r="A947">
        <f t="shared" si="28"/>
        <v>176</v>
      </c>
      <c r="Q947" t="b">
        <f t="shared" si="29"/>
        <v>0</v>
      </c>
    </row>
    <row r="948" spans="1:17">
      <c r="A948">
        <f t="shared" si="28"/>
        <v>176</v>
      </c>
      <c r="Q948" t="b">
        <f t="shared" si="29"/>
        <v>0</v>
      </c>
    </row>
    <row r="949" spans="1:17">
      <c r="A949">
        <f t="shared" si="28"/>
        <v>176</v>
      </c>
      <c r="Q949" t="b">
        <f t="shared" si="29"/>
        <v>0</v>
      </c>
    </row>
    <row r="950" spans="1:17">
      <c r="A950">
        <f t="shared" si="28"/>
        <v>176</v>
      </c>
      <c r="Q950" t="b">
        <f t="shared" si="29"/>
        <v>0</v>
      </c>
    </row>
    <row r="951" spans="1:17">
      <c r="A951">
        <f t="shared" si="28"/>
        <v>176</v>
      </c>
      <c r="Q951" t="b">
        <f t="shared" si="29"/>
        <v>0</v>
      </c>
    </row>
    <row r="952" spans="1:17">
      <c r="A952">
        <f t="shared" si="28"/>
        <v>176</v>
      </c>
      <c r="Q952" t="b">
        <f t="shared" si="29"/>
        <v>0</v>
      </c>
    </row>
    <row r="953" spans="1:17">
      <c r="A953">
        <f t="shared" si="28"/>
        <v>176</v>
      </c>
      <c r="Q953" t="b">
        <f t="shared" si="29"/>
        <v>0</v>
      </c>
    </row>
    <row r="954" spans="1:17">
      <c r="A954">
        <f t="shared" si="28"/>
        <v>176</v>
      </c>
      <c r="Q954" t="b">
        <f t="shared" si="29"/>
        <v>0</v>
      </c>
    </row>
    <row r="955" spans="1:17">
      <c r="A955">
        <f t="shared" si="28"/>
        <v>176</v>
      </c>
      <c r="Q955" t="b">
        <f t="shared" si="29"/>
        <v>0</v>
      </c>
    </row>
    <row r="956" spans="1:17">
      <c r="A956">
        <f t="shared" si="28"/>
        <v>176</v>
      </c>
      <c r="Q956" t="b">
        <f t="shared" si="29"/>
        <v>0</v>
      </c>
    </row>
    <row r="957" spans="1:17">
      <c r="A957">
        <f t="shared" si="28"/>
        <v>176</v>
      </c>
      <c r="Q957" t="b">
        <f t="shared" si="29"/>
        <v>0</v>
      </c>
    </row>
    <row r="958" spans="1:17">
      <c r="A958">
        <f t="shared" si="28"/>
        <v>176</v>
      </c>
      <c r="Q958" t="b">
        <f t="shared" si="29"/>
        <v>0</v>
      </c>
    </row>
    <row r="959" spans="1:17">
      <c r="A959">
        <f t="shared" si="28"/>
        <v>176</v>
      </c>
      <c r="Q959" t="b">
        <f t="shared" si="29"/>
        <v>0</v>
      </c>
    </row>
    <row r="960" spans="1:17">
      <c r="A960">
        <f t="shared" si="28"/>
        <v>176</v>
      </c>
      <c r="Q960" t="b">
        <f t="shared" si="29"/>
        <v>0</v>
      </c>
    </row>
    <row r="961" spans="1:17">
      <c r="A961">
        <f t="shared" si="28"/>
        <v>176</v>
      </c>
      <c r="Q961" t="b">
        <f t="shared" si="29"/>
        <v>0</v>
      </c>
    </row>
    <row r="962" spans="1:17">
      <c r="A962">
        <f t="shared" ref="A962:A999" si="30">IF(ROW()=2,1,IF(B962=B961,A961,A961+1))</f>
        <v>176</v>
      </c>
      <c r="Q962" t="b">
        <f t="shared" ref="Q962:Q999" si="31">ISODD(A962)</f>
        <v>0</v>
      </c>
    </row>
    <row r="963" spans="1:17">
      <c r="A963">
        <f t="shared" si="30"/>
        <v>176</v>
      </c>
      <c r="Q963" t="b">
        <f t="shared" si="31"/>
        <v>0</v>
      </c>
    </row>
    <row r="964" spans="1:17">
      <c r="A964">
        <f t="shared" si="30"/>
        <v>176</v>
      </c>
      <c r="Q964" t="b">
        <f t="shared" si="31"/>
        <v>0</v>
      </c>
    </row>
    <row r="965" spans="1:17">
      <c r="A965">
        <f t="shared" si="30"/>
        <v>176</v>
      </c>
      <c r="Q965" t="b">
        <f t="shared" si="31"/>
        <v>0</v>
      </c>
    </row>
    <row r="966" spans="1:17">
      <c r="A966">
        <f t="shared" si="30"/>
        <v>176</v>
      </c>
      <c r="Q966" t="b">
        <f t="shared" si="31"/>
        <v>0</v>
      </c>
    </row>
    <row r="967" spans="1:17">
      <c r="A967">
        <f t="shared" si="30"/>
        <v>176</v>
      </c>
      <c r="Q967" t="b">
        <f t="shared" si="31"/>
        <v>0</v>
      </c>
    </row>
    <row r="968" spans="1:17">
      <c r="A968">
        <f t="shared" si="30"/>
        <v>176</v>
      </c>
      <c r="Q968" t="b">
        <f t="shared" si="31"/>
        <v>0</v>
      </c>
    </row>
    <row r="969" spans="1:17">
      <c r="A969">
        <f t="shared" si="30"/>
        <v>176</v>
      </c>
      <c r="Q969" t="b">
        <f t="shared" si="31"/>
        <v>0</v>
      </c>
    </row>
    <row r="970" spans="1:17">
      <c r="A970">
        <f t="shared" si="30"/>
        <v>176</v>
      </c>
      <c r="Q970" t="b">
        <f t="shared" si="31"/>
        <v>0</v>
      </c>
    </row>
    <row r="971" spans="1:17">
      <c r="A971">
        <f t="shared" si="30"/>
        <v>176</v>
      </c>
      <c r="Q971" t="b">
        <f t="shared" si="31"/>
        <v>0</v>
      </c>
    </row>
    <row r="972" spans="1:17">
      <c r="A972">
        <f t="shared" si="30"/>
        <v>176</v>
      </c>
      <c r="Q972" t="b">
        <f t="shared" si="31"/>
        <v>0</v>
      </c>
    </row>
    <row r="973" spans="1:17">
      <c r="A973">
        <f t="shared" si="30"/>
        <v>176</v>
      </c>
      <c r="Q973" t="b">
        <f t="shared" si="31"/>
        <v>0</v>
      </c>
    </row>
    <row r="974" spans="1:17">
      <c r="A974">
        <f t="shared" si="30"/>
        <v>176</v>
      </c>
      <c r="Q974" t="b">
        <f t="shared" si="31"/>
        <v>0</v>
      </c>
    </row>
    <row r="975" spans="1:17">
      <c r="A975">
        <f t="shared" si="30"/>
        <v>176</v>
      </c>
      <c r="Q975" t="b">
        <f t="shared" si="31"/>
        <v>0</v>
      </c>
    </row>
    <row r="976" spans="1:17">
      <c r="A976">
        <f t="shared" si="30"/>
        <v>176</v>
      </c>
      <c r="Q976" t="b">
        <f t="shared" si="31"/>
        <v>0</v>
      </c>
    </row>
    <row r="977" spans="1:17">
      <c r="A977">
        <f t="shared" si="30"/>
        <v>176</v>
      </c>
      <c r="Q977" t="b">
        <f t="shared" si="31"/>
        <v>0</v>
      </c>
    </row>
    <row r="978" spans="1:17">
      <c r="A978">
        <f t="shared" si="30"/>
        <v>176</v>
      </c>
      <c r="Q978" t="b">
        <f t="shared" si="31"/>
        <v>0</v>
      </c>
    </row>
    <row r="979" spans="1:17">
      <c r="A979">
        <f t="shared" si="30"/>
        <v>176</v>
      </c>
      <c r="Q979" t="b">
        <f t="shared" si="31"/>
        <v>0</v>
      </c>
    </row>
    <row r="980" spans="1:17">
      <c r="A980">
        <f t="shared" si="30"/>
        <v>176</v>
      </c>
      <c r="Q980" t="b">
        <f t="shared" si="31"/>
        <v>0</v>
      </c>
    </row>
    <row r="981" spans="1:17">
      <c r="A981">
        <f t="shared" si="30"/>
        <v>176</v>
      </c>
      <c r="Q981" t="b">
        <f t="shared" si="31"/>
        <v>0</v>
      </c>
    </row>
    <row r="982" spans="1:17">
      <c r="A982">
        <f t="shared" si="30"/>
        <v>176</v>
      </c>
      <c r="Q982" t="b">
        <f t="shared" si="31"/>
        <v>0</v>
      </c>
    </row>
    <row r="983" spans="1:17">
      <c r="A983">
        <f t="shared" si="30"/>
        <v>176</v>
      </c>
      <c r="Q983" t="b">
        <f t="shared" si="31"/>
        <v>0</v>
      </c>
    </row>
    <row r="984" spans="1:17">
      <c r="A984">
        <f t="shared" si="30"/>
        <v>176</v>
      </c>
      <c r="Q984" t="b">
        <f t="shared" si="31"/>
        <v>0</v>
      </c>
    </row>
    <row r="985" spans="1:17">
      <c r="A985">
        <f t="shared" si="30"/>
        <v>176</v>
      </c>
      <c r="Q985" t="b">
        <f t="shared" si="31"/>
        <v>0</v>
      </c>
    </row>
    <row r="986" spans="1:17">
      <c r="A986">
        <f t="shared" si="30"/>
        <v>176</v>
      </c>
      <c r="Q986" t="b">
        <f t="shared" si="31"/>
        <v>0</v>
      </c>
    </row>
    <row r="987" spans="1:17">
      <c r="A987">
        <f t="shared" si="30"/>
        <v>176</v>
      </c>
      <c r="Q987" t="b">
        <f t="shared" si="31"/>
        <v>0</v>
      </c>
    </row>
    <row r="988" spans="1:17">
      <c r="A988">
        <f t="shared" si="30"/>
        <v>176</v>
      </c>
      <c r="Q988" t="b">
        <f t="shared" si="31"/>
        <v>0</v>
      </c>
    </row>
    <row r="989" spans="1:17">
      <c r="A989">
        <f t="shared" si="30"/>
        <v>176</v>
      </c>
      <c r="Q989" t="b">
        <f t="shared" si="31"/>
        <v>0</v>
      </c>
    </row>
    <row r="990" spans="1:17">
      <c r="A990">
        <f t="shared" si="30"/>
        <v>176</v>
      </c>
      <c r="Q990" t="b">
        <f t="shared" si="31"/>
        <v>0</v>
      </c>
    </row>
    <row r="991" spans="1:17">
      <c r="A991">
        <f t="shared" si="30"/>
        <v>176</v>
      </c>
      <c r="Q991" t="b">
        <f t="shared" si="31"/>
        <v>0</v>
      </c>
    </row>
    <row r="992" spans="1:17">
      <c r="A992">
        <f t="shared" si="30"/>
        <v>176</v>
      </c>
      <c r="Q992" t="b">
        <f t="shared" si="31"/>
        <v>0</v>
      </c>
    </row>
    <row r="993" spans="1:17">
      <c r="A993">
        <f t="shared" si="30"/>
        <v>176</v>
      </c>
      <c r="Q993" t="b">
        <f t="shared" si="31"/>
        <v>0</v>
      </c>
    </row>
    <row r="994" spans="1:17">
      <c r="A994">
        <f t="shared" si="30"/>
        <v>176</v>
      </c>
      <c r="Q994" t="b">
        <f t="shared" si="31"/>
        <v>0</v>
      </c>
    </row>
    <row r="995" spans="1:17">
      <c r="A995">
        <f t="shared" si="30"/>
        <v>176</v>
      </c>
      <c r="Q995" t="b">
        <f t="shared" si="31"/>
        <v>0</v>
      </c>
    </row>
    <row r="996" spans="1:17">
      <c r="A996">
        <f t="shared" si="30"/>
        <v>176</v>
      </c>
      <c r="Q996" t="b">
        <f t="shared" si="31"/>
        <v>0</v>
      </c>
    </row>
    <row r="997" spans="1:17">
      <c r="A997">
        <f t="shared" si="30"/>
        <v>176</v>
      </c>
      <c r="Q997" t="b">
        <f t="shared" si="31"/>
        <v>0</v>
      </c>
    </row>
    <row r="998" spans="1:17">
      <c r="A998">
        <f t="shared" si="30"/>
        <v>176</v>
      </c>
      <c r="Q998" t="b">
        <f t="shared" si="31"/>
        <v>0</v>
      </c>
    </row>
    <row r="999" spans="1:17">
      <c r="A999">
        <f t="shared" si="30"/>
        <v>176</v>
      </c>
      <c r="Q999" t="b">
        <f t="shared" si="31"/>
        <v>0</v>
      </c>
    </row>
  </sheetData>
  <autoFilter ref="A1:Q665" xr:uid="{881E3A64-6C9E-F340-98EF-A84B911419B2}"/>
  <conditionalFormatting sqref="A668:H669 J668:J669 A667:J667 A670:J687 M667:Q687 A2:Q666 A688:Q999">
    <cfRule type="expression" dxfId="5" priority="7">
      <formula>$Q2=TRUE</formula>
    </cfRule>
  </conditionalFormatting>
  <conditionalFormatting sqref="I669">
    <cfRule type="expression" dxfId="4" priority="9">
      <formula>$Q668=TRUE</formula>
    </cfRule>
  </conditionalFormatting>
  <conditionalFormatting sqref="I668">
    <cfRule type="expression" dxfId="3" priority="3">
      <formula>$Q668=TRUE</formula>
    </cfRule>
  </conditionalFormatting>
  <conditionalFormatting sqref="K667:K687">
    <cfRule type="expression" dxfId="2" priority="2">
      <formula>$Q667=TRUE</formula>
    </cfRule>
  </conditionalFormatting>
  <conditionalFormatting sqref="L667:L687">
    <cfRule type="expression" dxfId="1" priority="1">
      <formula>$Q667=TRUE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6BF1C-2D0C-5645-9DCB-034E9DC19C7A}">
  <dimension ref="A1:A3"/>
  <sheetViews>
    <sheetView workbookViewId="0">
      <selection activeCell="A4" sqref="A4"/>
    </sheetView>
  </sheetViews>
  <sheetFormatPr baseColWidth="10" defaultRowHeight="16"/>
  <sheetData>
    <row r="1" spans="1:1">
      <c r="A1" t="s">
        <v>907</v>
      </c>
    </row>
    <row r="2" spans="1:1">
      <c r="A2" t="s">
        <v>908</v>
      </c>
    </row>
    <row r="3" spans="1:1">
      <c r="A3" t="s">
        <v>909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641F-5EBD-3343-AD2D-8C524FAA5169}">
  <dimension ref="A1:Y1177"/>
  <sheetViews>
    <sheetView workbookViewId="0">
      <pane ySplit="1" topLeftCell="A2" activePane="bottomLeft" state="frozen"/>
      <selection pane="bottomLeft" activeCell="T2" sqref="T2"/>
    </sheetView>
  </sheetViews>
  <sheetFormatPr baseColWidth="10" defaultRowHeight="16"/>
  <cols>
    <col min="3" max="3" width="13.33203125" bestFit="1" customWidth="1"/>
    <col min="4" max="4" width="13.33203125" customWidth="1"/>
    <col min="5" max="5" width="15.83203125" bestFit="1" customWidth="1"/>
    <col min="6" max="6" width="15.83203125" customWidth="1"/>
    <col min="10" max="10" width="14.33203125" bestFit="1" customWidth="1"/>
    <col min="20" max="21" width="11.5" bestFit="1" customWidth="1"/>
    <col min="23" max="25" width="11.5" bestFit="1" customWidth="1"/>
  </cols>
  <sheetData>
    <row r="1" spans="1:25" ht="102">
      <c r="A1" s="3" t="s">
        <v>357</v>
      </c>
      <c r="B1" s="3" t="s">
        <v>0</v>
      </c>
      <c r="C1" s="3" t="s">
        <v>1108</v>
      </c>
      <c r="D1" s="3" t="s">
        <v>1109</v>
      </c>
      <c r="E1" s="3" t="s">
        <v>1110</v>
      </c>
      <c r="F1" s="3" t="s">
        <v>1111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3" t="s">
        <v>10</v>
      </c>
      <c r="N1" s="3" t="s">
        <v>9</v>
      </c>
      <c r="O1" s="3" t="s">
        <v>11</v>
      </c>
      <c r="P1" s="3" t="s">
        <v>74</v>
      </c>
      <c r="Q1" s="3" t="s">
        <v>114</v>
      </c>
      <c r="R1" s="3" t="s">
        <v>360</v>
      </c>
      <c r="T1" s="3" t="s">
        <v>1108</v>
      </c>
      <c r="U1" s="3" t="s">
        <v>1109</v>
      </c>
      <c r="V1" s="3" t="s">
        <v>1110</v>
      </c>
      <c r="W1" s="3" t="s">
        <v>1111</v>
      </c>
    </row>
    <row r="2" spans="1:25">
      <c r="A2">
        <f>IF(ISBLANK('Data Input'!A2),"",'Data Input'!A2)</f>
        <v>1</v>
      </c>
      <c r="B2" t="str">
        <f>IF(ISBLANK('Data Input'!B2),"",'Data Input'!B2)</f>
        <v>CH001</v>
      </c>
      <c r="C2" t="str">
        <f>IF(ISBLANK('Data Input'!C2),"",'Data Input'!C2)</f>
        <v>6/15/18 1950</v>
      </c>
      <c r="E2" t="str">
        <f>IF(ISBLANK('Data Input'!D2),"",'Data Input'!D2)</f>
        <v>6/16/2018 1849</v>
      </c>
      <c r="G2">
        <f>IF(ISBLANK('Data Input'!E2),"",'Data Input'!E2)</f>
        <v>29</v>
      </c>
      <c r="H2" t="str">
        <f>IF(ISBLANK('Data Input'!F2),"",'Data Input'!F2)</f>
        <v>White</v>
      </c>
      <c r="I2" t="str">
        <f>IF(ISBLANK('Data Input'!G2),"",'Data Input'!G2)</f>
        <v>SVD</v>
      </c>
      <c r="J2" t="str">
        <f>IF(ISBLANK('Data Input'!I2),"",'Data Input'!I2)</f>
        <v>6/15/18 2216</v>
      </c>
      <c r="K2" t="str">
        <f>IF(ISBLANK('Data Input'!J2),"",'Data Input'!J2)</f>
        <v>bb - Ibuprofen</v>
      </c>
      <c r="L2">
        <f>IF(ISBLANK('Data Input'!K2),"",'Data Input'!K2)</f>
        <v>800</v>
      </c>
      <c r="M2">
        <f>IF(ISBLANK('Data Input'!L2),"",'Data Input'!L2)</f>
        <v>6</v>
      </c>
      <c r="N2">
        <f>IF(ISBLANK('Data Input'!M2),"",'Data Input'!M2)</f>
        <v>5</v>
      </c>
      <c r="O2">
        <f>IF(ISBLANK('Data Input'!N2),"",'Data Input'!N2)</f>
        <v>3</v>
      </c>
      <c r="P2" t="str">
        <f>IF(ISBLANK('Data Input'!O2),"",'Data Input'!O2)</f>
        <v/>
      </c>
      <c r="Q2" t="str">
        <f>IF(ISBLANK('Data Input'!P2),"",'Data Input'!P2)</f>
        <v/>
      </c>
      <c r="R2" t="b">
        <f>IF(ISBLANK('Data Input'!Q2),"",'Data Input'!Q2)</f>
        <v>1</v>
      </c>
      <c r="T2" s="2">
        <f>DATEVALUE(LEFT(C2,FIND(" ",C2)))</f>
        <v>43266</v>
      </c>
      <c r="U2" s="12">
        <f>TIMEVALUE(CONCATENATE(MID(C2,FIND(" ",C2)+1,2),":",RIGHT(C2,LEN(C2)-FIND(" ",C2)-2)))</f>
        <v>0.82638888888888884</v>
      </c>
      <c r="V2" s="2">
        <f t="shared" ref="V2:V5" si="0">IFERROR(DATEVALUE(LEFT(E2,FIND(" ",E2))),E2)</f>
        <v>43267</v>
      </c>
      <c r="W2" s="12">
        <f t="shared" ref="W2:W5" si="1">IFERROR(TIMEVALUE(CONCATENATE(MID(E2,FIND(" ",E2)+1,2),":",RIGHT(E2,LEN(E2)-FIND(" ",E2)-2))),E2)</f>
        <v>0.78402777777777777</v>
      </c>
    </row>
    <row r="3" spans="1:25">
      <c r="A3">
        <f>IF(ISBLANK('Data Input'!A3),"",'Data Input'!A3)</f>
        <v>1</v>
      </c>
      <c r="B3" t="str">
        <f>IF(ISBLANK('Data Input'!B3),"",'Data Input'!B3)</f>
        <v>CH001</v>
      </c>
      <c r="C3" t="str">
        <f>IF(ISBLANK('Data Input'!C3),"",'Data Input'!C3)</f>
        <v>6/15/18 1950</v>
      </c>
      <c r="E3" t="str">
        <f>IF(ISBLANK('Data Input'!D3),"",'Data Input'!D3)</f>
        <v>6/16/2018 1849</v>
      </c>
      <c r="G3">
        <f>IF(ISBLANK('Data Input'!E3),"",'Data Input'!E3)</f>
        <v>29</v>
      </c>
      <c r="H3" t="str">
        <f>IF(ISBLANK('Data Input'!F3),"",'Data Input'!F3)</f>
        <v>White</v>
      </c>
      <c r="I3" t="str">
        <f>IF(ISBLANK('Data Input'!G3),"",'Data Input'!G3)</f>
        <v>SVD</v>
      </c>
      <c r="J3" t="str">
        <f>IF(ISBLANK('Data Input'!I3),"",'Data Input'!I3)</f>
        <v>6/16/18 0510</v>
      </c>
      <c r="K3" t="str">
        <f>IF(ISBLANK('Data Input'!J3),"",'Data Input'!J3)</f>
        <v>rr - Percocet</v>
      </c>
      <c r="L3" t="str">
        <f>IF(ISBLANK('Data Input'!K3),"",'Data Input'!K3)</f>
        <v>1 tab</v>
      </c>
      <c r="M3">
        <f>IF(ISBLANK('Data Input'!L3),"",'Data Input'!L3)</f>
        <v>8</v>
      </c>
      <c r="N3">
        <f>IF(ISBLANK('Data Input'!M3),"",'Data Input'!M3)</f>
        <v>1</v>
      </c>
      <c r="O3">
        <f>IF(ISBLANK('Data Input'!N3),"",'Data Input'!N3)</f>
        <v>1</v>
      </c>
      <c r="P3" t="str">
        <f>IF(ISBLANK('Data Input'!O3),"",'Data Input'!O3)</f>
        <v/>
      </c>
      <c r="Q3" t="str">
        <f>IF(ISBLANK('Data Input'!P3),"",'Data Input'!P3)</f>
        <v/>
      </c>
      <c r="R3" t="b">
        <f>IF(ISBLANK('Data Input'!Q3),"",'Data Input'!Q3)</f>
        <v>1</v>
      </c>
      <c r="T3" s="2">
        <f t="shared" ref="T3:T66" si="2">DATEVALUE(LEFT(C3,FIND(" ",C3)))</f>
        <v>43266</v>
      </c>
      <c r="U3" s="12">
        <f t="shared" ref="U3:U66" si="3">TIMEVALUE(CONCATENATE(MID(C3,FIND(" ",C3)+1,2),":",RIGHT(C3,LEN(C3)-FIND(" ",C3)-2)))</f>
        <v>0.82638888888888884</v>
      </c>
      <c r="V3" s="2">
        <f t="shared" si="0"/>
        <v>43267</v>
      </c>
      <c r="W3" s="12">
        <f t="shared" si="1"/>
        <v>0.78402777777777777</v>
      </c>
    </row>
    <row r="4" spans="1:25">
      <c r="A4">
        <f>IF(ISBLANK('Data Input'!A4),"",'Data Input'!A4)</f>
        <v>1</v>
      </c>
      <c r="B4" t="str">
        <f>IF(ISBLANK('Data Input'!B4),"",'Data Input'!B4)</f>
        <v>CH001</v>
      </c>
      <c r="C4" t="str">
        <f>IF(ISBLANK('Data Input'!C4),"",'Data Input'!C4)</f>
        <v>6/15/18 1950</v>
      </c>
      <c r="E4" t="str">
        <f>IF(ISBLANK('Data Input'!D4),"",'Data Input'!D4)</f>
        <v>6/16/2018 1849</v>
      </c>
      <c r="G4">
        <f>IF(ISBLANK('Data Input'!E4),"",'Data Input'!E4)</f>
        <v>29</v>
      </c>
      <c r="H4" t="str">
        <f>IF(ISBLANK('Data Input'!F4),"",'Data Input'!F4)</f>
        <v>White</v>
      </c>
      <c r="I4" t="str">
        <f>IF(ISBLANK('Data Input'!G4),"",'Data Input'!G4)</f>
        <v>SVD</v>
      </c>
      <c r="J4" t="str">
        <f>IF(ISBLANK('Data Input'!I4),"",'Data Input'!I4)</f>
        <v>6/16/2018 1025</v>
      </c>
      <c r="K4" t="str">
        <f>IF(ISBLANK('Data Input'!J4),"",'Data Input'!J4)</f>
        <v>bb - Ibuprofen</v>
      </c>
      <c r="L4">
        <f>IF(ISBLANK('Data Input'!K4),"",'Data Input'!K4)</f>
        <v>800</v>
      </c>
      <c r="M4">
        <f>IF(ISBLANK('Data Input'!L4),"",'Data Input'!L4)</f>
        <v>6</v>
      </c>
      <c r="N4">
        <f>IF(ISBLANK('Data Input'!M4),"",'Data Input'!M4)</f>
        <v>0</v>
      </c>
      <c r="O4">
        <f>IF(ISBLANK('Data Input'!N4),"",'Data Input'!N4)</f>
        <v>3</v>
      </c>
      <c r="P4" t="str">
        <f>IF(ISBLANK('Data Input'!O4),"",'Data Input'!O4)</f>
        <v/>
      </c>
      <c r="Q4" t="str">
        <f>IF(ISBLANK('Data Input'!P4),"",'Data Input'!P4)</f>
        <v/>
      </c>
      <c r="R4" t="b">
        <f>IF(ISBLANK('Data Input'!Q4),"",'Data Input'!Q4)</f>
        <v>1</v>
      </c>
      <c r="T4" s="2">
        <f t="shared" si="2"/>
        <v>43266</v>
      </c>
      <c r="U4" s="12">
        <f t="shared" si="3"/>
        <v>0.82638888888888884</v>
      </c>
      <c r="V4" s="2">
        <f t="shared" si="0"/>
        <v>43267</v>
      </c>
      <c r="W4" s="12">
        <f t="shared" si="1"/>
        <v>0.78402777777777777</v>
      </c>
    </row>
    <row r="5" spans="1:25">
      <c r="A5">
        <f>IF(ISBLANK('Data Input'!A5),"",'Data Input'!A5)</f>
        <v>1</v>
      </c>
      <c r="B5" t="str">
        <f>IF(ISBLANK('Data Input'!B5),"",'Data Input'!B5)</f>
        <v>CH001</v>
      </c>
      <c r="C5" t="str">
        <f>IF(ISBLANK('Data Input'!C5),"",'Data Input'!C5)</f>
        <v>6/15/18 1950</v>
      </c>
      <c r="E5" t="str">
        <f>IF(ISBLANK('Data Input'!D5),"",'Data Input'!D5)</f>
        <v>6/16/2018 1849</v>
      </c>
      <c r="G5">
        <f>IF(ISBLANK('Data Input'!E5),"",'Data Input'!E5)</f>
        <v>29</v>
      </c>
      <c r="H5" t="str">
        <f>IF(ISBLANK('Data Input'!F5),"",'Data Input'!F5)</f>
        <v>White</v>
      </c>
      <c r="I5" t="str">
        <f>IF(ISBLANK('Data Input'!G5),"",'Data Input'!G5)</f>
        <v>SVD</v>
      </c>
      <c r="J5" t="str">
        <f>IF(ISBLANK('Data Input'!I5),"",'Data Input'!I5)</f>
        <v>6/16/18 1849</v>
      </c>
      <c r="K5" t="str">
        <f>IF(ISBLANK('Data Input'!J5),"",'Data Input'!J5)</f>
        <v>bb - Ibuprofen</v>
      </c>
      <c r="L5">
        <f>IF(ISBLANK('Data Input'!K5),"",'Data Input'!K5)</f>
        <v>800</v>
      </c>
      <c r="M5">
        <f>IF(ISBLANK('Data Input'!L5),"",'Data Input'!L5)</f>
        <v>7</v>
      </c>
      <c r="N5">
        <f>IF(ISBLANK('Data Input'!M5),"",'Data Input'!M5)</f>
        <v>3</v>
      </c>
      <c r="O5">
        <f>IF(ISBLANK('Data Input'!N5),"",'Data Input'!N5)</f>
        <v>3</v>
      </c>
      <c r="P5" t="str">
        <f>IF(ISBLANK('Data Input'!O5),"",'Data Input'!O5)</f>
        <v/>
      </c>
      <c r="Q5" t="str">
        <f>IF(ISBLANK('Data Input'!P5),"",'Data Input'!P5)</f>
        <v/>
      </c>
      <c r="R5" t="b">
        <f>IF(ISBLANK('Data Input'!Q5),"",'Data Input'!Q5)</f>
        <v>1</v>
      </c>
      <c r="T5" s="2">
        <f t="shared" si="2"/>
        <v>43266</v>
      </c>
      <c r="U5" s="12">
        <f t="shared" si="3"/>
        <v>0.82638888888888884</v>
      </c>
      <c r="V5" s="2">
        <f t="shared" si="0"/>
        <v>43267</v>
      </c>
      <c r="W5" s="12">
        <f t="shared" si="1"/>
        <v>0.78402777777777777</v>
      </c>
    </row>
    <row r="6" spans="1:25">
      <c r="A6">
        <f>IF(ISBLANK('Data Input'!A6),"",'Data Input'!A6)</f>
        <v>2</v>
      </c>
      <c r="B6" t="str">
        <f>IF(ISBLANK('Data Input'!B6),"",'Data Input'!B6)</f>
        <v>KV002</v>
      </c>
      <c r="C6" t="str">
        <f>IF(ISBLANK('Data Input'!C6),"",'Data Input'!C6)</f>
        <v>06/15/18 0100</v>
      </c>
      <c r="E6">
        <f>IF(ISBLANK('Data Input'!D6),"",'Data Input'!D6)</f>
        <v>43267</v>
      </c>
      <c r="G6">
        <f>IF(ISBLANK('Data Input'!E6),"",'Data Input'!E6)</f>
        <v>18</v>
      </c>
      <c r="H6" t="str">
        <f>IF(ISBLANK('Data Input'!F6),"",'Data Input'!F6)</f>
        <v>White</v>
      </c>
      <c r="I6" t="str">
        <f>IF(ISBLANK('Data Input'!G6),"",'Data Input'!G6)</f>
        <v>SVD</v>
      </c>
      <c r="J6" t="str">
        <f>IF(ISBLANK('Data Input'!I6),"",'Data Input'!I6)</f>
        <v>6/15/18 0538</v>
      </c>
      <c r="K6" t="str">
        <f>IF(ISBLANK('Data Input'!J6),"",'Data Input'!J6)</f>
        <v>bb - Ibuprofen</v>
      </c>
      <c r="L6">
        <f>IF(ISBLANK('Data Input'!K6),"",'Data Input'!K6)</f>
        <v>800</v>
      </c>
      <c r="M6">
        <f>IF(ISBLANK('Data Input'!L6),"",'Data Input'!L6)</f>
        <v>5</v>
      </c>
      <c r="N6">
        <f>IF(ISBLANK('Data Input'!M6),"",'Data Input'!M6)</f>
        <v>3</v>
      </c>
      <c r="O6">
        <f>IF(ISBLANK('Data Input'!N6),"",'Data Input'!N6)</f>
        <v>3</v>
      </c>
      <c r="P6" t="str">
        <f>IF(ISBLANK('Data Input'!O6),"",'Data Input'!O6)</f>
        <v/>
      </c>
      <c r="Q6" t="str">
        <f>IF(ISBLANK('Data Input'!P6),"",'Data Input'!P6)</f>
        <v/>
      </c>
      <c r="R6" t="b">
        <f>IF(ISBLANK('Data Input'!Q6),"",'Data Input'!Q6)</f>
        <v>0</v>
      </c>
      <c r="T6" s="2">
        <f t="shared" si="2"/>
        <v>43266</v>
      </c>
      <c r="U6" s="12">
        <f t="shared" si="3"/>
        <v>4.1666666666666664E-2</v>
      </c>
      <c r="V6" s="2">
        <f>IFERROR(DATEVALUE(LEFT(E6,FIND(" ",E6))),E6)</f>
        <v>43267</v>
      </c>
      <c r="W6" s="12">
        <f>IFERROR(TIMEVALUE(CONCATENATE(MID(E6,FIND(" ",E6)+1,2),":",RIGHT(E6,LEN(E6)-FIND(" ",E6)-2))),E6)</f>
        <v>43267</v>
      </c>
    </row>
    <row r="7" spans="1:25">
      <c r="A7">
        <f>IF(ISBLANK('Data Input'!A7),"",'Data Input'!A7)</f>
        <v>2</v>
      </c>
      <c r="B7" t="str">
        <f>IF(ISBLANK('Data Input'!B7),"",'Data Input'!B7)</f>
        <v>KV002</v>
      </c>
      <c r="C7" t="str">
        <f>IF(ISBLANK('Data Input'!C7),"",'Data Input'!C7)</f>
        <v>06/15/18 0100</v>
      </c>
      <c r="E7">
        <f>IF(ISBLANK('Data Input'!D7),"",'Data Input'!D7)</f>
        <v>43267</v>
      </c>
      <c r="G7">
        <f>IF(ISBLANK('Data Input'!E7),"",'Data Input'!E7)</f>
        <v>18</v>
      </c>
      <c r="H7" t="str">
        <f>IF(ISBLANK('Data Input'!F7),"",'Data Input'!F7)</f>
        <v>White</v>
      </c>
      <c r="I7" t="str">
        <f>IF(ISBLANK('Data Input'!G7),"",'Data Input'!G7)</f>
        <v>SVD</v>
      </c>
      <c r="J7" t="str">
        <f>IF(ISBLANK('Data Input'!I7),"",'Data Input'!I7)</f>
        <v>6/15/18 1533</v>
      </c>
      <c r="K7" t="str">
        <f>IF(ISBLANK('Data Input'!J7),"",'Data Input'!J7)</f>
        <v>bb - Ibuprofen</v>
      </c>
      <c r="L7">
        <f>IF(ISBLANK('Data Input'!K7),"",'Data Input'!K7)</f>
        <v>800</v>
      </c>
      <c r="M7">
        <f>IF(ISBLANK('Data Input'!L7),"",'Data Input'!L7)</f>
        <v>5</v>
      </c>
      <c r="N7">
        <f>IF(ISBLANK('Data Input'!M7),"",'Data Input'!M7)</f>
        <v>2</v>
      </c>
      <c r="O7">
        <f>IF(ISBLANK('Data Input'!N7),"",'Data Input'!N7)</f>
        <v>3</v>
      </c>
      <c r="P7" t="str">
        <f>IF(ISBLANK('Data Input'!O7),"",'Data Input'!O7)</f>
        <v/>
      </c>
      <c r="Q7" t="str">
        <f>IF(ISBLANK('Data Input'!P7),"",'Data Input'!P7)</f>
        <v/>
      </c>
      <c r="R7" t="b">
        <f>IF(ISBLANK('Data Input'!Q7),"",'Data Input'!Q7)</f>
        <v>0</v>
      </c>
      <c r="T7" s="2">
        <f t="shared" si="2"/>
        <v>43266</v>
      </c>
      <c r="U7" s="12">
        <f t="shared" si="3"/>
        <v>4.1666666666666664E-2</v>
      </c>
      <c r="V7" s="2">
        <f t="shared" ref="V7:V70" si="4">IFERROR(DATEVALUE(LEFT(E7,FIND(" ",E7))),E7)</f>
        <v>43267</v>
      </c>
      <c r="W7" s="12">
        <f t="shared" ref="W7:W70" si="5">IFERROR(TIMEVALUE(CONCATENATE(MID(E7,FIND(" ",E7)+1,2),":",RIGHT(E7,LEN(E7)-FIND(" ",E7)-2))),E7)</f>
        <v>43267</v>
      </c>
    </row>
    <row r="8" spans="1:25">
      <c r="A8">
        <f>IF(ISBLANK('Data Input'!A8),"",'Data Input'!A8)</f>
        <v>2</v>
      </c>
      <c r="B8" t="str">
        <f>IF(ISBLANK('Data Input'!B8),"",'Data Input'!B8)</f>
        <v>KV002</v>
      </c>
      <c r="C8" t="str">
        <f>IF(ISBLANK('Data Input'!C8),"",'Data Input'!C8)</f>
        <v>06/15/18 0100</v>
      </c>
      <c r="E8">
        <f>IF(ISBLANK('Data Input'!D8),"",'Data Input'!D8)</f>
        <v>43267</v>
      </c>
      <c r="G8">
        <f>IF(ISBLANK('Data Input'!E8),"",'Data Input'!E8)</f>
        <v>18</v>
      </c>
      <c r="H8" t="str">
        <f>IF(ISBLANK('Data Input'!F8),"",'Data Input'!F8)</f>
        <v>White</v>
      </c>
      <c r="I8" t="str">
        <f>IF(ISBLANK('Data Input'!G8),"",'Data Input'!G8)</f>
        <v>SVD</v>
      </c>
      <c r="J8" t="str">
        <f>IF(ISBLANK('Data Input'!I8),"",'Data Input'!I8)</f>
        <v>6/16/18 0220</v>
      </c>
      <c r="K8" t="str">
        <f>IF(ISBLANK('Data Input'!J8),"",'Data Input'!J8)</f>
        <v>bb - Ibuprofen</v>
      </c>
      <c r="L8">
        <f>IF(ISBLANK('Data Input'!K8),"",'Data Input'!K8)</f>
        <v>800</v>
      </c>
      <c r="M8">
        <f>IF(ISBLANK('Data Input'!L8),"",'Data Input'!L8)</f>
        <v>0</v>
      </c>
      <c r="N8" t="str">
        <f>IF(ISBLANK('Data Input'!M8),"",'Data Input'!M8)</f>
        <v>NA</v>
      </c>
      <c r="O8" t="str">
        <f>IF(ISBLANK('Data Input'!N8),"",'Data Input'!N8)</f>
        <v>NA</v>
      </c>
      <c r="P8" t="str">
        <f>IF(ISBLANK('Data Input'!O8),"",'Data Input'!O8)</f>
        <v/>
      </c>
      <c r="Q8" t="str">
        <f>IF(ISBLANK('Data Input'!P8),"",'Data Input'!P8)</f>
        <v/>
      </c>
      <c r="R8" t="b">
        <f>IF(ISBLANK('Data Input'!Q8),"",'Data Input'!Q8)</f>
        <v>0</v>
      </c>
      <c r="T8" s="2">
        <f t="shared" si="2"/>
        <v>43266</v>
      </c>
      <c r="U8" s="12">
        <f t="shared" si="3"/>
        <v>4.1666666666666664E-2</v>
      </c>
      <c r="V8" s="2">
        <f t="shared" si="4"/>
        <v>43267</v>
      </c>
      <c r="W8" s="12">
        <f t="shared" si="5"/>
        <v>43267</v>
      </c>
    </row>
    <row r="9" spans="1:25">
      <c r="A9">
        <f>IF(ISBLANK('Data Input'!A9),"",'Data Input'!A9)</f>
        <v>3</v>
      </c>
      <c r="B9" t="str">
        <f>IF(ISBLANK('Data Input'!B9),"",'Data Input'!B9)</f>
        <v>AK003</v>
      </c>
      <c r="C9" t="str">
        <f>IF(ISBLANK('Data Input'!C9),"",'Data Input'!C9)</f>
        <v>6/15/18 1500</v>
      </c>
      <c r="E9" t="str">
        <f>IF(ISBLANK('Data Input'!D9),"",'Data Input'!D9)</f>
        <v>6/16/18 0942</v>
      </c>
      <c r="G9">
        <f>IF(ISBLANK('Data Input'!E9),"",'Data Input'!E9)</f>
        <v>26</v>
      </c>
      <c r="H9" t="str">
        <f>IF(ISBLANK('Data Input'!F9),"",'Data Input'!F9)</f>
        <v>White</v>
      </c>
      <c r="I9" t="str">
        <f>IF(ISBLANK('Data Input'!G9),"",'Data Input'!G9)</f>
        <v>Caesarean</v>
      </c>
      <c r="J9" t="str">
        <f>IF(ISBLANK('Data Input'!I9),"",'Data Input'!I9)</f>
        <v>6/15/18 1550</v>
      </c>
      <c r="K9" t="str">
        <f>IF(ISBLANK('Data Input'!J9),"",'Data Input'!J9)</f>
        <v>tr - Toradol</v>
      </c>
      <c r="L9">
        <f>IF(ISBLANK('Data Input'!K9),"",'Data Input'!K9)</f>
        <v>30</v>
      </c>
      <c r="M9">
        <f>IF(ISBLANK('Data Input'!L9),"",'Data Input'!L9)</f>
        <v>10</v>
      </c>
      <c r="N9" t="str">
        <f>IF(ISBLANK('Data Input'!M9),"",'Data Input'!M9)</f>
        <v>No F/u</v>
      </c>
      <c r="O9">
        <f>IF(ISBLANK('Data Input'!N9),"",'Data Input'!N9)</f>
        <v>2</v>
      </c>
      <c r="P9" t="str">
        <f>IF(ISBLANK('Data Input'!O9),"",'Data Input'!O9)</f>
        <v/>
      </c>
      <c r="Q9" t="str">
        <f>IF(ISBLANK('Data Input'!P9),"",'Data Input'!P9)</f>
        <v/>
      </c>
      <c r="R9" t="b">
        <f>IF(ISBLANK('Data Input'!Q9),"",'Data Input'!Q9)</f>
        <v>1</v>
      </c>
      <c r="T9" s="2">
        <f t="shared" si="2"/>
        <v>43266</v>
      </c>
      <c r="U9" s="12">
        <f t="shared" si="3"/>
        <v>0.625</v>
      </c>
      <c r="V9" s="2">
        <f t="shared" si="4"/>
        <v>43267</v>
      </c>
      <c r="W9" s="12">
        <f t="shared" si="5"/>
        <v>0.40416666666666662</v>
      </c>
    </row>
    <row r="10" spans="1:25">
      <c r="A10">
        <f>IF(ISBLANK('Data Input'!A10),"",'Data Input'!A10)</f>
        <v>3</v>
      </c>
      <c r="B10" t="str">
        <f>IF(ISBLANK('Data Input'!B10),"",'Data Input'!B10)</f>
        <v>AK003</v>
      </c>
      <c r="C10" t="str">
        <f>IF(ISBLANK('Data Input'!C10),"",'Data Input'!C10)</f>
        <v>6/15/18 1500</v>
      </c>
      <c r="E10" t="str">
        <f>IF(ISBLANK('Data Input'!D10),"",'Data Input'!D10)</f>
        <v>6/16/18 0942</v>
      </c>
      <c r="G10">
        <f>IF(ISBLANK('Data Input'!E10),"",'Data Input'!E10)</f>
        <v>26</v>
      </c>
      <c r="H10" t="str">
        <f>IF(ISBLANK('Data Input'!F10),"",'Data Input'!F10)</f>
        <v>White</v>
      </c>
      <c r="I10" t="str">
        <f>IF(ISBLANK('Data Input'!G10),"",'Data Input'!G10)</f>
        <v>Caesarean</v>
      </c>
      <c r="J10" t="str">
        <f>IF(ISBLANK('Data Input'!I10),"",'Data Input'!I10)</f>
        <v>6/16/18 0835</v>
      </c>
      <c r="K10" t="str">
        <f>IF(ISBLANK('Data Input'!J10),"",'Data Input'!J10)</f>
        <v>rr - Percocet</v>
      </c>
      <c r="L10" t="str">
        <f>IF(ISBLANK('Data Input'!K10),"",'Data Input'!K10)</f>
        <v>1 tab</v>
      </c>
      <c r="M10">
        <f>IF(ISBLANK('Data Input'!L10),"",'Data Input'!L10)</f>
        <v>6</v>
      </c>
      <c r="N10">
        <f>IF(ISBLANK('Data Input'!M10),"",'Data Input'!M10)</f>
        <v>5</v>
      </c>
      <c r="O10">
        <f>IF(ISBLANK('Data Input'!N10),"",'Data Input'!N10)</f>
        <v>1</v>
      </c>
      <c r="P10" t="str">
        <f>IF(ISBLANK('Data Input'!O10),"",'Data Input'!O10)</f>
        <v/>
      </c>
      <c r="Q10" t="str">
        <f>IF(ISBLANK('Data Input'!P10),"",'Data Input'!P10)</f>
        <v/>
      </c>
      <c r="R10" t="b">
        <f>IF(ISBLANK('Data Input'!Q10),"",'Data Input'!Q10)</f>
        <v>1</v>
      </c>
      <c r="T10" s="2">
        <f t="shared" si="2"/>
        <v>43266</v>
      </c>
      <c r="U10" s="12">
        <f t="shared" si="3"/>
        <v>0.625</v>
      </c>
      <c r="V10" s="2">
        <f t="shared" si="4"/>
        <v>43267</v>
      </c>
      <c r="W10" s="12">
        <f t="shared" si="5"/>
        <v>0.40416666666666662</v>
      </c>
    </row>
    <row r="11" spans="1:25">
      <c r="A11">
        <f>IF(ISBLANK('Data Input'!A11),"",'Data Input'!A11)</f>
        <v>3</v>
      </c>
      <c r="B11" t="str">
        <f>IF(ISBLANK('Data Input'!B11),"",'Data Input'!B11)</f>
        <v>AK003</v>
      </c>
      <c r="C11" t="str">
        <f>IF(ISBLANK('Data Input'!C11),"",'Data Input'!C11)</f>
        <v>6/15/18 1500</v>
      </c>
      <c r="E11" t="str">
        <f>IF(ISBLANK('Data Input'!D11),"",'Data Input'!D11)</f>
        <v>6/16/18 0942</v>
      </c>
      <c r="G11">
        <f>IF(ISBLANK('Data Input'!E11),"",'Data Input'!E11)</f>
        <v>26</v>
      </c>
      <c r="H11" t="str">
        <f>IF(ISBLANK('Data Input'!F11),"",'Data Input'!F11)</f>
        <v>White</v>
      </c>
      <c r="I11" t="str">
        <f>IF(ISBLANK('Data Input'!G11),"",'Data Input'!G11)</f>
        <v>Caesarean</v>
      </c>
      <c r="J11" t="str">
        <f>IF(ISBLANK('Data Input'!I11),"",'Data Input'!I11)</f>
        <v>6/16/18 0942</v>
      </c>
      <c r="K11" t="str">
        <f>IF(ISBLANK('Data Input'!J11),"",'Data Input'!J11)</f>
        <v>tr - Toradol</v>
      </c>
      <c r="L11">
        <f>IF(ISBLANK('Data Input'!K11),"",'Data Input'!K11)</f>
        <v>30</v>
      </c>
      <c r="M11">
        <f>IF(ISBLANK('Data Input'!L11),"",'Data Input'!L11)</f>
        <v>5</v>
      </c>
      <c r="N11" t="str">
        <f>IF(ISBLANK('Data Input'!M11),"",'Data Input'!M11)</f>
        <v>No F/u</v>
      </c>
      <c r="O11">
        <f>IF(ISBLANK('Data Input'!N11),"",'Data Input'!N11)</f>
        <v>2</v>
      </c>
      <c r="P11" t="str">
        <f>IF(ISBLANK('Data Input'!O11),"",'Data Input'!O11)</f>
        <v/>
      </c>
      <c r="Q11" t="str">
        <f>IF(ISBLANK('Data Input'!P11),"",'Data Input'!P11)</f>
        <v/>
      </c>
      <c r="R11" t="b">
        <f>IF(ISBLANK('Data Input'!Q11),"",'Data Input'!Q11)</f>
        <v>1</v>
      </c>
      <c r="T11" s="2">
        <f t="shared" si="2"/>
        <v>43266</v>
      </c>
      <c r="U11" s="12">
        <f t="shared" si="3"/>
        <v>0.625</v>
      </c>
      <c r="V11" s="2">
        <f t="shared" si="4"/>
        <v>43267</v>
      </c>
      <c r="W11" s="12">
        <f t="shared" si="5"/>
        <v>0.40416666666666662</v>
      </c>
      <c r="X11" s="12"/>
      <c r="Y11" s="12"/>
    </row>
    <row r="12" spans="1:25">
      <c r="A12">
        <f>IF(ISBLANK('Data Input'!A12),"",'Data Input'!A12)</f>
        <v>4</v>
      </c>
      <c r="B12" t="str">
        <f>IF(ISBLANK('Data Input'!B12),"",'Data Input'!B12)</f>
        <v>JC004</v>
      </c>
      <c r="C12" t="str">
        <f>IF(ISBLANK('Data Input'!C12),"",'Data Input'!C12)</f>
        <v>6/16/18 0835</v>
      </c>
      <c r="E12" t="str">
        <f>IF(ISBLANK('Data Input'!D12),"",'Data Input'!D12)</f>
        <v>6/17/18 0702</v>
      </c>
      <c r="G12">
        <f>IF(ISBLANK('Data Input'!E12),"",'Data Input'!E12)</f>
        <v>40</v>
      </c>
      <c r="H12" t="str">
        <f>IF(ISBLANK('Data Input'!F12),"",'Data Input'!F12)</f>
        <v>Black</v>
      </c>
      <c r="I12" t="str">
        <f>IF(ISBLANK('Data Input'!G12),"",'Data Input'!G12)</f>
        <v>SVD</v>
      </c>
      <c r="J12" t="str">
        <f>IF(ISBLANK('Data Input'!I12),"",'Data Input'!I12)</f>
        <v>6/16/18 0910</v>
      </c>
      <c r="K12" t="str">
        <f>IF(ISBLANK('Data Input'!J12),"",'Data Input'!J12)</f>
        <v>tt - Tylenol</v>
      </c>
      <c r="L12">
        <f>IF(ISBLANK('Data Input'!K12),"",'Data Input'!K12)</f>
        <v>650</v>
      </c>
      <c r="M12">
        <f>IF(ISBLANK('Data Input'!L12),"",'Data Input'!L12)</f>
        <v>6</v>
      </c>
      <c r="N12">
        <f>IF(ISBLANK('Data Input'!M12),"",'Data Input'!M12)</f>
        <v>0</v>
      </c>
      <c r="O12">
        <f>IF(ISBLANK('Data Input'!N12),"",'Data Input'!N12)</f>
        <v>1</v>
      </c>
      <c r="P12" t="str">
        <f>IF(ISBLANK('Data Input'!O12),"",'Data Input'!O12)</f>
        <v/>
      </c>
      <c r="Q12" t="str">
        <f>IF(ISBLANK('Data Input'!P12),"",'Data Input'!P12)</f>
        <v/>
      </c>
      <c r="R12" t="b">
        <f>IF(ISBLANK('Data Input'!Q12),"",'Data Input'!Q12)</f>
        <v>0</v>
      </c>
      <c r="T12" s="2">
        <f t="shared" si="2"/>
        <v>43267</v>
      </c>
      <c r="U12" s="12">
        <f t="shared" si="3"/>
        <v>0.3576388888888889</v>
      </c>
      <c r="V12" s="2">
        <f t="shared" si="4"/>
        <v>43268</v>
      </c>
      <c r="W12" s="12">
        <f t="shared" si="5"/>
        <v>0.29305555555555557</v>
      </c>
      <c r="X12" s="12"/>
      <c r="Y12" s="12"/>
    </row>
    <row r="13" spans="1:25">
      <c r="A13">
        <f>IF(ISBLANK('Data Input'!A13),"",'Data Input'!A13)</f>
        <v>4</v>
      </c>
      <c r="B13" t="str">
        <f>IF(ISBLANK('Data Input'!B13),"",'Data Input'!B13)</f>
        <v>JC004</v>
      </c>
      <c r="C13" t="str">
        <f>IF(ISBLANK('Data Input'!C13),"",'Data Input'!C13)</f>
        <v>6/16/18 0835</v>
      </c>
      <c r="E13" t="str">
        <f>IF(ISBLANK('Data Input'!D13),"",'Data Input'!D13)</f>
        <v>6/17/18 0702</v>
      </c>
      <c r="G13">
        <f>IF(ISBLANK('Data Input'!E13),"",'Data Input'!E13)</f>
        <v>40</v>
      </c>
      <c r="H13" t="str">
        <f>IF(ISBLANK('Data Input'!F13),"",'Data Input'!F13)</f>
        <v>Black</v>
      </c>
      <c r="I13" t="str">
        <f>IF(ISBLANK('Data Input'!G13),"",'Data Input'!G13)</f>
        <v>SVD</v>
      </c>
      <c r="J13" t="str">
        <f>IF(ISBLANK('Data Input'!I13),"",'Data Input'!I13)</f>
        <v>06/16/18 1236</v>
      </c>
      <c r="K13" t="str">
        <f>IF(ISBLANK('Data Input'!J13),"",'Data Input'!J13)</f>
        <v>bb - Ibuprofen</v>
      </c>
      <c r="L13">
        <f>IF(ISBLANK('Data Input'!K13),"",'Data Input'!K13)</f>
        <v>800</v>
      </c>
      <c r="M13">
        <f>IF(ISBLANK('Data Input'!L13),"",'Data Input'!L13)</f>
        <v>7</v>
      </c>
      <c r="N13">
        <f>IF(ISBLANK('Data Input'!M13),"",'Data Input'!M13)</f>
        <v>0</v>
      </c>
      <c r="O13">
        <f>IF(ISBLANK('Data Input'!N13),"",'Data Input'!N13)</f>
        <v>3</v>
      </c>
      <c r="P13" t="str">
        <f>IF(ISBLANK('Data Input'!O13),"",'Data Input'!O13)</f>
        <v/>
      </c>
      <c r="Q13" t="str">
        <f>IF(ISBLANK('Data Input'!P13),"",'Data Input'!P13)</f>
        <v/>
      </c>
      <c r="R13" t="b">
        <f>IF(ISBLANK('Data Input'!Q13),"",'Data Input'!Q13)</f>
        <v>0</v>
      </c>
      <c r="T13" s="2">
        <f t="shared" si="2"/>
        <v>43267</v>
      </c>
      <c r="U13" s="12">
        <f t="shared" si="3"/>
        <v>0.3576388888888889</v>
      </c>
      <c r="V13" s="2">
        <f t="shared" si="4"/>
        <v>43268</v>
      </c>
      <c r="W13" s="12">
        <f t="shared" si="5"/>
        <v>0.29305555555555557</v>
      </c>
      <c r="X13" s="12"/>
      <c r="Y13" s="12"/>
    </row>
    <row r="14" spans="1:25">
      <c r="A14">
        <f>IF(ISBLANK('Data Input'!A14),"",'Data Input'!A14)</f>
        <v>4</v>
      </c>
      <c r="B14" t="str">
        <f>IF(ISBLANK('Data Input'!B14),"",'Data Input'!B14)</f>
        <v>JC004</v>
      </c>
      <c r="C14" t="str">
        <f>IF(ISBLANK('Data Input'!C14),"",'Data Input'!C14)</f>
        <v>6/16/18 0835</v>
      </c>
      <c r="E14" t="str">
        <f>IF(ISBLANK('Data Input'!D14),"",'Data Input'!D14)</f>
        <v>6/17/18 0702</v>
      </c>
      <c r="G14">
        <f>IF(ISBLANK('Data Input'!E14),"",'Data Input'!E14)</f>
        <v>40</v>
      </c>
      <c r="H14" t="str">
        <f>IF(ISBLANK('Data Input'!F14),"",'Data Input'!F14)</f>
        <v>Black</v>
      </c>
      <c r="I14" t="str">
        <f>IF(ISBLANK('Data Input'!G14),"",'Data Input'!G14)</f>
        <v>SVD</v>
      </c>
      <c r="J14" t="str">
        <f>IF(ISBLANK('Data Input'!I14),"",'Data Input'!I14)</f>
        <v>6/16/18 1236</v>
      </c>
      <c r="K14" t="str">
        <f>IF(ISBLANK('Data Input'!J14),"",'Data Input'!J14)</f>
        <v>rr - Percocet</v>
      </c>
      <c r="L14" t="str">
        <f>IF(ISBLANK('Data Input'!K14),"",'Data Input'!K14)</f>
        <v>1 tab</v>
      </c>
      <c r="M14">
        <f>IF(ISBLANK('Data Input'!L14),"",'Data Input'!L14)</f>
        <v>7</v>
      </c>
      <c r="N14">
        <f>IF(ISBLANK('Data Input'!M14),"",'Data Input'!M14)</f>
        <v>0</v>
      </c>
      <c r="O14">
        <f>IF(ISBLANK('Data Input'!N14),"",'Data Input'!N14)</f>
        <v>3</v>
      </c>
      <c r="P14" t="str">
        <f>IF(ISBLANK('Data Input'!O14),"",'Data Input'!O14)</f>
        <v/>
      </c>
      <c r="Q14" t="str">
        <f>IF(ISBLANK('Data Input'!P14),"",'Data Input'!P14)</f>
        <v/>
      </c>
      <c r="R14" t="b">
        <f>IF(ISBLANK('Data Input'!Q14),"",'Data Input'!Q14)</f>
        <v>0</v>
      </c>
      <c r="T14" s="2">
        <f t="shared" si="2"/>
        <v>43267</v>
      </c>
      <c r="U14" s="12">
        <f t="shared" si="3"/>
        <v>0.3576388888888889</v>
      </c>
      <c r="V14" s="2">
        <f t="shared" si="4"/>
        <v>43268</v>
      </c>
      <c r="W14" s="12">
        <f t="shared" si="5"/>
        <v>0.29305555555555557</v>
      </c>
      <c r="X14" s="12"/>
      <c r="Y14" s="12"/>
    </row>
    <row r="15" spans="1:25">
      <c r="A15">
        <f>IF(ISBLANK('Data Input'!A15),"",'Data Input'!A15)</f>
        <v>4</v>
      </c>
      <c r="B15" t="str">
        <f>IF(ISBLANK('Data Input'!B15),"",'Data Input'!B15)</f>
        <v>JC004</v>
      </c>
      <c r="C15" t="str">
        <f>IF(ISBLANK('Data Input'!C15),"",'Data Input'!C15)</f>
        <v>6/16/18 0835</v>
      </c>
      <c r="E15" t="str">
        <f>IF(ISBLANK('Data Input'!D15),"",'Data Input'!D15)</f>
        <v>6/17/18 0702</v>
      </c>
      <c r="G15">
        <f>IF(ISBLANK('Data Input'!E15),"",'Data Input'!E15)</f>
        <v>40</v>
      </c>
      <c r="H15" t="str">
        <f>IF(ISBLANK('Data Input'!F15),"",'Data Input'!F15)</f>
        <v>Black</v>
      </c>
      <c r="I15" t="str">
        <f>IF(ISBLANK('Data Input'!G15),"",'Data Input'!G15)</f>
        <v>SVD</v>
      </c>
      <c r="J15" t="str">
        <f>IF(ISBLANK('Data Input'!I15),"",'Data Input'!I15)</f>
        <v>6/16/18 2211</v>
      </c>
      <c r="K15" t="str">
        <f>IF(ISBLANK('Data Input'!J15),"",'Data Input'!J15)</f>
        <v>bb - Ibuprofen</v>
      </c>
      <c r="L15">
        <f>IF(ISBLANK('Data Input'!K15),"",'Data Input'!K15)</f>
        <v>800</v>
      </c>
      <c r="M15">
        <f>IF(ISBLANK('Data Input'!L15),"",'Data Input'!L15)</f>
        <v>2</v>
      </c>
      <c r="N15">
        <f>IF(ISBLANK('Data Input'!M15),"",'Data Input'!M15)</f>
        <v>0</v>
      </c>
      <c r="O15">
        <f>IF(ISBLANK('Data Input'!N15),"",'Data Input'!N15)</f>
        <v>3</v>
      </c>
      <c r="P15" t="str">
        <f>IF(ISBLANK('Data Input'!O15),"",'Data Input'!O15)</f>
        <v/>
      </c>
      <c r="Q15" t="str">
        <f>IF(ISBLANK('Data Input'!P15),"",'Data Input'!P15)</f>
        <v/>
      </c>
      <c r="R15" t="b">
        <f>IF(ISBLANK('Data Input'!Q15),"",'Data Input'!Q15)</f>
        <v>0</v>
      </c>
      <c r="T15" s="2">
        <f t="shared" si="2"/>
        <v>43267</v>
      </c>
      <c r="U15" s="12">
        <f t="shared" si="3"/>
        <v>0.3576388888888889</v>
      </c>
      <c r="V15" s="2">
        <f t="shared" si="4"/>
        <v>43268</v>
      </c>
      <c r="W15" s="12">
        <f t="shared" si="5"/>
        <v>0.29305555555555557</v>
      </c>
      <c r="X15" s="12"/>
      <c r="Y15" s="12"/>
    </row>
    <row r="16" spans="1:25">
      <c r="A16">
        <f>IF(ISBLANK('Data Input'!A16),"",'Data Input'!A16)</f>
        <v>4</v>
      </c>
      <c r="B16" t="str">
        <f>IF(ISBLANK('Data Input'!B16),"",'Data Input'!B16)</f>
        <v>JC004</v>
      </c>
      <c r="C16" t="str">
        <f>IF(ISBLANK('Data Input'!C16),"",'Data Input'!C16)</f>
        <v>6/16/18 0835</v>
      </c>
      <c r="E16" t="str">
        <f>IF(ISBLANK('Data Input'!D16),"",'Data Input'!D16)</f>
        <v>6/17/18 0702</v>
      </c>
      <c r="G16">
        <f>IF(ISBLANK('Data Input'!E16),"",'Data Input'!E16)</f>
        <v>40</v>
      </c>
      <c r="H16" t="str">
        <f>IF(ISBLANK('Data Input'!F16),"",'Data Input'!F16)</f>
        <v>Black</v>
      </c>
      <c r="I16" t="str">
        <f>IF(ISBLANK('Data Input'!G16),"",'Data Input'!G16)</f>
        <v>SVD</v>
      </c>
      <c r="J16" t="str">
        <f>IF(ISBLANK('Data Input'!I16),"",'Data Input'!I16)</f>
        <v>6/16/18 2211</v>
      </c>
      <c r="K16" t="str">
        <f>IF(ISBLANK('Data Input'!J16),"",'Data Input'!J16)</f>
        <v>rr - Percocet</v>
      </c>
      <c r="L16" t="str">
        <f>IF(ISBLANK('Data Input'!K16),"",'Data Input'!K16)</f>
        <v>1 tab</v>
      </c>
      <c r="M16">
        <f>IF(ISBLANK('Data Input'!L16),"",'Data Input'!L16)</f>
        <v>2</v>
      </c>
      <c r="N16">
        <f>IF(ISBLANK('Data Input'!M16),"",'Data Input'!M16)</f>
        <v>0</v>
      </c>
      <c r="O16">
        <f>IF(ISBLANK('Data Input'!N16),"",'Data Input'!N16)</f>
        <v>3</v>
      </c>
      <c r="P16" t="str">
        <f>IF(ISBLANK('Data Input'!O16),"",'Data Input'!O16)</f>
        <v/>
      </c>
      <c r="Q16" t="str">
        <f>IF(ISBLANK('Data Input'!P16),"",'Data Input'!P16)</f>
        <v/>
      </c>
      <c r="R16" t="b">
        <f>IF(ISBLANK('Data Input'!Q16),"",'Data Input'!Q16)</f>
        <v>0</v>
      </c>
      <c r="T16" s="2">
        <f t="shared" si="2"/>
        <v>43267</v>
      </c>
      <c r="U16" s="12">
        <f t="shared" si="3"/>
        <v>0.3576388888888889</v>
      </c>
      <c r="V16" s="2">
        <f t="shared" si="4"/>
        <v>43268</v>
      </c>
      <c r="W16" s="12">
        <f t="shared" si="5"/>
        <v>0.29305555555555557</v>
      </c>
      <c r="X16" s="12"/>
      <c r="Y16" s="12"/>
    </row>
    <row r="17" spans="1:25">
      <c r="A17">
        <f>IF(ISBLANK('Data Input'!A17),"",'Data Input'!A17)</f>
        <v>4</v>
      </c>
      <c r="B17" t="str">
        <f>IF(ISBLANK('Data Input'!B17),"",'Data Input'!B17)</f>
        <v>JC004</v>
      </c>
      <c r="C17" t="str">
        <f>IF(ISBLANK('Data Input'!C17),"",'Data Input'!C17)</f>
        <v>6/16/18 0835</v>
      </c>
      <c r="E17" t="str">
        <f>IF(ISBLANK('Data Input'!D17),"",'Data Input'!D17)</f>
        <v>6/17/18 0702</v>
      </c>
      <c r="G17">
        <f>IF(ISBLANK('Data Input'!E17),"",'Data Input'!E17)</f>
        <v>40</v>
      </c>
      <c r="H17" t="str">
        <f>IF(ISBLANK('Data Input'!F17),"",'Data Input'!F17)</f>
        <v>Black</v>
      </c>
      <c r="I17" t="str">
        <f>IF(ISBLANK('Data Input'!G17),"",'Data Input'!G17)</f>
        <v>SVD</v>
      </c>
      <c r="J17" t="str">
        <f>IF(ISBLANK('Data Input'!I17),"",'Data Input'!I17)</f>
        <v>6/17/18 0702</v>
      </c>
      <c r="K17" t="str">
        <f>IF(ISBLANK('Data Input'!J17),"",'Data Input'!J17)</f>
        <v>bb - Ibuprofen</v>
      </c>
      <c r="L17">
        <f>IF(ISBLANK('Data Input'!K17),"",'Data Input'!K17)</f>
        <v>800</v>
      </c>
      <c r="M17">
        <f>IF(ISBLANK('Data Input'!L17),"",'Data Input'!L17)</f>
        <v>3</v>
      </c>
      <c r="N17">
        <f>IF(ISBLANK('Data Input'!M17),"",'Data Input'!M17)</f>
        <v>0</v>
      </c>
      <c r="O17">
        <f>IF(ISBLANK('Data Input'!N17),"",'Data Input'!N17)</f>
        <v>3</v>
      </c>
      <c r="P17" t="str">
        <f>IF(ISBLANK('Data Input'!O17),"",'Data Input'!O17)</f>
        <v/>
      </c>
      <c r="Q17" t="str">
        <f>IF(ISBLANK('Data Input'!P17),"",'Data Input'!P17)</f>
        <v/>
      </c>
      <c r="R17" t="b">
        <f>IF(ISBLANK('Data Input'!Q17),"",'Data Input'!Q17)</f>
        <v>0</v>
      </c>
      <c r="T17" s="2">
        <f t="shared" si="2"/>
        <v>43267</v>
      </c>
      <c r="U17" s="12">
        <f t="shared" si="3"/>
        <v>0.3576388888888889</v>
      </c>
      <c r="V17" s="2">
        <f t="shared" si="4"/>
        <v>43268</v>
      </c>
      <c r="W17" s="12">
        <f t="shared" si="5"/>
        <v>0.29305555555555557</v>
      </c>
      <c r="X17" s="12"/>
      <c r="Y17" s="12"/>
    </row>
    <row r="18" spans="1:25">
      <c r="A18">
        <f>IF(ISBLANK('Data Input'!A18),"",'Data Input'!A18)</f>
        <v>4</v>
      </c>
      <c r="B18" t="str">
        <f>IF(ISBLANK('Data Input'!B18),"",'Data Input'!B18)</f>
        <v>JC004</v>
      </c>
      <c r="C18" t="str">
        <f>IF(ISBLANK('Data Input'!C18),"",'Data Input'!C18)</f>
        <v>6/16/18 0835</v>
      </c>
      <c r="E18" t="str">
        <f>IF(ISBLANK('Data Input'!D18),"",'Data Input'!D18)</f>
        <v>6/17/18 0702</v>
      </c>
      <c r="G18">
        <f>IF(ISBLANK('Data Input'!E18),"",'Data Input'!E18)</f>
        <v>40</v>
      </c>
      <c r="H18" t="str">
        <f>IF(ISBLANK('Data Input'!F18),"",'Data Input'!F18)</f>
        <v>Black</v>
      </c>
      <c r="I18" t="str">
        <f>IF(ISBLANK('Data Input'!G18),"",'Data Input'!G18)</f>
        <v>SVD</v>
      </c>
      <c r="J18" t="str">
        <f>IF(ISBLANK('Data Input'!I18),"",'Data Input'!I18)</f>
        <v>6/17/18 0702</v>
      </c>
      <c r="K18" t="str">
        <f>IF(ISBLANK('Data Input'!J18),"",'Data Input'!J18)</f>
        <v>rr - Percocet</v>
      </c>
      <c r="L18" t="str">
        <f>IF(ISBLANK('Data Input'!K18),"",'Data Input'!K18)</f>
        <v>1 tab</v>
      </c>
      <c r="M18">
        <f>IF(ISBLANK('Data Input'!L18),"",'Data Input'!L18)</f>
        <v>3</v>
      </c>
      <c r="N18">
        <f>IF(ISBLANK('Data Input'!M18),"",'Data Input'!M18)</f>
        <v>0</v>
      </c>
      <c r="O18">
        <f>IF(ISBLANK('Data Input'!N18),"",'Data Input'!N18)</f>
        <v>3</v>
      </c>
      <c r="P18" t="str">
        <f>IF(ISBLANK('Data Input'!O18),"",'Data Input'!O18)</f>
        <v/>
      </c>
      <c r="Q18" t="str">
        <f>IF(ISBLANK('Data Input'!P18),"",'Data Input'!P18)</f>
        <v/>
      </c>
      <c r="R18" t="b">
        <f>IF(ISBLANK('Data Input'!Q18),"",'Data Input'!Q18)</f>
        <v>0</v>
      </c>
      <c r="T18" s="2">
        <f t="shared" si="2"/>
        <v>43267</v>
      </c>
      <c r="U18" s="12">
        <f t="shared" si="3"/>
        <v>0.3576388888888889</v>
      </c>
      <c r="V18" s="2">
        <f t="shared" si="4"/>
        <v>43268</v>
      </c>
      <c r="W18" s="12">
        <f t="shared" si="5"/>
        <v>0.29305555555555557</v>
      </c>
      <c r="X18" s="12"/>
      <c r="Y18" s="12"/>
    </row>
    <row r="19" spans="1:25">
      <c r="A19">
        <f>IF(ISBLANK('Data Input'!A19),"",'Data Input'!A19)</f>
        <v>5</v>
      </c>
      <c r="B19" t="str">
        <f>IF(ISBLANK('Data Input'!B19),"",'Data Input'!B19)</f>
        <v>G5005</v>
      </c>
      <c r="C19" t="str">
        <f>IF(ISBLANK('Data Input'!C19),"",'Data Input'!C19)</f>
        <v>6/15/18 1030</v>
      </c>
      <c r="E19" t="str">
        <f>IF(ISBLANK('Data Input'!D19),"",'Data Input'!D19)</f>
        <v>6/16/18 0805</v>
      </c>
      <c r="G19">
        <f>IF(ISBLANK('Data Input'!E19),"",'Data Input'!E19)</f>
        <v>29</v>
      </c>
      <c r="H19" t="str">
        <f>IF(ISBLANK('Data Input'!F19),"",'Data Input'!F19)</f>
        <v>Black</v>
      </c>
      <c r="I19" t="str">
        <f>IF(ISBLANK('Data Input'!G19),"",'Data Input'!G19)</f>
        <v>Caesarean</v>
      </c>
      <c r="J19" t="str">
        <f>IF(ISBLANK('Data Input'!I19),"",'Data Input'!I19)</f>
        <v>6/15/18 1521</v>
      </c>
      <c r="K19" t="str">
        <f>IF(ISBLANK('Data Input'!J19),"",'Data Input'!J19)</f>
        <v>tr - Toradol</v>
      </c>
      <c r="L19">
        <f>IF(ISBLANK('Data Input'!K19),"",'Data Input'!K19)</f>
        <v>30</v>
      </c>
      <c r="M19">
        <f>IF(ISBLANK('Data Input'!L19),"",'Data Input'!L19)</f>
        <v>2</v>
      </c>
      <c r="N19">
        <f>IF(ISBLANK('Data Input'!M19),"",'Data Input'!M19)</f>
        <v>0</v>
      </c>
      <c r="O19">
        <f>IF(ISBLANK('Data Input'!N19),"",'Data Input'!N19)</f>
        <v>3</v>
      </c>
      <c r="P19" t="str">
        <f>IF(ISBLANK('Data Input'!O19),"",'Data Input'!O19)</f>
        <v/>
      </c>
      <c r="Q19" t="str">
        <f>IF(ISBLANK('Data Input'!P19),"",'Data Input'!P19)</f>
        <v/>
      </c>
      <c r="R19" t="b">
        <f>IF(ISBLANK('Data Input'!Q19),"",'Data Input'!Q19)</f>
        <v>1</v>
      </c>
      <c r="T19" s="2">
        <f t="shared" si="2"/>
        <v>43266</v>
      </c>
      <c r="U19" s="12">
        <f t="shared" si="3"/>
        <v>0.4375</v>
      </c>
      <c r="V19" s="2">
        <f t="shared" si="4"/>
        <v>43267</v>
      </c>
      <c r="W19" s="12">
        <f t="shared" si="5"/>
        <v>0.33680555555555558</v>
      </c>
      <c r="X19" s="12"/>
      <c r="Y19" s="12"/>
    </row>
    <row r="20" spans="1:25">
      <c r="A20">
        <f>IF(ISBLANK('Data Input'!A20),"",'Data Input'!A20)</f>
        <v>5</v>
      </c>
      <c r="B20" t="str">
        <f>IF(ISBLANK('Data Input'!B20),"",'Data Input'!B20)</f>
        <v>G5005</v>
      </c>
      <c r="C20" t="str">
        <f>IF(ISBLANK('Data Input'!C20),"",'Data Input'!C20)</f>
        <v>6/15/18 1030</v>
      </c>
      <c r="E20" t="str">
        <f>IF(ISBLANK('Data Input'!D20),"",'Data Input'!D20)</f>
        <v>6/16/18 0805</v>
      </c>
      <c r="G20">
        <f>IF(ISBLANK('Data Input'!E20),"",'Data Input'!E20)</f>
        <v>29</v>
      </c>
      <c r="H20" t="str">
        <f>IF(ISBLANK('Data Input'!F20),"",'Data Input'!F20)</f>
        <v>Black</v>
      </c>
      <c r="I20" t="str">
        <f>IF(ISBLANK('Data Input'!G20),"",'Data Input'!G20)</f>
        <v>Caesarean</v>
      </c>
      <c r="J20" t="str">
        <f>IF(ISBLANK('Data Input'!I20),"",'Data Input'!I20)</f>
        <v>6/15/18 2051</v>
      </c>
      <c r="K20" t="str">
        <f>IF(ISBLANK('Data Input'!J20),"",'Data Input'!J20)</f>
        <v>tr - Toradol</v>
      </c>
      <c r="L20">
        <f>IF(ISBLANK('Data Input'!K20),"",'Data Input'!K20)</f>
        <v>30</v>
      </c>
      <c r="M20">
        <f>IF(ISBLANK('Data Input'!L20),"",'Data Input'!L20)</f>
        <v>5</v>
      </c>
      <c r="N20">
        <f>IF(ISBLANK('Data Input'!M20),"",'Data Input'!M20)</f>
        <v>3</v>
      </c>
      <c r="O20">
        <f>IF(ISBLANK('Data Input'!N20),"",'Data Input'!N20)</f>
        <v>3</v>
      </c>
      <c r="P20" t="str">
        <f>IF(ISBLANK('Data Input'!O20),"",'Data Input'!O20)</f>
        <v/>
      </c>
      <c r="Q20" t="str">
        <f>IF(ISBLANK('Data Input'!P20),"",'Data Input'!P20)</f>
        <v/>
      </c>
      <c r="R20" t="b">
        <f>IF(ISBLANK('Data Input'!Q20),"",'Data Input'!Q20)</f>
        <v>1</v>
      </c>
      <c r="T20" s="2">
        <f t="shared" si="2"/>
        <v>43266</v>
      </c>
      <c r="U20" s="12">
        <f t="shared" si="3"/>
        <v>0.4375</v>
      </c>
      <c r="V20" s="2">
        <f t="shared" si="4"/>
        <v>43267</v>
      </c>
      <c r="W20" s="12">
        <f t="shared" si="5"/>
        <v>0.33680555555555558</v>
      </c>
      <c r="X20" s="12"/>
      <c r="Y20" s="12"/>
    </row>
    <row r="21" spans="1:25">
      <c r="A21">
        <f>IF(ISBLANK('Data Input'!A21),"",'Data Input'!A21)</f>
        <v>5</v>
      </c>
      <c r="B21" t="str">
        <f>IF(ISBLANK('Data Input'!B21),"",'Data Input'!B21)</f>
        <v>G5005</v>
      </c>
      <c r="C21" t="str">
        <f>IF(ISBLANK('Data Input'!C21),"",'Data Input'!C21)</f>
        <v>6/15/18 1030</v>
      </c>
      <c r="E21" t="str">
        <f>IF(ISBLANK('Data Input'!D21),"",'Data Input'!D21)</f>
        <v>6/16/18 0805</v>
      </c>
      <c r="G21">
        <f>IF(ISBLANK('Data Input'!E21),"",'Data Input'!E21)</f>
        <v>29</v>
      </c>
      <c r="H21" t="str">
        <f>IF(ISBLANK('Data Input'!F21),"",'Data Input'!F21)</f>
        <v>Black</v>
      </c>
      <c r="I21" t="str">
        <f>IF(ISBLANK('Data Input'!G21),"",'Data Input'!G21)</f>
        <v>Caesarean</v>
      </c>
      <c r="J21" t="str">
        <f>IF(ISBLANK('Data Input'!I21),"",'Data Input'!I21)</f>
        <v>6/16/18 0132</v>
      </c>
      <c r="K21" t="str">
        <f>IF(ISBLANK('Data Input'!J21),"",'Data Input'!J21)</f>
        <v>rr - Percocet</v>
      </c>
      <c r="L21" t="str">
        <f>IF(ISBLANK('Data Input'!K21),"",'Data Input'!K21)</f>
        <v>1 tab</v>
      </c>
      <c r="M21">
        <f>IF(ISBLANK('Data Input'!L21),"",'Data Input'!L21)</f>
        <v>6</v>
      </c>
      <c r="N21">
        <f>IF(ISBLANK('Data Input'!M21),"",'Data Input'!M21)</f>
        <v>5</v>
      </c>
      <c r="O21">
        <f>IF(ISBLANK('Data Input'!N21),"",'Data Input'!N21)</f>
        <v>3</v>
      </c>
      <c r="P21" t="str">
        <f>IF(ISBLANK('Data Input'!O21),"",'Data Input'!O21)</f>
        <v/>
      </c>
      <c r="Q21" t="str">
        <f>IF(ISBLANK('Data Input'!P21),"",'Data Input'!P21)</f>
        <v/>
      </c>
      <c r="R21" t="b">
        <f>IF(ISBLANK('Data Input'!Q21),"",'Data Input'!Q21)</f>
        <v>1</v>
      </c>
      <c r="T21" s="2">
        <f t="shared" si="2"/>
        <v>43266</v>
      </c>
      <c r="U21" s="12">
        <f t="shared" si="3"/>
        <v>0.4375</v>
      </c>
      <c r="V21" s="2">
        <f t="shared" si="4"/>
        <v>43267</v>
      </c>
      <c r="W21" s="12">
        <f t="shared" si="5"/>
        <v>0.33680555555555558</v>
      </c>
      <c r="X21" s="12"/>
      <c r="Y21" s="12"/>
    </row>
    <row r="22" spans="1:25">
      <c r="A22">
        <f>IF(ISBLANK('Data Input'!A22),"",'Data Input'!A22)</f>
        <v>5</v>
      </c>
      <c r="B22" t="str">
        <f>IF(ISBLANK('Data Input'!B22),"",'Data Input'!B22)</f>
        <v>G5005</v>
      </c>
      <c r="C22" t="str">
        <f>IF(ISBLANK('Data Input'!C22),"",'Data Input'!C22)</f>
        <v>6/15/18 1030</v>
      </c>
      <c r="E22" t="str">
        <f>IF(ISBLANK('Data Input'!D22),"",'Data Input'!D22)</f>
        <v>6/16/18 0805</v>
      </c>
      <c r="G22">
        <f>IF(ISBLANK('Data Input'!E22),"",'Data Input'!E22)</f>
        <v>29</v>
      </c>
      <c r="H22" t="str">
        <f>IF(ISBLANK('Data Input'!F22),"",'Data Input'!F22)</f>
        <v>Black</v>
      </c>
      <c r="I22" t="str">
        <f>IF(ISBLANK('Data Input'!G22),"",'Data Input'!G22)</f>
        <v>Caesarean</v>
      </c>
      <c r="J22" t="str">
        <f>IF(ISBLANK('Data Input'!I22),"",'Data Input'!I22)</f>
        <v>6/16/18 0455</v>
      </c>
      <c r="K22" t="str">
        <f>IF(ISBLANK('Data Input'!J22),"",'Data Input'!J22)</f>
        <v>tr - Toradol</v>
      </c>
      <c r="L22">
        <f>IF(ISBLANK('Data Input'!K22),"",'Data Input'!K22)</f>
        <v>30</v>
      </c>
      <c r="M22">
        <f>IF(ISBLANK('Data Input'!L22),"",'Data Input'!L22)</f>
        <v>6</v>
      </c>
      <c r="N22">
        <f>IF(ISBLANK('Data Input'!M22),"",'Data Input'!M22)</f>
        <v>0</v>
      </c>
      <c r="O22">
        <f>IF(ISBLANK('Data Input'!N22),"",'Data Input'!N22)</f>
        <v>3</v>
      </c>
      <c r="P22" t="str">
        <f>IF(ISBLANK('Data Input'!O22),"",'Data Input'!O22)</f>
        <v/>
      </c>
      <c r="Q22" t="str">
        <f>IF(ISBLANK('Data Input'!P22),"",'Data Input'!P22)</f>
        <v/>
      </c>
      <c r="R22" t="b">
        <f>IF(ISBLANK('Data Input'!Q22),"",'Data Input'!Q22)</f>
        <v>1</v>
      </c>
      <c r="T22" s="2">
        <f t="shared" si="2"/>
        <v>43266</v>
      </c>
      <c r="U22" s="12">
        <f t="shared" si="3"/>
        <v>0.4375</v>
      </c>
      <c r="V22" s="2">
        <f t="shared" si="4"/>
        <v>43267</v>
      </c>
      <c r="W22" s="12">
        <f t="shared" si="5"/>
        <v>0.33680555555555558</v>
      </c>
      <c r="X22" s="12"/>
      <c r="Y22" s="12"/>
    </row>
    <row r="23" spans="1:25">
      <c r="A23">
        <f>IF(ISBLANK('Data Input'!A23),"",'Data Input'!A23)</f>
        <v>5</v>
      </c>
      <c r="B23" t="str">
        <f>IF(ISBLANK('Data Input'!B23),"",'Data Input'!B23)</f>
        <v>G5005</v>
      </c>
      <c r="C23" t="str">
        <f>IF(ISBLANK('Data Input'!C23),"",'Data Input'!C23)</f>
        <v>6/15/18 1030</v>
      </c>
      <c r="E23" t="str">
        <f>IF(ISBLANK('Data Input'!D23),"",'Data Input'!D23)</f>
        <v>6/16/18 0805</v>
      </c>
      <c r="G23">
        <f>IF(ISBLANK('Data Input'!E23),"",'Data Input'!E23)</f>
        <v>29</v>
      </c>
      <c r="H23" t="str">
        <f>IF(ISBLANK('Data Input'!F23),"",'Data Input'!F23)</f>
        <v>Black</v>
      </c>
      <c r="I23" t="str">
        <f>IF(ISBLANK('Data Input'!G23),"",'Data Input'!G23)</f>
        <v>Caesarean</v>
      </c>
      <c r="J23" t="str">
        <f>IF(ISBLANK('Data Input'!I23),"",'Data Input'!I23)</f>
        <v>6/16/18 0805</v>
      </c>
      <c r="K23" t="str">
        <f>IF(ISBLANK('Data Input'!J23),"",'Data Input'!J23)</f>
        <v>rr - Percocet</v>
      </c>
      <c r="L23" t="str">
        <f>IF(ISBLANK('Data Input'!K23),"",'Data Input'!K23)</f>
        <v>2 tabs</v>
      </c>
      <c r="M23">
        <f>IF(ISBLANK('Data Input'!L23),"",'Data Input'!L23)</f>
        <v>6</v>
      </c>
      <c r="N23">
        <f>IF(ISBLANK('Data Input'!M23),"",'Data Input'!M23)</f>
        <v>0</v>
      </c>
      <c r="O23">
        <f>IF(ISBLANK('Data Input'!N23),"",'Data Input'!N23)</f>
        <v>3</v>
      </c>
      <c r="P23" t="str">
        <f>IF(ISBLANK('Data Input'!O23),"",'Data Input'!O23)</f>
        <v/>
      </c>
      <c r="Q23" t="str">
        <f>IF(ISBLANK('Data Input'!P23),"",'Data Input'!P23)</f>
        <v/>
      </c>
      <c r="R23" t="b">
        <f>IF(ISBLANK('Data Input'!Q23),"",'Data Input'!Q23)</f>
        <v>1</v>
      </c>
      <c r="T23" s="2">
        <f t="shared" si="2"/>
        <v>43266</v>
      </c>
      <c r="U23" s="12">
        <f t="shared" si="3"/>
        <v>0.4375</v>
      </c>
      <c r="V23" s="2">
        <f t="shared" si="4"/>
        <v>43267</v>
      </c>
      <c r="W23" s="12">
        <f t="shared" si="5"/>
        <v>0.33680555555555558</v>
      </c>
      <c r="X23" s="12"/>
      <c r="Y23" s="12"/>
    </row>
    <row r="24" spans="1:25">
      <c r="A24">
        <f>IF(ISBLANK('Data Input'!A24),"",'Data Input'!A24)</f>
        <v>6</v>
      </c>
      <c r="B24" t="str">
        <f>IF(ISBLANK('Data Input'!B24),"",'Data Input'!B24)</f>
        <v>KK006</v>
      </c>
      <c r="C24" t="str">
        <f>IF(ISBLANK('Data Input'!C24),"",'Data Input'!C24)</f>
        <v>6/16/18 0315</v>
      </c>
      <c r="E24" t="str">
        <f>IF(ISBLANK('Data Input'!D24),"",'Data Input'!D24)</f>
        <v>6/17/18 0313</v>
      </c>
      <c r="G24">
        <f>IF(ISBLANK('Data Input'!E24),"",'Data Input'!E24)</f>
        <v>39</v>
      </c>
      <c r="H24" t="str">
        <f>IF(ISBLANK('Data Input'!F24),"",'Data Input'!F24)</f>
        <v>White</v>
      </c>
      <c r="I24" t="str">
        <f>IF(ISBLANK('Data Input'!G24),"",'Data Input'!G24)</f>
        <v>SVD</v>
      </c>
      <c r="J24" t="str">
        <f>IF(ISBLANK('Data Input'!I24),"",'Data Input'!I24)</f>
        <v>6/16/18 1011</v>
      </c>
      <c r="K24" t="str">
        <f>IF(ISBLANK('Data Input'!J24),"",'Data Input'!J24)</f>
        <v>bb - Ibuprofen</v>
      </c>
      <c r="L24">
        <f>IF(ISBLANK('Data Input'!K24),"",'Data Input'!K24)</f>
        <v>800</v>
      </c>
      <c r="M24">
        <f>IF(ISBLANK('Data Input'!L24),"",'Data Input'!L24)</f>
        <v>4</v>
      </c>
      <c r="N24">
        <f>IF(ISBLANK('Data Input'!M24),"",'Data Input'!M24)</f>
        <v>2</v>
      </c>
      <c r="O24">
        <f>IF(ISBLANK('Data Input'!N24),"",'Data Input'!N24)</f>
        <v>3</v>
      </c>
      <c r="P24" t="str">
        <f>IF(ISBLANK('Data Input'!O24),"",'Data Input'!O24)</f>
        <v/>
      </c>
      <c r="Q24" t="str">
        <f>IF(ISBLANK('Data Input'!P24),"",'Data Input'!P24)</f>
        <v/>
      </c>
      <c r="R24" t="b">
        <f>IF(ISBLANK('Data Input'!Q24),"",'Data Input'!Q24)</f>
        <v>0</v>
      </c>
      <c r="T24" s="2">
        <f t="shared" si="2"/>
        <v>43267</v>
      </c>
      <c r="U24" s="12">
        <f t="shared" si="3"/>
        <v>0.13541666666666666</v>
      </c>
      <c r="V24" s="2">
        <f t="shared" si="4"/>
        <v>43268</v>
      </c>
      <c r="W24" s="12">
        <f t="shared" si="5"/>
        <v>0.13402777777777777</v>
      </c>
      <c r="X24" s="12"/>
      <c r="Y24" s="12"/>
    </row>
    <row r="25" spans="1:25">
      <c r="A25">
        <f>IF(ISBLANK('Data Input'!A25),"",'Data Input'!A25)</f>
        <v>6</v>
      </c>
      <c r="B25" t="str">
        <f>IF(ISBLANK('Data Input'!B25),"",'Data Input'!B25)</f>
        <v>KK006</v>
      </c>
      <c r="C25" t="str">
        <f>IF(ISBLANK('Data Input'!C25),"",'Data Input'!C25)</f>
        <v>6/16/18 0315</v>
      </c>
      <c r="E25" t="str">
        <f>IF(ISBLANK('Data Input'!D25),"",'Data Input'!D25)</f>
        <v>6/17/18 0313</v>
      </c>
      <c r="G25">
        <f>IF(ISBLANK('Data Input'!E25),"",'Data Input'!E25)</f>
        <v>39</v>
      </c>
      <c r="H25" t="str">
        <f>IF(ISBLANK('Data Input'!F25),"",'Data Input'!F25)</f>
        <v>White</v>
      </c>
      <c r="I25" t="str">
        <f>IF(ISBLANK('Data Input'!G25),"",'Data Input'!G25)</f>
        <v>SVD</v>
      </c>
      <c r="J25" t="str">
        <f>IF(ISBLANK('Data Input'!I25),"",'Data Input'!I25)</f>
        <v>6/16/18 2021</v>
      </c>
      <c r="K25" t="str">
        <f>IF(ISBLANK('Data Input'!J25),"",'Data Input'!J25)</f>
        <v>bb - Ibuprofen</v>
      </c>
      <c r="L25">
        <f>IF(ISBLANK('Data Input'!K25),"",'Data Input'!K25)</f>
        <v>800</v>
      </c>
      <c r="M25">
        <f>IF(ISBLANK('Data Input'!L25),"",'Data Input'!L25)</f>
        <v>4</v>
      </c>
      <c r="N25" t="str">
        <f>IF(ISBLANK('Data Input'!M25),"",'Data Input'!M25)</f>
        <v>No F/u</v>
      </c>
      <c r="O25">
        <f>IF(ISBLANK('Data Input'!N25),"",'Data Input'!N25)</f>
        <v>3</v>
      </c>
      <c r="P25" t="str">
        <f>IF(ISBLANK('Data Input'!O25),"",'Data Input'!O25)</f>
        <v/>
      </c>
      <c r="Q25" t="str">
        <f>IF(ISBLANK('Data Input'!P25),"",'Data Input'!P25)</f>
        <v/>
      </c>
      <c r="R25" t="b">
        <f>IF(ISBLANK('Data Input'!Q25),"",'Data Input'!Q25)</f>
        <v>0</v>
      </c>
      <c r="T25" s="2">
        <f t="shared" si="2"/>
        <v>43267</v>
      </c>
      <c r="U25" s="12">
        <f t="shared" si="3"/>
        <v>0.13541666666666666</v>
      </c>
      <c r="V25" s="2">
        <f t="shared" si="4"/>
        <v>43268</v>
      </c>
      <c r="W25" s="12">
        <f t="shared" si="5"/>
        <v>0.13402777777777777</v>
      </c>
      <c r="X25" s="12"/>
      <c r="Y25" s="12"/>
    </row>
    <row r="26" spans="1:25">
      <c r="A26">
        <f>IF(ISBLANK('Data Input'!A26),"",'Data Input'!A26)</f>
        <v>6</v>
      </c>
      <c r="B26" t="str">
        <f>IF(ISBLANK('Data Input'!B26),"",'Data Input'!B26)</f>
        <v>KK006</v>
      </c>
      <c r="C26" t="str">
        <f>IF(ISBLANK('Data Input'!C26),"",'Data Input'!C26)</f>
        <v>6/16/18 0315</v>
      </c>
      <c r="E26" t="str">
        <f>IF(ISBLANK('Data Input'!D26),"",'Data Input'!D26)</f>
        <v>6/17/18 0313</v>
      </c>
      <c r="G26">
        <f>IF(ISBLANK('Data Input'!E26),"",'Data Input'!E26)</f>
        <v>39</v>
      </c>
      <c r="H26" t="str">
        <f>IF(ISBLANK('Data Input'!F26),"",'Data Input'!F26)</f>
        <v>White</v>
      </c>
      <c r="I26" t="str">
        <f>IF(ISBLANK('Data Input'!G26),"",'Data Input'!G26)</f>
        <v>SVD</v>
      </c>
      <c r="J26" t="str">
        <f>IF(ISBLANK('Data Input'!I26),"",'Data Input'!I26)</f>
        <v>6/17/18 0313</v>
      </c>
      <c r="K26" t="str">
        <f>IF(ISBLANK('Data Input'!J26),"",'Data Input'!J26)</f>
        <v>bb - Ibuprofen</v>
      </c>
      <c r="L26">
        <f>IF(ISBLANK('Data Input'!K26),"",'Data Input'!K26)</f>
        <v>800</v>
      </c>
      <c r="M26">
        <f>IF(ISBLANK('Data Input'!L26),"",'Data Input'!L26)</f>
        <v>4</v>
      </c>
      <c r="N26" t="str">
        <f>IF(ISBLANK('Data Input'!M26),"",'Data Input'!M26)</f>
        <v>No F/u</v>
      </c>
      <c r="O26">
        <f>IF(ISBLANK('Data Input'!N26),"",'Data Input'!N26)</f>
        <v>3</v>
      </c>
      <c r="P26" t="str">
        <f>IF(ISBLANK('Data Input'!O26),"",'Data Input'!O26)</f>
        <v/>
      </c>
      <c r="Q26" t="str">
        <f>IF(ISBLANK('Data Input'!P26),"",'Data Input'!P26)</f>
        <v/>
      </c>
      <c r="R26" t="b">
        <f>IF(ISBLANK('Data Input'!Q26),"",'Data Input'!Q26)</f>
        <v>0</v>
      </c>
      <c r="T26" s="2">
        <f t="shared" si="2"/>
        <v>43267</v>
      </c>
      <c r="U26" s="12">
        <f t="shared" si="3"/>
        <v>0.13541666666666666</v>
      </c>
      <c r="V26" s="2">
        <f t="shared" si="4"/>
        <v>43268</v>
      </c>
      <c r="W26" s="12">
        <f t="shared" si="5"/>
        <v>0.13402777777777777</v>
      </c>
      <c r="X26" s="12"/>
      <c r="Y26" s="12"/>
    </row>
    <row r="27" spans="1:25">
      <c r="A27">
        <f>IF(ISBLANK('Data Input'!A27),"",'Data Input'!A27)</f>
        <v>7</v>
      </c>
      <c r="B27" t="str">
        <f>IF(ISBLANK('Data Input'!B27),"",'Data Input'!B27)</f>
        <v>JM007</v>
      </c>
      <c r="C27" t="str">
        <f>IF(ISBLANK('Data Input'!C27),"",'Data Input'!C27)</f>
        <v>6/16/18 0802</v>
      </c>
      <c r="E27" t="str">
        <f>IF(ISBLANK('Data Input'!D27),"",'Data Input'!D27)</f>
        <v>6/17/18 0555</v>
      </c>
      <c r="G27">
        <f>IF(ISBLANK('Data Input'!E27),"",'Data Input'!E27)</f>
        <v>40</v>
      </c>
      <c r="H27" t="str">
        <f>IF(ISBLANK('Data Input'!F27),"",'Data Input'!F27)</f>
        <v>White</v>
      </c>
      <c r="I27" t="str">
        <f>IF(ISBLANK('Data Input'!G27),"",'Data Input'!G27)</f>
        <v>SVD</v>
      </c>
      <c r="J27" t="str">
        <f>IF(ISBLANK('Data Input'!I27),"",'Data Input'!I27)</f>
        <v>6/16/18 0827</v>
      </c>
      <c r="K27" t="str">
        <f>IF(ISBLANK('Data Input'!J27),"",'Data Input'!J27)</f>
        <v>bb - Ibuprofen</v>
      </c>
      <c r="L27">
        <f>IF(ISBLANK('Data Input'!K27),"",'Data Input'!K27)</f>
        <v>800</v>
      </c>
      <c r="M27">
        <f>IF(ISBLANK('Data Input'!L27),"",'Data Input'!L27)</f>
        <v>5</v>
      </c>
      <c r="N27">
        <f>IF(ISBLANK('Data Input'!M27),"",'Data Input'!M27)</f>
        <v>4</v>
      </c>
      <c r="O27" t="str">
        <f>IF(ISBLANK('Data Input'!N27),"",'Data Input'!N27)</f>
        <v>1 or 2</v>
      </c>
      <c r="P27" t="str">
        <f>IF(ISBLANK('Data Input'!O27),"",'Data Input'!O27)</f>
        <v/>
      </c>
      <c r="Q27" t="str">
        <f>IF(ISBLANK('Data Input'!P27),"",'Data Input'!P27)</f>
        <v/>
      </c>
      <c r="R27" t="b">
        <f>IF(ISBLANK('Data Input'!Q27),"",'Data Input'!Q27)</f>
        <v>1</v>
      </c>
      <c r="T27" s="2">
        <f t="shared" si="2"/>
        <v>43267</v>
      </c>
      <c r="U27" s="12">
        <f t="shared" si="3"/>
        <v>0.3347222222222222</v>
      </c>
      <c r="V27" s="2">
        <f t="shared" si="4"/>
        <v>43268</v>
      </c>
      <c r="W27" s="12">
        <f t="shared" si="5"/>
        <v>0.24652777777777779</v>
      </c>
      <c r="X27" s="12"/>
      <c r="Y27" s="12"/>
    </row>
    <row r="28" spans="1:25">
      <c r="A28">
        <f>IF(ISBLANK('Data Input'!A28),"",'Data Input'!A28)</f>
        <v>7</v>
      </c>
      <c r="B28" t="str">
        <f>IF(ISBLANK('Data Input'!B28),"",'Data Input'!B28)</f>
        <v>JM007</v>
      </c>
      <c r="C28" t="str">
        <f>IF(ISBLANK('Data Input'!C28),"",'Data Input'!C28)</f>
        <v>6/16/18 0802</v>
      </c>
      <c r="E28" t="str">
        <f>IF(ISBLANK('Data Input'!D28),"",'Data Input'!D28)</f>
        <v>6/17/18 0555</v>
      </c>
      <c r="G28">
        <f>IF(ISBLANK('Data Input'!E28),"",'Data Input'!E28)</f>
        <v>40</v>
      </c>
      <c r="H28" t="str">
        <f>IF(ISBLANK('Data Input'!F28),"",'Data Input'!F28)</f>
        <v>White</v>
      </c>
      <c r="I28" t="str">
        <f>IF(ISBLANK('Data Input'!G28),"",'Data Input'!G28)</f>
        <v>SVD</v>
      </c>
      <c r="J28" t="str">
        <f>IF(ISBLANK('Data Input'!I28),"",'Data Input'!I28)</f>
        <v>06/16/18 1433</v>
      </c>
      <c r="K28" t="str">
        <f>IF(ISBLANK('Data Input'!J28),"",'Data Input'!J28)</f>
        <v>bb - Ibuprofen</v>
      </c>
      <c r="L28">
        <f>IF(ISBLANK('Data Input'!K28),"",'Data Input'!K28)</f>
        <v>800</v>
      </c>
      <c r="M28">
        <f>IF(ISBLANK('Data Input'!L28),"",'Data Input'!L28)</f>
        <v>0</v>
      </c>
      <c r="N28" t="str">
        <f>IF(ISBLANK('Data Input'!M28),"",'Data Input'!M28)</f>
        <v>No F/u</v>
      </c>
      <c r="O28" t="str">
        <f>IF(ISBLANK('Data Input'!N28),"",'Data Input'!N28)</f>
        <v>1 or 2</v>
      </c>
      <c r="P28" t="str">
        <f>IF(ISBLANK('Data Input'!O28),"",'Data Input'!O28)</f>
        <v/>
      </c>
      <c r="Q28" t="str">
        <f>IF(ISBLANK('Data Input'!P28),"",'Data Input'!P28)</f>
        <v/>
      </c>
      <c r="R28" t="b">
        <f>IF(ISBLANK('Data Input'!Q28),"",'Data Input'!Q28)</f>
        <v>1</v>
      </c>
      <c r="T28" s="2">
        <f t="shared" si="2"/>
        <v>43267</v>
      </c>
      <c r="U28" s="12">
        <f t="shared" si="3"/>
        <v>0.3347222222222222</v>
      </c>
      <c r="V28" s="2">
        <f t="shared" si="4"/>
        <v>43268</v>
      </c>
      <c r="W28" s="12">
        <f t="shared" si="5"/>
        <v>0.24652777777777779</v>
      </c>
      <c r="X28" s="12"/>
      <c r="Y28" s="12"/>
    </row>
    <row r="29" spans="1:25">
      <c r="A29">
        <f>IF(ISBLANK('Data Input'!A29),"",'Data Input'!A29)</f>
        <v>7</v>
      </c>
      <c r="B29" t="str">
        <f>IF(ISBLANK('Data Input'!B29),"",'Data Input'!B29)</f>
        <v>JM007</v>
      </c>
      <c r="C29" t="str">
        <f>IF(ISBLANK('Data Input'!C29),"",'Data Input'!C29)</f>
        <v>6/16/18 0802</v>
      </c>
      <c r="E29" t="str">
        <f>IF(ISBLANK('Data Input'!D29),"",'Data Input'!D29)</f>
        <v>6/17/18 0555</v>
      </c>
      <c r="G29">
        <f>IF(ISBLANK('Data Input'!E29),"",'Data Input'!E29)</f>
        <v>40</v>
      </c>
      <c r="H29" t="str">
        <f>IF(ISBLANK('Data Input'!F29),"",'Data Input'!F29)</f>
        <v>White</v>
      </c>
      <c r="I29" t="str">
        <f>IF(ISBLANK('Data Input'!G29),"",'Data Input'!G29)</f>
        <v>SVD</v>
      </c>
      <c r="J29" t="str">
        <f>IF(ISBLANK('Data Input'!I29),"",'Data Input'!I29)</f>
        <v>6/16/18 2003</v>
      </c>
      <c r="K29" t="str">
        <f>IF(ISBLANK('Data Input'!J29),"",'Data Input'!J29)</f>
        <v>tt - Tylenol</v>
      </c>
      <c r="L29">
        <f>IF(ISBLANK('Data Input'!K29),"",'Data Input'!K29)</f>
        <v>650</v>
      </c>
      <c r="M29">
        <f>IF(ISBLANK('Data Input'!L29),"",'Data Input'!L29)</f>
        <v>2</v>
      </c>
      <c r="N29" t="str">
        <f>IF(ISBLANK('Data Input'!M29),"",'Data Input'!M29)</f>
        <v>No F/u</v>
      </c>
      <c r="O29">
        <f>IF(ISBLANK('Data Input'!N29),"",'Data Input'!N29)</f>
        <v>2</v>
      </c>
      <c r="P29" t="str">
        <f>IF(ISBLANK('Data Input'!O29),"",'Data Input'!O29)</f>
        <v/>
      </c>
      <c r="Q29" t="str">
        <f>IF(ISBLANK('Data Input'!P29),"",'Data Input'!P29)</f>
        <v/>
      </c>
      <c r="R29" t="b">
        <f>IF(ISBLANK('Data Input'!Q29),"",'Data Input'!Q29)</f>
        <v>1</v>
      </c>
      <c r="T29" s="2">
        <f t="shared" si="2"/>
        <v>43267</v>
      </c>
      <c r="U29" s="12">
        <f t="shared" si="3"/>
        <v>0.3347222222222222</v>
      </c>
      <c r="V29" s="2">
        <f t="shared" si="4"/>
        <v>43268</v>
      </c>
      <c r="W29" s="12">
        <f t="shared" si="5"/>
        <v>0.24652777777777779</v>
      </c>
      <c r="X29" s="12"/>
      <c r="Y29" s="12"/>
    </row>
    <row r="30" spans="1:25">
      <c r="A30">
        <f>IF(ISBLANK('Data Input'!A30),"",'Data Input'!A30)</f>
        <v>7</v>
      </c>
      <c r="B30" t="str">
        <f>IF(ISBLANK('Data Input'!B30),"",'Data Input'!B30)</f>
        <v>JM007</v>
      </c>
      <c r="C30" t="str">
        <f>IF(ISBLANK('Data Input'!C30),"",'Data Input'!C30)</f>
        <v>6/16/18 0802</v>
      </c>
      <c r="E30" t="str">
        <f>IF(ISBLANK('Data Input'!D30),"",'Data Input'!D30)</f>
        <v>6/17/18 0555</v>
      </c>
      <c r="G30">
        <f>IF(ISBLANK('Data Input'!E30),"",'Data Input'!E30)</f>
        <v>40</v>
      </c>
      <c r="H30" t="str">
        <f>IF(ISBLANK('Data Input'!F30),"",'Data Input'!F30)</f>
        <v>White</v>
      </c>
      <c r="I30" t="str">
        <f>IF(ISBLANK('Data Input'!G30),"",'Data Input'!G30)</f>
        <v>SVD</v>
      </c>
      <c r="J30" t="str">
        <f>IF(ISBLANK('Data Input'!I30),"",'Data Input'!I30)</f>
        <v>6/17/18 0555</v>
      </c>
      <c r="K30" t="str">
        <f>IF(ISBLANK('Data Input'!J30),"",'Data Input'!J30)</f>
        <v>tt - Tylenol</v>
      </c>
      <c r="L30">
        <f>IF(ISBLANK('Data Input'!K30),"",'Data Input'!K30)</f>
        <v>650</v>
      </c>
      <c r="M30">
        <f>IF(ISBLANK('Data Input'!L30),"",'Data Input'!L30)</f>
        <v>0</v>
      </c>
      <c r="N30" t="str">
        <f>IF(ISBLANK('Data Input'!M30),"",'Data Input'!M30)</f>
        <v>No F/u</v>
      </c>
      <c r="O30">
        <f>IF(ISBLANK('Data Input'!N30),"",'Data Input'!N30)</f>
        <v>2</v>
      </c>
      <c r="P30" t="str">
        <f>IF(ISBLANK('Data Input'!O30),"",'Data Input'!O30)</f>
        <v/>
      </c>
      <c r="Q30" t="str">
        <f>IF(ISBLANK('Data Input'!P30),"",'Data Input'!P30)</f>
        <v/>
      </c>
      <c r="R30" t="b">
        <f>IF(ISBLANK('Data Input'!Q30),"",'Data Input'!Q30)</f>
        <v>1</v>
      </c>
      <c r="T30" s="2">
        <f t="shared" si="2"/>
        <v>43267</v>
      </c>
      <c r="U30" s="12">
        <f t="shared" si="3"/>
        <v>0.3347222222222222</v>
      </c>
      <c r="V30" s="2">
        <f t="shared" si="4"/>
        <v>43268</v>
      </c>
      <c r="W30" s="12">
        <f t="shared" si="5"/>
        <v>0.24652777777777779</v>
      </c>
      <c r="X30" s="12"/>
      <c r="Y30" s="12"/>
    </row>
    <row r="31" spans="1:25">
      <c r="A31">
        <f>IF(ISBLANK('Data Input'!A31),"",'Data Input'!A31)</f>
        <v>8</v>
      </c>
      <c r="B31" t="str">
        <f>IF(ISBLANK('Data Input'!B31),"",'Data Input'!B31)</f>
        <v>2D008</v>
      </c>
      <c r="C31" t="str">
        <f>IF(ISBLANK('Data Input'!C31),"",'Data Input'!C31)</f>
        <v>6/15/18 1936</v>
      </c>
      <c r="E31" t="str">
        <f>IF(ISBLANK('Data Input'!D31),"",'Data Input'!D31)</f>
        <v>6/16/18 1724</v>
      </c>
      <c r="G31">
        <f>IF(ISBLANK('Data Input'!E31),"",'Data Input'!E31)</f>
        <v>36</v>
      </c>
      <c r="H31" t="str">
        <f>IF(ISBLANK('Data Input'!F31),"",'Data Input'!F31)</f>
        <v>Black</v>
      </c>
      <c r="I31" t="str">
        <f>IF(ISBLANK('Data Input'!G31),"",'Data Input'!G31)</f>
        <v>Caesarean</v>
      </c>
      <c r="J31" t="str">
        <f>IF(ISBLANK('Data Input'!I31),"",'Data Input'!I31)</f>
        <v>6/16/18 0750</v>
      </c>
      <c r="K31" t="str">
        <f>IF(ISBLANK('Data Input'!J31),"",'Data Input'!J31)</f>
        <v>tr - Toradol</v>
      </c>
      <c r="L31">
        <f>IF(ISBLANK('Data Input'!K31),"",'Data Input'!K31)</f>
        <v>30</v>
      </c>
      <c r="M31">
        <f>IF(ISBLANK('Data Input'!L31),"",'Data Input'!L31)</f>
        <v>9</v>
      </c>
      <c r="N31">
        <f>IF(ISBLANK('Data Input'!M31),"",'Data Input'!M31)</f>
        <v>9</v>
      </c>
      <c r="O31">
        <f>IF(ISBLANK('Data Input'!N31),"",'Data Input'!N31)</f>
        <v>2</v>
      </c>
      <c r="P31" t="str">
        <f>IF(ISBLANK('Data Input'!O31),"",'Data Input'!O31)</f>
        <v/>
      </c>
      <c r="Q31" t="str">
        <f>IF(ISBLANK('Data Input'!P31),"",'Data Input'!P31)</f>
        <v/>
      </c>
      <c r="R31" t="b">
        <f>IF(ISBLANK('Data Input'!Q31),"",'Data Input'!Q31)</f>
        <v>0</v>
      </c>
      <c r="T31" s="2">
        <f t="shared" si="2"/>
        <v>43266</v>
      </c>
      <c r="U31" s="12">
        <f t="shared" si="3"/>
        <v>0.81666666666666676</v>
      </c>
      <c r="V31" s="2">
        <f t="shared" si="4"/>
        <v>43267</v>
      </c>
      <c r="W31" s="12">
        <f t="shared" si="5"/>
        <v>0.72499999999999998</v>
      </c>
      <c r="X31" s="12"/>
      <c r="Y31" s="12"/>
    </row>
    <row r="32" spans="1:25">
      <c r="A32">
        <f>IF(ISBLANK('Data Input'!A32),"",'Data Input'!A32)</f>
        <v>8</v>
      </c>
      <c r="B32" t="str">
        <f>IF(ISBLANK('Data Input'!B32),"",'Data Input'!B32)</f>
        <v>2D008</v>
      </c>
      <c r="C32" t="str">
        <f>IF(ISBLANK('Data Input'!C32),"",'Data Input'!C32)</f>
        <v>6/15/18 1936</v>
      </c>
      <c r="E32" t="str">
        <f>IF(ISBLANK('Data Input'!D32),"",'Data Input'!D32)</f>
        <v>6/16/18 1724</v>
      </c>
      <c r="G32">
        <f>IF(ISBLANK('Data Input'!E32),"",'Data Input'!E32)</f>
        <v>36</v>
      </c>
      <c r="H32" t="str">
        <f>IF(ISBLANK('Data Input'!F32),"",'Data Input'!F32)</f>
        <v>Black</v>
      </c>
      <c r="I32" t="str">
        <f>IF(ISBLANK('Data Input'!G32),"",'Data Input'!G32)</f>
        <v>Caesarean</v>
      </c>
      <c r="J32" t="str">
        <f>IF(ISBLANK('Data Input'!I32),"",'Data Input'!I32)</f>
        <v>6/16/18 0804</v>
      </c>
      <c r="K32" t="str">
        <f>IF(ISBLANK('Data Input'!J32),"",'Data Input'!J32)</f>
        <v>rr - Percocet</v>
      </c>
      <c r="L32">
        <f>IF(ISBLANK('Data Input'!K32),"",'Data Input'!K32)</f>
        <v>1</v>
      </c>
      <c r="M32">
        <f>IF(ISBLANK('Data Input'!L32),"",'Data Input'!L32)</f>
        <v>9</v>
      </c>
      <c r="N32">
        <f>IF(ISBLANK('Data Input'!M32),"",'Data Input'!M32)</f>
        <v>3</v>
      </c>
      <c r="O32">
        <f>IF(ISBLANK('Data Input'!N32),"",'Data Input'!N32)</f>
        <v>4</v>
      </c>
      <c r="P32" t="str">
        <f>IF(ISBLANK('Data Input'!O32),"",'Data Input'!O32)</f>
        <v/>
      </c>
      <c r="Q32" t="str">
        <f>IF(ISBLANK('Data Input'!P32),"",'Data Input'!P32)</f>
        <v/>
      </c>
      <c r="R32" t="b">
        <f>IF(ISBLANK('Data Input'!Q32),"",'Data Input'!Q32)</f>
        <v>0</v>
      </c>
      <c r="T32" s="2">
        <f t="shared" si="2"/>
        <v>43266</v>
      </c>
      <c r="U32" s="12">
        <f t="shared" si="3"/>
        <v>0.81666666666666676</v>
      </c>
      <c r="V32" s="2">
        <f t="shared" si="4"/>
        <v>43267</v>
      </c>
      <c r="W32" s="12">
        <f t="shared" si="5"/>
        <v>0.72499999999999998</v>
      </c>
      <c r="X32" s="12"/>
      <c r="Y32" s="12"/>
    </row>
    <row r="33" spans="1:25">
      <c r="A33">
        <f>IF(ISBLANK('Data Input'!A33),"",'Data Input'!A33)</f>
        <v>8</v>
      </c>
      <c r="B33" t="str">
        <f>IF(ISBLANK('Data Input'!B33),"",'Data Input'!B33)</f>
        <v>2D008</v>
      </c>
      <c r="C33" t="str">
        <f>IF(ISBLANK('Data Input'!C33),"",'Data Input'!C33)</f>
        <v>6/15/18 1936</v>
      </c>
      <c r="E33" t="str">
        <f>IF(ISBLANK('Data Input'!D33),"",'Data Input'!D33)</f>
        <v>6/16/18 1724</v>
      </c>
      <c r="G33">
        <f>IF(ISBLANK('Data Input'!E33),"",'Data Input'!E33)</f>
        <v>36</v>
      </c>
      <c r="H33" t="str">
        <f>IF(ISBLANK('Data Input'!F33),"",'Data Input'!F33)</f>
        <v>Black</v>
      </c>
      <c r="I33" t="str">
        <f>IF(ISBLANK('Data Input'!G33),"",'Data Input'!G33)</f>
        <v>Caesarean</v>
      </c>
      <c r="J33" t="str">
        <f>IF(ISBLANK('Data Input'!I33),"",'Data Input'!I33)</f>
        <v>6/16/18 1245</v>
      </c>
      <c r="K33" t="str">
        <f>IF(ISBLANK('Data Input'!J33),"",'Data Input'!J33)</f>
        <v>rr - Percocet</v>
      </c>
      <c r="L33">
        <f>IF(ISBLANK('Data Input'!K33),"",'Data Input'!K33)</f>
        <v>1</v>
      </c>
      <c r="M33">
        <f>IF(ISBLANK('Data Input'!L33),"",'Data Input'!L33)</f>
        <v>8</v>
      </c>
      <c r="N33">
        <f>IF(ISBLANK('Data Input'!M33),"",'Data Input'!M33)</f>
        <v>4</v>
      </c>
      <c r="O33">
        <f>IF(ISBLANK('Data Input'!N33),"",'Data Input'!N33)</f>
        <v>4</v>
      </c>
      <c r="P33" t="str">
        <f>IF(ISBLANK('Data Input'!O33),"",'Data Input'!O33)</f>
        <v/>
      </c>
      <c r="Q33" t="str">
        <f>IF(ISBLANK('Data Input'!P33),"",'Data Input'!P33)</f>
        <v/>
      </c>
      <c r="R33" t="b">
        <f>IF(ISBLANK('Data Input'!Q33),"",'Data Input'!Q33)</f>
        <v>0</v>
      </c>
      <c r="T33" s="2">
        <f t="shared" si="2"/>
        <v>43266</v>
      </c>
      <c r="U33" s="12">
        <f t="shared" si="3"/>
        <v>0.81666666666666676</v>
      </c>
      <c r="V33" s="2">
        <f t="shared" si="4"/>
        <v>43267</v>
      </c>
      <c r="W33" s="12">
        <f t="shared" si="5"/>
        <v>0.72499999999999998</v>
      </c>
      <c r="X33" s="12"/>
      <c r="Y33" s="12"/>
    </row>
    <row r="34" spans="1:25">
      <c r="A34">
        <f>IF(ISBLANK('Data Input'!A34),"",'Data Input'!A34)</f>
        <v>8</v>
      </c>
      <c r="B34" t="str">
        <f>IF(ISBLANK('Data Input'!B34),"",'Data Input'!B34)</f>
        <v>2D008</v>
      </c>
      <c r="C34" t="str">
        <f>IF(ISBLANK('Data Input'!C34),"",'Data Input'!C34)</f>
        <v>6/15/18 1936</v>
      </c>
      <c r="E34" t="str">
        <f>IF(ISBLANK('Data Input'!D34),"",'Data Input'!D34)</f>
        <v>6/16/18 1724</v>
      </c>
      <c r="G34">
        <f>IF(ISBLANK('Data Input'!E34),"",'Data Input'!E34)</f>
        <v>36</v>
      </c>
      <c r="H34" t="str">
        <f>IF(ISBLANK('Data Input'!F34),"",'Data Input'!F34)</f>
        <v>Black</v>
      </c>
      <c r="I34" t="str">
        <f>IF(ISBLANK('Data Input'!G34),"",'Data Input'!G34)</f>
        <v>Caesarean</v>
      </c>
      <c r="J34" t="str">
        <f>IF(ISBLANK('Data Input'!I34),"",'Data Input'!I34)</f>
        <v>6/16/18 1414</v>
      </c>
      <c r="K34" t="str">
        <f>IF(ISBLANK('Data Input'!J34),"",'Data Input'!J34)</f>
        <v>tr - Toradol</v>
      </c>
      <c r="L34">
        <f>IF(ISBLANK('Data Input'!K34),"",'Data Input'!K34)</f>
        <v>30</v>
      </c>
      <c r="M34">
        <f>IF(ISBLANK('Data Input'!L34),"",'Data Input'!L34)</f>
        <v>5</v>
      </c>
      <c r="N34">
        <f>IF(ISBLANK('Data Input'!M34),"",'Data Input'!M34)</f>
        <v>4</v>
      </c>
      <c r="O34">
        <f>IF(ISBLANK('Data Input'!N34),"",'Data Input'!N34)</f>
        <v>2</v>
      </c>
      <c r="P34" t="str">
        <f>IF(ISBLANK('Data Input'!O34),"",'Data Input'!O34)</f>
        <v/>
      </c>
      <c r="Q34" t="str">
        <f>IF(ISBLANK('Data Input'!P34),"",'Data Input'!P34)</f>
        <v/>
      </c>
      <c r="R34" t="b">
        <f>IF(ISBLANK('Data Input'!Q34),"",'Data Input'!Q34)</f>
        <v>0</v>
      </c>
      <c r="T34" s="2">
        <f t="shared" si="2"/>
        <v>43266</v>
      </c>
      <c r="U34" s="12">
        <f t="shared" si="3"/>
        <v>0.81666666666666676</v>
      </c>
      <c r="V34" s="2">
        <f t="shared" si="4"/>
        <v>43267</v>
      </c>
      <c r="W34" s="12">
        <f t="shared" si="5"/>
        <v>0.72499999999999998</v>
      </c>
      <c r="X34" s="12"/>
      <c r="Y34" s="12"/>
    </row>
    <row r="35" spans="1:25">
      <c r="A35">
        <f>IF(ISBLANK('Data Input'!A35),"",'Data Input'!A35)</f>
        <v>8</v>
      </c>
      <c r="B35" t="str">
        <f>IF(ISBLANK('Data Input'!B35),"",'Data Input'!B35)</f>
        <v>2D008</v>
      </c>
      <c r="C35" t="str">
        <f>IF(ISBLANK('Data Input'!C35),"",'Data Input'!C35)</f>
        <v>6/15/18 1936</v>
      </c>
      <c r="E35" t="str">
        <f>IF(ISBLANK('Data Input'!D35),"",'Data Input'!D35)</f>
        <v>6/16/18 1724</v>
      </c>
      <c r="G35">
        <f>IF(ISBLANK('Data Input'!E35),"",'Data Input'!E35)</f>
        <v>36</v>
      </c>
      <c r="H35" t="str">
        <f>IF(ISBLANK('Data Input'!F35),"",'Data Input'!F35)</f>
        <v>Black</v>
      </c>
      <c r="I35" t="str">
        <f>IF(ISBLANK('Data Input'!G35),"",'Data Input'!G35)</f>
        <v>Caesarean</v>
      </c>
      <c r="J35" t="str">
        <f>IF(ISBLANK('Data Input'!I35),"",'Data Input'!I35)</f>
        <v>6/16/18 1724</v>
      </c>
      <c r="K35" t="str">
        <f>IF(ISBLANK('Data Input'!J35),"",'Data Input'!J35)</f>
        <v>rr - Percocet</v>
      </c>
      <c r="L35">
        <f>IF(ISBLANK('Data Input'!K35),"",'Data Input'!K35)</f>
        <v>2</v>
      </c>
      <c r="M35">
        <f>IF(ISBLANK('Data Input'!L35),"",'Data Input'!L35)</f>
        <v>3</v>
      </c>
      <c r="N35">
        <f>IF(ISBLANK('Data Input'!M35),"",'Data Input'!M35)</f>
        <v>1</v>
      </c>
      <c r="O35">
        <f>IF(ISBLANK('Data Input'!N35),"",'Data Input'!N35)</f>
        <v>4</v>
      </c>
      <c r="P35" t="str">
        <f>IF(ISBLANK('Data Input'!O35),"",'Data Input'!O35)</f>
        <v>x</v>
      </c>
      <c r="Q35" t="str">
        <f>IF(ISBLANK('Data Input'!P35),"",'Data Input'!P35)</f>
        <v/>
      </c>
      <c r="R35" t="b">
        <f>IF(ISBLANK('Data Input'!Q35),"",'Data Input'!Q35)</f>
        <v>0</v>
      </c>
      <c r="T35" s="2">
        <f t="shared" si="2"/>
        <v>43266</v>
      </c>
      <c r="U35" s="12">
        <f t="shared" si="3"/>
        <v>0.81666666666666676</v>
      </c>
      <c r="V35" s="2">
        <f t="shared" si="4"/>
        <v>43267</v>
      </c>
      <c r="W35" s="12">
        <f t="shared" si="5"/>
        <v>0.72499999999999998</v>
      </c>
      <c r="Y35" s="12"/>
    </row>
    <row r="36" spans="1:25">
      <c r="A36">
        <f>IF(ISBLANK('Data Input'!A36),"",'Data Input'!A36)</f>
        <v>9</v>
      </c>
      <c r="B36" t="str">
        <f>IF(ISBLANK('Data Input'!B36),"",'Data Input'!B36)</f>
        <v>MR009</v>
      </c>
      <c r="C36" t="str">
        <f>IF(ISBLANK('Data Input'!C36),"",'Data Input'!C36)</f>
        <v>06/16/18 1445</v>
      </c>
      <c r="E36" t="str">
        <f>IF(ISBLANK('Data Input'!D36),"",'Data Input'!D36)</f>
        <v>6/17/18 1336</v>
      </c>
      <c r="G36">
        <f>IF(ISBLANK('Data Input'!E36),"",'Data Input'!E36)</f>
        <v>21</v>
      </c>
      <c r="H36" t="str">
        <f>IF(ISBLANK('Data Input'!F36),"",'Data Input'!F36)</f>
        <v>Black</v>
      </c>
      <c r="I36" t="str">
        <f>IF(ISBLANK('Data Input'!G36),"",'Data Input'!G36)</f>
        <v>Caesarean</v>
      </c>
      <c r="J36" t="str">
        <f>IF(ISBLANK('Data Input'!I36),"",'Data Input'!I36)</f>
        <v>6/16/18 1235</v>
      </c>
      <c r="K36" t="str">
        <f>IF(ISBLANK('Data Input'!J36),"",'Data Input'!J36)</f>
        <v>tr - Toradol</v>
      </c>
      <c r="L36">
        <f>IF(ISBLANK('Data Input'!K36),"",'Data Input'!K36)</f>
        <v>30</v>
      </c>
      <c r="M36">
        <f>IF(ISBLANK('Data Input'!L36),"",'Data Input'!L36)</f>
        <v>5</v>
      </c>
      <c r="N36">
        <f>IF(ISBLANK('Data Input'!M36),"",'Data Input'!M36)</f>
        <v>0</v>
      </c>
      <c r="O36" t="str">
        <f>IF(ISBLANK('Data Input'!N36),"",'Data Input'!N36)</f>
        <v/>
      </c>
      <c r="P36" t="str">
        <f>IF(ISBLANK('Data Input'!O36),"",'Data Input'!O36)</f>
        <v/>
      </c>
      <c r="Q36" t="str">
        <f>IF(ISBLANK('Data Input'!P36),"",'Data Input'!P36)</f>
        <v/>
      </c>
      <c r="R36" t="b">
        <f>IF(ISBLANK('Data Input'!Q36),"",'Data Input'!Q36)</f>
        <v>1</v>
      </c>
      <c r="T36" s="2">
        <f t="shared" si="2"/>
        <v>43267</v>
      </c>
      <c r="U36" s="12">
        <f t="shared" si="3"/>
        <v>0.61458333333333337</v>
      </c>
      <c r="V36" s="2">
        <f t="shared" si="4"/>
        <v>43268</v>
      </c>
      <c r="W36" s="12">
        <f t="shared" si="5"/>
        <v>0.56666666666666665</v>
      </c>
      <c r="Y36" s="12"/>
    </row>
    <row r="37" spans="1:25">
      <c r="A37">
        <f>IF(ISBLANK('Data Input'!A37),"",'Data Input'!A37)</f>
        <v>9</v>
      </c>
      <c r="B37" t="str">
        <f>IF(ISBLANK('Data Input'!B37),"",'Data Input'!B37)</f>
        <v>MR009</v>
      </c>
      <c r="C37" t="str">
        <f>IF(ISBLANK('Data Input'!C37),"",'Data Input'!C37)</f>
        <v>06/16/18 1445</v>
      </c>
      <c r="E37" t="str">
        <f>IF(ISBLANK('Data Input'!D37),"",'Data Input'!D37)</f>
        <v>6/17/18 1336</v>
      </c>
      <c r="G37">
        <f>IF(ISBLANK('Data Input'!E37),"",'Data Input'!E37)</f>
        <v>21</v>
      </c>
      <c r="H37" t="str">
        <f>IF(ISBLANK('Data Input'!F37),"",'Data Input'!F37)</f>
        <v>Black</v>
      </c>
      <c r="I37" t="str">
        <f>IF(ISBLANK('Data Input'!G37),"",'Data Input'!G37)</f>
        <v>Caesarean</v>
      </c>
      <c r="J37" t="str">
        <f>IF(ISBLANK('Data Input'!I37),"",'Data Input'!I37)</f>
        <v>6/17/18 0035</v>
      </c>
      <c r="K37" t="str">
        <f>IF(ISBLANK('Data Input'!J37),"",'Data Input'!J37)</f>
        <v>tr - Toradol</v>
      </c>
      <c r="L37">
        <f>IF(ISBLANK('Data Input'!K37),"",'Data Input'!K37)</f>
        <v>30</v>
      </c>
      <c r="M37">
        <f>IF(ISBLANK('Data Input'!L37),"",'Data Input'!L37)</f>
        <v>7</v>
      </c>
      <c r="N37">
        <f>IF(ISBLANK('Data Input'!M37),"",'Data Input'!M37)</f>
        <v>3</v>
      </c>
      <c r="O37" t="str">
        <f>IF(ISBLANK('Data Input'!N37),"",'Data Input'!N37)</f>
        <v/>
      </c>
      <c r="P37" t="str">
        <f>IF(ISBLANK('Data Input'!O37),"",'Data Input'!O37)</f>
        <v/>
      </c>
      <c r="Q37" t="str">
        <f>IF(ISBLANK('Data Input'!P37),"",'Data Input'!P37)</f>
        <v/>
      </c>
      <c r="R37" t="b">
        <f>IF(ISBLANK('Data Input'!Q37),"",'Data Input'!Q37)</f>
        <v>1</v>
      </c>
      <c r="T37" s="2">
        <f t="shared" si="2"/>
        <v>43267</v>
      </c>
      <c r="U37" s="12">
        <f t="shared" si="3"/>
        <v>0.61458333333333337</v>
      </c>
      <c r="V37" s="2">
        <f t="shared" si="4"/>
        <v>43268</v>
      </c>
      <c r="W37" s="12">
        <f t="shared" si="5"/>
        <v>0.56666666666666665</v>
      </c>
      <c r="Y37" s="12"/>
    </row>
    <row r="38" spans="1:25">
      <c r="A38">
        <f>IF(ISBLANK('Data Input'!A38),"",'Data Input'!A38)</f>
        <v>9</v>
      </c>
      <c r="B38" t="str">
        <f>IF(ISBLANK('Data Input'!B38),"",'Data Input'!B38)</f>
        <v>MR009</v>
      </c>
      <c r="C38" t="str">
        <f>IF(ISBLANK('Data Input'!C38),"",'Data Input'!C38)</f>
        <v>06/16/18 1445</v>
      </c>
      <c r="E38" t="str">
        <f>IF(ISBLANK('Data Input'!D38),"",'Data Input'!D38)</f>
        <v>6/17/18 1336</v>
      </c>
      <c r="G38">
        <f>IF(ISBLANK('Data Input'!E38),"",'Data Input'!E38)</f>
        <v>21</v>
      </c>
      <c r="H38" t="str">
        <f>IF(ISBLANK('Data Input'!F38),"",'Data Input'!F38)</f>
        <v>Black</v>
      </c>
      <c r="I38" t="str">
        <f>IF(ISBLANK('Data Input'!G38),"",'Data Input'!G38)</f>
        <v>Caesarean</v>
      </c>
      <c r="J38" t="str">
        <f>IF(ISBLANK('Data Input'!I38),"",'Data Input'!I38)</f>
        <v>6/17/18 0726</v>
      </c>
      <c r="K38" t="str">
        <f>IF(ISBLANK('Data Input'!J38),"",'Data Input'!J38)</f>
        <v>tr - Toradol</v>
      </c>
      <c r="L38">
        <f>IF(ISBLANK('Data Input'!K38),"",'Data Input'!K38)</f>
        <v>30</v>
      </c>
      <c r="M38">
        <f>IF(ISBLANK('Data Input'!L38),"",'Data Input'!L38)</f>
        <v>7</v>
      </c>
      <c r="N38" t="str">
        <f>IF(ISBLANK('Data Input'!M38),"",'Data Input'!M38)</f>
        <v>No F/u</v>
      </c>
      <c r="O38" t="str">
        <f>IF(ISBLANK('Data Input'!N38),"",'Data Input'!N38)</f>
        <v/>
      </c>
      <c r="P38" t="str">
        <f>IF(ISBLANK('Data Input'!O38),"",'Data Input'!O38)</f>
        <v/>
      </c>
      <c r="Q38" t="str">
        <f>IF(ISBLANK('Data Input'!P38),"",'Data Input'!P38)</f>
        <v/>
      </c>
      <c r="R38" t="b">
        <f>IF(ISBLANK('Data Input'!Q38),"",'Data Input'!Q38)</f>
        <v>1</v>
      </c>
      <c r="T38" s="2">
        <f t="shared" si="2"/>
        <v>43267</v>
      </c>
      <c r="U38" s="12">
        <f t="shared" si="3"/>
        <v>0.61458333333333337</v>
      </c>
      <c r="V38" s="2">
        <f t="shared" si="4"/>
        <v>43268</v>
      </c>
      <c r="W38" s="12">
        <f t="shared" si="5"/>
        <v>0.56666666666666665</v>
      </c>
      <c r="Y38" s="12"/>
    </row>
    <row r="39" spans="1:25">
      <c r="A39">
        <f>IF(ISBLANK('Data Input'!A39),"",'Data Input'!A39)</f>
        <v>9</v>
      </c>
      <c r="B39" t="str">
        <f>IF(ISBLANK('Data Input'!B39),"",'Data Input'!B39)</f>
        <v>MR009</v>
      </c>
      <c r="C39" t="str">
        <f>IF(ISBLANK('Data Input'!C39),"",'Data Input'!C39)</f>
        <v>06/16/18 1445</v>
      </c>
      <c r="E39" t="str">
        <f>IF(ISBLANK('Data Input'!D39),"",'Data Input'!D39)</f>
        <v>6/17/18 1336</v>
      </c>
      <c r="G39">
        <f>IF(ISBLANK('Data Input'!E39),"",'Data Input'!E39)</f>
        <v>21</v>
      </c>
      <c r="H39" t="str">
        <f>IF(ISBLANK('Data Input'!F39),"",'Data Input'!F39)</f>
        <v>Black</v>
      </c>
      <c r="I39" t="str">
        <f>IF(ISBLANK('Data Input'!G39),"",'Data Input'!G39)</f>
        <v>Caesarean</v>
      </c>
      <c r="J39" t="str">
        <f>IF(ISBLANK('Data Input'!I39),"",'Data Input'!I39)</f>
        <v>6/17/18 1058</v>
      </c>
      <c r="K39" t="str">
        <f>IF(ISBLANK('Data Input'!J39),"",'Data Input'!J39)</f>
        <v>rr - Percocet</v>
      </c>
      <c r="L39">
        <f>IF(ISBLANK('Data Input'!K39),"",'Data Input'!K39)</f>
        <v>1</v>
      </c>
      <c r="M39">
        <f>IF(ISBLANK('Data Input'!L39),"",'Data Input'!L39)</f>
        <v>5</v>
      </c>
      <c r="N39" t="str">
        <f>IF(ISBLANK('Data Input'!M39),"",'Data Input'!M39)</f>
        <v>No F/u</v>
      </c>
      <c r="O39" t="str">
        <f>IF(ISBLANK('Data Input'!N39),"",'Data Input'!N39)</f>
        <v/>
      </c>
      <c r="P39" t="str">
        <f>IF(ISBLANK('Data Input'!O39),"",'Data Input'!O39)</f>
        <v/>
      </c>
      <c r="Q39" t="str">
        <f>IF(ISBLANK('Data Input'!P39),"",'Data Input'!P39)</f>
        <v/>
      </c>
      <c r="R39" t="b">
        <f>IF(ISBLANK('Data Input'!Q39),"",'Data Input'!Q39)</f>
        <v>1</v>
      </c>
      <c r="T39" s="2">
        <f t="shared" si="2"/>
        <v>43267</v>
      </c>
      <c r="U39" s="12">
        <f t="shared" si="3"/>
        <v>0.61458333333333337</v>
      </c>
      <c r="V39" s="2">
        <f t="shared" si="4"/>
        <v>43268</v>
      </c>
      <c r="W39" s="12">
        <f t="shared" si="5"/>
        <v>0.56666666666666665</v>
      </c>
      <c r="Y39" s="12"/>
    </row>
    <row r="40" spans="1:25">
      <c r="A40">
        <f>IF(ISBLANK('Data Input'!A40),"",'Data Input'!A40)</f>
        <v>9</v>
      </c>
      <c r="B40" t="str">
        <f>IF(ISBLANK('Data Input'!B40),"",'Data Input'!B40)</f>
        <v>MR009</v>
      </c>
      <c r="C40" t="str">
        <f>IF(ISBLANK('Data Input'!C40),"",'Data Input'!C40)</f>
        <v>06/16/18 1445</v>
      </c>
      <c r="E40" t="str">
        <f>IF(ISBLANK('Data Input'!D40),"",'Data Input'!D40)</f>
        <v>6/17/18 1336</v>
      </c>
      <c r="G40">
        <f>IF(ISBLANK('Data Input'!E40),"",'Data Input'!E40)</f>
        <v>21</v>
      </c>
      <c r="H40" t="str">
        <f>IF(ISBLANK('Data Input'!F40),"",'Data Input'!F40)</f>
        <v>Black</v>
      </c>
      <c r="I40" t="str">
        <f>IF(ISBLANK('Data Input'!G40),"",'Data Input'!G40)</f>
        <v>Caesarean</v>
      </c>
      <c r="J40" t="str">
        <f>IF(ISBLANK('Data Input'!I40),"",'Data Input'!I40)</f>
        <v>6/17/18 1336</v>
      </c>
      <c r="K40" t="str">
        <f>IF(ISBLANK('Data Input'!J40),"",'Data Input'!J40)</f>
        <v>tr - Toradol</v>
      </c>
      <c r="L40">
        <f>IF(ISBLANK('Data Input'!K40),"",'Data Input'!K40)</f>
        <v>30</v>
      </c>
      <c r="M40">
        <f>IF(ISBLANK('Data Input'!L40),"",'Data Input'!L40)</f>
        <v>5</v>
      </c>
      <c r="N40">
        <f>IF(ISBLANK('Data Input'!M40),"",'Data Input'!M40)</f>
        <v>0</v>
      </c>
      <c r="O40" t="str">
        <f>IF(ISBLANK('Data Input'!N40),"",'Data Input'!N40)</f>
        <v/>
      </c>
      <c r="P40" t="str">
        <f>IF(ISBLANK('Data Input'!O40),"",'Data Input'!O40)</f>
        <v/>
      </c>
      <c r="Q40" t="str">
        <f>IF(ISBLANK('Data Input'!P40),"",'Data Input'!P40)</f>
        <v/>
      </c>
      <c r="R40" t="b">
        <f>IF(ISBLANK('Data Input'!Q40),"",'Data Input'!Q40)</f>
        <v>1</v>
      </c>
      <c r="T40" s="2">
        <f t="shared" si="2"/>
        <v>43267</v>
      </c>
      <c r="U40" s="12">
        <f t="shared" si="3"/>
        <v>0.61458333333333337</v>
      </c>
      <c r="V40" s="2">
        <f t="shared" si="4"/>
        <v>43268</v>
      </c>
      <c r="W40" s="12">
        <f t="shared" si="5"/>
        <v>0.56666666666666665</v>
      </c>
      <c r="Y40" s="12"/>
    </row>
    <row r="41" spans="1:25">
      <c r="A41">
        <f>IF(ISBLANK('Data Input'!A41),"",'Data Input'!A41)</f>
        <v>10</v>
      </c>
      <c r="B41" t="str">
        <f>IF(ISBLANK('Data Input'!B41),"",'Data Input'!B41)</f>
        <v>RL010</v>
      </c>
      <c r="C41" t="str">
        <f>IF(ISBLANK('Data Input'!C41),"",'Data Input'!C41)</f>
        <v>6/16/18 0414</v>
      </c>
      <c r="E41" t="str">
        <f>IF(ISBLANK('Data Input'!D41),"",'Data Input'!D41)</f>
        <v>6/16/18 2220</v>
      </c>
      <c r="G41">
        <f>IF(ISBLANK('Data Input'!E41),"",'Data Input'!E41)</f>
        <v>27</v>
      </c>
      <c r="H41" t="str">
        <f>IF(ISBLANK('Data Input'!F41),"",'Data Input'!F41)</f>
        <v>White</v>
      </c>
      <c r="I41" t="str">
        <f>IF(ISBLANK('Data Input'!G41),"",'Data Input'!G41)</f>
        <v>SVD</v>
      </c>
      <c r="J41" t="str">
        <f>IF(ISBLANK('Data Input'!I41),"",'Data Input'!I41)</f>
        <v>6/16/18 0736</v>
      </c>
      <c r="K41" t="str">
        <f>IF(ISBLANK('Data Input'!J41),"",'Data Input'!J41)</f>
        <v>bb - Ibuprofen</v>
      </c>
      <c r="L41">
        <f>IF(ISBLANK('Data Input'!K41),"",'Data Input'!K41)</f>
        <v>800</v>
      </c>
      <c r="M41">
        <f>IF(ISBLANK('Data Input'!L41),"",'Data Input'!L41)</f>
        <v>3</v>
      </c>
      <c r="N41">
        <f>IF(ISBLANK('Data Input'!M41),"",'Data Input'!M41)</f>
        <v>1</v>
      </c>
      <c r="O41" t="str">
        <f>IF(ISBLANK('Data Input'!N41),"",'Data Input'!N41)</f>
        <v/>
      </c>
      <c r="P41" t="str">
        <f>IF(ISBLANK('Data Input'!O41),"",'Data Input'!O41)</f>
        <v/>
      </c>
      <c r="Q41" t="str">
        <f>IF(ISBLANK('Data Input'!P41),"",'Data Input'!P41)</f>
        <v/>
      </c>
      <c r="R41" t="b">
        <f>IF(ISBLANK('Data Input'!Q41),"",'Data Input'!Q41)</f>
        <v>0</v>
      </c>
      <c r="T41" s="2">
        <f t="shared" si="2"/>
        <v>43267</v>
      </c>
      <c r="U41" s="12">
        <f t="shared" si="3"/>
        <v>0.1763888888888889</v>
      </c>
      <c r="V41" s="2">
        <f t="shared" si="4"/>
        <v>43267</v>
      </c>
      <c r="W41" s="12">
        <f t="shared" si="5"/>
        <v>0.93055555555555547</v>
      </c>
    </row>
    <row r="42" spans="1:25">
      <c r="A42">
        <f>IF(ISBLANK('Data Input'!A42),"",'Data Input'!A42)</f>
        <v>10</v>
      </c>
      <c r="B42" t="str">
        <f>IF(ISBLANK('Data Input'!B42),"",'Data Input'!B42)</f>
        <v>RL010</v>
      </c>
      <c r="C42" t="str">
        <f>IF(ISBLANK('Data Input'!C42),"",'Data Input'!C42)</f>
        <v>6/16/18 0414</v>
      </c>
      <c r="E42" t="str">
        <f>IF(ISBLANK('Data Input'!D42),"",'Data Input'!D42)</f>
        <v>6/16/18 2220</v>
      </c>
      <c r="G42">
        <f>IF(ISBLANK('Data Input'!E42),"",'Data Input'!E42)</f>
        <v>27</v>
      </c>
      <c r="H42" t="str">
        <f>IF(ISBLANK('Data Input'!F42),"",'Data Input'!F42)</f>
        <v>White</v>
      </c>
      <c r="I42" t="str">
        <f>IF(ISBLANK('Data Input'!G42),"",'Data Input'!G42)</f>
        <v>SVD</v>
      </c>
      <c r="J42" t="str">
        <f>IF(ISBLANK('Data Input'!I42),"",'Data Input'!I42)</f>
        <v>6/16/18 1321</v>
      </c>
      <c r="K42" t="str">
        <f>IF(ISBLANK('Data Input'!J42),"",'Data Input'!J42)</f>
        <v>bb - Ibuprofen</v>
      </c>
      <c r="L42">
        <f>IF(ISBLANK('Data Input'!K42),"",'Data Input'!K42)</f>
        <v>800</v>
      </c>
      <c r="M42">
        <f>IF(ISBLANK('Data Input'!L42),"",'Data Input'!L42)</f>
        <v>5</v>
      </c>
      <c r="N42">
        <f>IF(ISBLANK('Data Input'!M42),"",'Data Input'!M42)</f>
        <v>0</v>
      </c>
      <c r="O42" t="str">
        <f>IF(ISBLANK('Data Input'!N42),"",'Data Input'!N42)</f>
        <v/>
      </c>
      <c r="P42" t="str">
        <f>IF(ISBLANK('Data Input'!O42),"",'Data Input'!O42)</f>
        <v/>
      </c>
      <c r="Q42" t="str">
        <f>IF(ISBLANK('Data Input'!P42),"",'Data Input'!P42)</f>
        <v/>
      </c>
      <c r="R42" t="b">
        <f>IF(ISBLANK('Data Input'!Q42),"",'Data Input'!Q42)</f>
        <v>0</v>
      </c>
      <c r="T42" s="2">
        <f t="shared" si="2"/>
        <v>43267</v>
      </c>
      <c r="U42" s="12">
        <f t="shared" si="3"/>
        <v>0.1763888888888889</v>
      </c>
      <c r="V42" s="2">
        <f t="shared" si="4"/>
        <v>43267</v>
      </c>
      <c r="W42" s="12">
        <f t="shared" si="5"/>
        <v>0.93055555555555547</v>
      </c>
    </row>
    <row r="43" spans="1:25">
      <c r="A43">
        <f>IF(ISBLANK('Data Input'!A43),"",'Data Input'!A43)</f>
        <v>10</v>
      </c>
      <c r="B43" t="str">
        <f>IF(ISBLANK('Data Input'!B43),"",'Data Input'!B43)</f>
        <v>RL010</v>
      </c>
      <c r="C43" t="str">
        <f>IF(ISBLANK('Data Input'!C43),"",'Data Input'!C43)</f>
        <v>6/16/18 0414</v>
      </c>
      <c r="E43" t="str">
        <f>IF(ISBLANK('Data Input'!D43),"",'Data Input'!D43)</f>
        <v>6/16/18 2220</v>
      </c>
      <c r="G43">
        <f>IF(ISBLANK('Data Input'!E43),"",'Data Input'!E43)</f>
        <v>27</v>
      </c>
      <c r="H43" t="str">
        <f>IF(ISBLANK('Data Input'!F43),"",'Data Input'!F43)</f>
        <v>White</v>
      </c>
      <c r="I43" t="str">
        <f>IF(ISBLANK('Data Input'!G43),"",'Data Input'!G43)</f>
        <v>SVD</v>
      </c>
      <c r="J43" t="str">
        <f>IF(ISBLANK('Data Input'!I43),"",'Data Input'!I43)</f>
        <v>6/16/18 2220</v>
      </c>
      <c r="K43" t="str">
        <f>IF(ISBLANK('Data Input'!J43),"",'Data Input'!J43)</f>
        <v>bb - Ibuprofen</v>
      </c>
      <c r="L43">
        <f>IF(ISBLANK('Data Input'!K43),"",'Data Input'!K43)</f>
        <v>800</v>
      </c>
      <c r="M43">
        <f>IF(ISBLANK('Data Input'!L43),"",'Data Input'!L43)</f>
        <v>4</v>
      </c>
      <c r="N43">
        <f>IF(ISBLANK('Data Input'!M43),"",'Data Input'!M43)</f>
        <v>0</v>
      </c>
      <c r="O43" t="str">
        <f>IF(ISBLANK('Data Input'!N43),"",'Data Input'!N43)</f>
        <v/>
      </c>
      <c r="P43" t="str">
        <f>IF(ISBLANK('Data Input'!O43),"",'Data Input'!O43)</f>
        <v/>
      </c>
      <c r="Q43" t="str">
        <f>IF(ISBLANK('Data Input'!P43),"",'Data Input'!P43)</f>
        <v/>
      </c>
      <c r="R43" t="b">
        <f>IF(ISBLANK('Data Input'!Q43),"",'Data Input'!Q43)</f>
        <v>0</v>
      </c>
      <c r="T43" s="2">
        <f t="shared" si="2"/>
        <v>43267</v>
      </c>
      <c r="U43" s="12">
        <f t="shared" si="3"/>
        <v>0.1763888888888889</v>
      </c>
      <c r="V43" s="2">
        <f t="shared" si="4"/>
        <v>43267</v>
      </c>
      <c r="W43" s="12">
        <f t="shared" si="5"/>
        <v>0.93055555555555547</v>
      </c>
    </row>
    <row r="44" spans="1:25">
      <c r="A44">
        <f>IF(ISBLANK('Data Input'!A44),"",'Data Input'!A44)</f>
        <v>11</v>
      </c>
      <c r="B44" t="str">
        <f>IF(ISBLANK('Data Input'!B44),"",'Data Input'!B44)</f>
        <v>RB011</v>
      </c>
      <c r="C44" t="str">
        <f>IF(ISBLANK('Data Input'!C44),"",'Data Input'!C44)</f>
        <v>6/18/18 2100</v>
      </c>
      <c r="E44">
        <f>IF(ISBLANK('Data Input'!D44),"",'Data Input'!D44)</f>
        <v>43270</v>
      </c>
      <c r="G44">
        <f>IF(ISBLANK('Data Input'!E44),"",'Data Input'!E44)</f>
        <v>27</v>
      </c>
      <c r="H44" t="str">
        <f>IF(ISBLANK('Data Input'!F44),"",'Data Input'!F44)</f>
        <v>White</v>
      </c>
      <c r="I44" t="str">
        <f>IF(ISBLANK('Data Input'!G44),"",'Data Input'!G44)</f>
        <v>Caesarean</v>
      </c>
      <c r="J44" t="str">
        <f>IF(ISBLANK('Data Input'!I44),"",'Data Input'!I44)</f>
        <v>6/18/18 2156</v>
      </c>
      <c r="K44" t="str">
        <f>IF(ISBLANK('Data Input'!J44),"",'Data Input'!J44)</f>
        <v>tr - Toradol</v>
      </c>
      <c r="L44">
        <f>IF(ISBLANK('Data Input'!K44),"",'Data Input'!K44)</f>
        <v>30</v>
      </c>
      <c r="M44">
        <f>IF(ISBLANK('Data Input'!L44),"",'Data Input'!L44)</f>
        <v>4</v>
      </c>
      <c r="N44">
        <f>IF(ISBLANK('Data Input'!M44),"",'Data Input'!M44)</f>
        <v>1</v>
      </c>
      <c r="O44">
        <f>IF(ISBLANK('Data Input'!N44),"",'Data Input'!N44)</f>
        <v>4</v>
      </c>
      <c r="P44" t="str">
        <f>IF(ISBLANK('Data Input'!O44),"",'Data Input'!O44)</f>
        <v/>
      </c>
      <c r="Q44" t="str">
        <f>IF(ISBLANK('Data Input'!P44),"",'Data Input'!P44)</f>
        <v/>
      </c>
      <c r="R44" t="b">
        <f>IF(ISBLANK('Data Input'!Q44),"",'Data Input'!Q44)</f>
        <v>1</v>
      </c>
      <c r="T44" s="2">
        <f t="shared" si="2"/>
        <v>43269</v>
      </c>
      <c r="U44" s="12">
        <f t="shared" si="3"/>
        <v>0.875</v>
      </c>
      <c r="V44" s="2">
        <f t="shared" si="4"/>
        <v>43270</v>
      </c>
      <c r="W44" s="12">
        <f t="shared" si="5"/>
        <v>43270</v>
      </c>
    </row>
    <row r="45" spans="1:25">
      <c r="A45">
        <f>IF(ISBLANK('Data Input'!A45),"",'Data Input'!A45)</f>
        <v>11</v>
      </c>
      <c r="B45" t="str">
        <f>IF(ISBLANK('Data Input'!B45),"",'Data Input'!B45)</f>
        <v>RB011</v>
      </c>
      <c r="C45" t="str">
        <f>IF(ISBLANK('Data Input'!C45),"",'Data Input'!C45)</f>
        <v>6/18/18 2100</v>
      </c>
      <c r="E45">
        <f>IF(ISBLANK('Data Input'!D45),"",'Data Input'!D45)</f>
        <v>43270</v>
      </c>
      <c r="G45">
        <f>IF(ISBLANK('Data Input'!E45),"",'Data Input'!E45)</f>
        <v>27</v>
      </c>
      <c r="H45" t="str">
        <f>IF(ISBLANK('Data Input'!F45),"",'Data Input'!F45)</f>
        <v>White</v>
      </c>
      <c r="I45" t="str">
        <f>IF(ISBLANK('Data Input'!G45),"",'Data Input'!G45)</f>
        <v>Caesarean</v>
      </c>
      <c r="J45" t="str">
        <f>IF(ISBLANK('Data Input'!I45),"",'Data Input'!I45)</f>
        <v>6/19/18 0430</v>
      </c>
      <c r="K45" t="str">
        <f>IF(ISBLANK('Data Input'!J45),"",'Data Input'!J45)</f>
        <v>tr - Toradol</v>
      </c>
      <c r="L45">
        <f>IF(ISBLANK('Data Input'!K45),"",'Data Input'!K45)</f>
        <v>30</v>
      </c>
      <c r="M45">
        <f>IF(ISBLANK('Data Input'!L45),"",'Data Input'!L45)</f>
        <v>2</v>
      </c>
      <c r="N45">
        <f>IF(ISBLANK('Data Input'!M45),"",'Data Input'!M45)</f>
        <v>0</v>
      </c>
      <c r="O45">
        <f>IF(ISBLANK('Data Input'!N45),"",'Data Input'!N45)</f>
        <v>4</v>
      </c>
      <c r="P45" t="str">
        <f>IF(ISBLANK('Data Input'!O45),"",'Data Input'!O45)</f>
        <v/>
      </c>
      <c r="Q45" t="str">
        <f>IF(ISBLANK('Data Input'!P45),"",'Data Input'!P45)</f>
        <v/>
      </c>
      <c r="R45" t="b">
        <f>IF(ISBLANK('Data Input'!Q45),"",'Data Input'!Q45)</f>
        <v>1</v>
      </c>
      <c r="T45" s="2">
        <f t="shared" si="2"/>
        <v>43269</v>
      </c>
      <c r="U45" s="12">
        <f t="shared" si="3"/>
        <v>0.875</v>
      </c>
      <c r="V45" s="2">
        <f t="shared" si="4"/>
        <v>43270</v>
      </c>
      <c r="W45" s="12">
        <f t="shared" si="5"/>
        <v>43270</v>
      </c>
    </row>
    <row r="46" spans="1:25">
      <c r="A46">
        <f>IF(ISBLANK('Data Input'!A46),"",'Data Input'!A46)</f>
        <v>11</v>
      </c>
      <c r="B46" t="str">
        <f>IF(ISBLANK('Data Input'!B46),"",'Data Input'!B46)</f>
        <v>RB011</v>
      </c>
      <c r="C46" t="str">
        <f>IF(ISBLANK('Data Input'!C46),"",'Data Input'!C46)</f>
        <v>6/18/18 2100</v>
      </c>
      <c r="E46">
        <f>IF(ISBLANK('Data Input'!D46),"",'Data Input'!D46)</f>
        <v>43270</v>
      </c>
      <c r="G46">
        <f>IF(ISBLANK('Data Input'!E46),"",'Data Input'!E46)</f>
        <v>27</v>
      </c>
      <c r="H46" t="str">
        <f>IF(ISBLANK('Data Input'!F46),"",'Data Input'!F46)</f>
        <v>White</v>
      </c>
      <c r="I46" t="str">
        <f>IF(ISBLANK('Data Input'!G46),"",'Data Input'!G46)</f>
        <v>Caesarean</v>
      </c>
      <c r="J46" t="str">
        <f>IF(ISBLANK('Data Input'!I46),"",'Data Input'!I46)</f>
        <v>6/19/18 1003</v>
      </c>
      <c r="K46" t="str">
        <f>IF(ISBLANK('Data Input'!J46),"",'Data Input'!J46)</f>
        <v>tr - Toradol</v>
      </c>
      <c r="L46">
        <f>IF(ISBLANK('Data Input'!K46),"",'Data Input'!K46)</f>
        <v>30</v>
      </c>
      <c r="M46">
        <f>IF(ISBLANK('Data Input'!L46),"",'Data Input'!L46)</f>
        <v>2</v>
      </c>
      <c r="N46">
        <f>IF(ISBLANK('Data Input'!M46),"",'Data Input'!M46)</f>
        <v>0</v>
      </c>
      <c r="O46">
        <f>IF(ISBLANK('Data Input'!N46),"",'Data Input'!N46)</f>
        <v>4</v>
      </c>
      <c r="P46" t="str">
        <f>IF(ISBLANK('Data Input'!O46),"",'Data Input'!O46)</f>
        <v/>
      </c>
      <c r="Q46" t="str">
        <f>IF(ISBLANK('Data Input'!P46),"",'Data Input'!P46)</f>
        <v/>
      </c>
      <c r="R46" t="b">
        <f>IF(ISBLANK('Data Input'!Q46),"",'Data Input'!Q46)</f>
        <v>1</v>
      </c>
      <c r="T46" s="2">
        <f t="shared" si="2"/>
        <v>43269</v>
      </c>
      <c r="U46" s="12">
        <f t="shared" si="3"/>
        <v>0.875</v>
      </c>
      <c r="V46" s="2">
        <f t="shared" si="4"/>
        <v>43270</v>
      </c>
      <c r="W46" s="12">
        <f t="shared" si="5"/>
        <v>43270</v>
      </c>
    </row>
    <row r="47" spans="1:25">
      <c r="A47">
        <f>IF(ISBLANK('Data Input'!A47),"",'Data Input'!A47)</f>
        <v>11</v>
      </c>
      <c r="B47" t="str">
        <f>IF(ISBLANK('Data Input'!B47),"",'Data Input'!B47)</f>
        <v>RB011</v>
      </c>
      <c r="C47" t="str">
        <f>IF(ISBLANK('Data Input'!C47),"",'Data Input'!C47)</f>
        <v>6/18/18 2100</v>
      </c>
      <c r="E47">
        <f>IF(ISBLANK('Data Input'!D47),"",'Data Input'!D47)</f>
        <v>43270</v>
      </c>
      <c r="G47">
        <f>IF(ISBLANK('Data Input'!E47),"",'Data Input'!E47)</f>
        <v>27</v>
      </c>
      <c r="H47" t="str">
        <f>IF(ISBLANK('Data Input'!F47),"",'Data Input'!F47)</f>
        <v>White</v>
      </c>
      <c r="I47" t="str">
        <f>IF(ISBLANK('Data Input'!G47),"",'Data Input'!G47)</f>
        <v>Caesarean</v>
      </c>
      <c r="J47" t="str">
        <f>IF(ISBLANK('Data Input'!I47),"",'Data Input'!I47)</f>
        <v>6/19/18 1338</v>
      </c>
      <c r="K47" t="str">
        <f>IF(ISBLANK('Data Input'!J47),"",'Data Input'!J47)</f>
        <v>rr - Percocet</v>
      </c>
      <c r="L47">
        <f>IF(ISBLANK('Data Input'!K47),"",'Data Input'!K47)</f>
        <v>1</v>
      </c>
      <c r="M47">
        <f>IF(ISBLANK('Data Input'!L47),"",'Data Input'!L47)</f>
        <v>3</v>
      </c>
      <c r="N47">
        <f>IF(ISBLANK('Data Input'!M47),"",'Data Input'!M47)</f>
        <v>2</v>
      </c>
      <c r="O47">
        <f>IF(ISBLANK('Data Input'!N47),"",'Data Input'!N47)</f>
        <v>1</v>
      </c>
      <c r="P47" t="str">
        <f>IF(ISBLANK('Data Input'!O47),"",'Data Input'!O47)</f>
        <v/>
      </c>
      <c r="Q47" t="str">
        <f>IF(ISBLANK('Data Input'!P47),"",'Data Input'!P47)</f>
        <v/>
      </c>
      <c r="R47" t="b">
        <f>IF(ISBLANK('Data Input'!Q47),"",'Data Input'!Q47)</f>
        <v>1</v>
      </c>
      <c r="T47" s="2">
        <f t="shared" si="2"/>
        <v>43269</v>
      </c>
      <c r="U47" s="12">
        <f t="shared" si="3"/>
        <v>0.875</v>
      </c>
      <c r="V47" s="2">
        <f t="shared" si="4"/>
        <v>43270</v>
      </c>
      <c r="W47" s="12">
        <f t="shared" si="5"/>
        <v>43270</v>
      </c>
    </row>
    <row r="48" spans="1:25">
      <c r="A48">
        <f>IF(ISBLANK('Data Input'!A48),"",'Data Input'!A48)</f>
        <v>11</v>
      </c>
      <c r="B48" t="str">
        <f>IF(ISBLANK('Data Input'!B48),"",'Data Input'!B48)</f>
        <v>RB011</v>
      </c>
      <c r="C48" t="str">
        <f>IF(ISBLANK('Data Input'!C48),"",'Data Input'!C48)</f>
        <v>6/18/18 2100</v>
      </c>
      <c r="E48">
        <f>IF(ISBLANK('Data Input'!D48),"",'Data Input'!D48)</f>
        <v>43270</v>
      </c>
      <c r="G48">
        <f>IF(ISBLANK('Data Input'!E48),"",'Data Input'!E48)</f>
        <v>27</v>
      </c>
      <c r="H48" t="str">
        <f>IF(ISBLANK('Data Input'!F48),"",'Data Input'!F48)</f>
        <v>White</v>
      </c>
      <c r="I48" t="str">
        <f>IF(ISBLANK('Data Input'!G48),"",'Data Input'!G48)</f>
        <v>Caesarean</v>
      </c>
      <c r="J48" t="str">
        <f>IF(ISBLANK('Data Input'!I48),"",'Data Input'!I48)</f>
        <v>6/19/18 1651</v>
      </c>
      <c r="K48" t="str">
        <f>IF(ISBLANK('Data Input'!J48),"",'Data Input'!J48)</f>
        <v>tr - Toradol</v>
      </c>
      <c r="L48">
        <f>IF(ISBLANK('Data Input'!K48),"",'Data Input'!K48)</f>
        <v>30</v>
      </c>
      <c r="M48">
        <f>IF(ISBLANK('Data Input'!L48),"",'Data Input'!L48)</f>
        <v>3</v>
      </c>
      <c r="N48">
        <f>IF(ISBLANK('Data Input'!M48),"",'Data Input'!M48)</f>
        <v>1</v>
      </c>
      <c r="O48">
        <f>IF(ISBLANK('Data Input'!N48),"",'Data Input'!N48)</f>
        <v>4</v>
      </c>
      <c r="P48" t="str">
        <f>IF(ISBLANK('Data Input'!O48),"",'Data Input'!O48)</f>
        <v/>
      </c>
      <c r="Q48" t="str">
        <f>IF(ISBLANK('Data Input'!P48),"",'Data Input'!P48)</f>
        <v/>
      </c>
      <c r="R48" t="b">
        <f>IF(ISBLANK('Data Input'!Q48),"",'Data Input'!Q48)</f>
        <v>1</v>
      </c>
      <c r="T48" s="2">
        <f t="shared" si="2"/>
        <v>43269</v>
      </c>
      <c r="U48" s="12">
        <f t="shared" si="3"/>
        <v>0.875</v>
      </c>
      <c r="V48" s="2">
        <f t="shared" si="4"/>
        <v>43270</v>
      </c>
      <c r="W48" s="12">
        <f t="shared" si="5"/>
        <v>43270</v>
      </c>
    </row>
    <row r="49" spans="1:23">
      <c r="A49">
        <f>IF(ISBLANK('Data Input'!A49),"",'Data Input'!A49)</f>
        <v>12</v>
      </c>
      <c r="B49" t="str">
        <f>IF(ISBLANK('Data Input'!B49),"",'Data Input'!B49)</f>
        <v>JL012</v>
      </c>
      <c r="C49" t="str">
        <f>IF(ISBLANK('Data Input'!C49),"",'Data Input'!C49)</f>
        <v>6/16/18 1435</v>
      </c>
      <c r="E49" t="str">
        <f>IF(ISBLANK('Data Input'!D49),"",'Data Input'!D49)</f>
        <v>6/17/18 1345</v>
      </c>
      <c r="G49">
        <f>IF(ISBLANK('Data Input'!E49),"",'Data Input'!E49)</f>
        <v>18</v>
      </c>
      <c r="H49" t="str">
        <f>IF(ISBLANK('Data Input'!F49),"",'Data Input'!F49)</f>
        <v>Black</v>
      </c>
      <c r="I49" t="str">
        <f>IF(ISBLANK('Data Input'!G49),"",'Data Input'!G49)</f>
        <v>Caesarean</v>
      </c>
      <c r="J49" t="str">
        <f>IF(ISBLANK('Data Input'!I49),"",'Data Input'!I49)</f>
        <v>6/16/18 1631</v>
      </c>
      <c r="K49" t="str">
        <f>IF(ISBLANK('Data Input'!J49),"",'Data Input'!J49)</f>
        <v>tr - Toradol</v>
      </c>
      <c r="L49">
        <f>IF(ISBLANK('Data Input'!K49),"",'Data Input'!K49)</f>
        <v>30</v>
      </c>
      <c r="M49">
        <f>IF(ISBLANK('Data Input'!L49),"",'Data Input'!L49)</f>
        <v>5</v>
      </c>
      <c r="N49">
        <f>IF(ISBLANK('Data Input'!M49),"",'Data Input'!M49)</f>
        <v>4</v>
      </c>
      <c r="O49">
        <f>IF(ISBLANK('Data Input'!N49),"",'Data Input'!N49)</f>
        <v>4</v>
      </c>
      <c r="P49" t="str">
        <f>IF(ISBLANK('Data Input'!O49),"",'Data Input'!O49)</f>
        <v/>
      </c>
      <c r="Q49" t="str">
        <f>IF(ISBLANK('Data Input'!P49),"",'Data Input'!P49)</f>
        <v/>
      </c>
      <c r="R49" t="b">
        <f>IF(ISBLANK('Data Input'!Q49),"",'Data Input'!Q49)</f>
        <v>0</v>
      </c>
      <c r="T49" s="2">
        <f t="shared" si="2"/>
        <v>43267</v>
      </c>
      <c r="U49" s="12">
        <f t="shared" si="3"/>
        <v>0.60763888888888895</v>
      </c>
      <c r="V49" s="2">
        <f t="shared" si="4"/>
        <v>43268</v>
      </c>
      <c r="W49" s="12">
        <f t="shared" si="5"/>
        <v>0.57291666666666663</v>
      </c>
    </row>
    <row r="50" spans="1:23">
      <c r="A50">
        <f>IF(ISBLANK('Data Input'!A50),"",'Data Input'!A50)</f>
        <v>12</v>
      </c>
      <c r="B50" t="str">
        <f>IF(ISBLANK('Data Input'!B50),"",'Data Input'!B50)</f>
        <v>JL012</v>
      </c>
      <c r="C50" t="str">
        <f>IF(ISBLANK('Data Input'!C50),"",'Data Input'!C50)</f>
        <v>6/16/18 1435</v>
      </c>
      <c r="E50" t="str">
        <f>IF(ISBLANK('Data Input'!D50),"",'Data Input'!D50)</f>
        <v>6/17/18 1345</v>
      </c>
      <c r="G50">
        <f>IF(ISBLANK('Data Input'!E50),"",'Data Input'!E50)</f>
        <v>18</v>
      </c>
      <c r="H50" t="str">
        <f>IF(ISBLANK('Data Input'!F50),"",'Data Input'!F50)</f>
        <v>Black</v>
      </c>
      <c r="I50" t="str">
        <f>IF(ISBLANK('Data Input'!G50),"",'Data Input'!G50)</f>
        <v>Caesarean</v>
      </c>
      <c r="J50" t="str">
        <f>IF(ISBLANK('Data Input'!I50),"",'Data Input'!I50)</f>
        <v>6/16/18 2252</v>
      </c>
      <c r="K50" t="str">
        <f>IF(ISBLANK('Data Input'!J50),"",'Data Input'!J50)</f>
        <v>tr - Toradol</v>
      </c>
      <c r="L50">
        <f>IF(ISBLANK('Data Input'!K50),"",'Data Input'!K50)</f>
        <v>30</v>
      </c>
      <c r="M50">
        <f>IF(ISBLANK('Data Input'!L50),"",'Data Input'!L50)</f>
        <v>7</v>
      </c>
      <c r="N50">
        <f>IF(ISBLANK('Data Input'!M50),"",'Data Input'!M50)</f>
        <v>5</v>
      </c>
      <c r="O50">
        <f>IF(ISBLANK('Data Input'!N50),"",'Data Input'!N50)</f>
        <v>4</v>
      </c>
      <c r="P50" t="str">
        <f>IF(ISBLANK('Data Input'!O50),"",'Data Input'!O50)</f>
        <v/>
      </c>
      <c r="Q50" t="str">
        <f>IF(ISBLANK('Data Input'!P50),"",'Data Input'!P50)</f>
        <v/>
      </c>
      <c r="R50" t="b">
        <f>IF(ISBLANK('Data Input'!Q50),"",'Data Input'!Q50)</f>
        <v>0</v>
      </c>
      <c r="T50" s="2">
        <f t="shared" si="2"/>
        <v>43267</v>
      </c>
      <c r="U50" s="12">
        <f t="shared" si="3"/>
        <v>0.60763888888888895</v>
      </c>
      <c r="V50" s="2">
        <f t="shared" si="4"/>
        <v>43268</v>
      </c>
      <c r="W50" s="12">
        <f t="shared" si="5"/>
        <v>0.57291666666666663</v>
      </c>
    </row>
    <row r="51" spans="1:23">
      <c r="A51">
        <f>IF(ISBLANK('Data Input'!A51),"",'Data Input'!A51)</f>
        <v>12</v>
      </c>
      <c r="B51" t="str">
        <f>IF(ISBLANK('Data Input'!B51),"",'Data Input'!B51)</f>
        <v>JL012</v>
      </c>
      <c r="C51" t="str">
        <f>IF(ISBLANK('Data Input'!C51),"",'Data Input'!C51)</f>
        <v>6/16/18 1435</v>
      </c>
      <c r="E51" t="str">
        <f>IF(ISBLANK('Data Input'!D51),"",'Data Input'!D51)</f>
        <v>6/17/18 1345</v>
      </c>
      <c r="G51">
        <f>IF(ISBLANK('Data Input'!E51),"",'Data Input'!E51)</f>
        <v>18</v>
      </c>
      <c r="H51" t="str">
        <f>IF(ISBLANK('Data Input'!F51),"",'Data Input'!F51)</f>
        <v>Black</v>
      </c>
      <c r="I51" t="str">
        <f>IF(ISBLANK('Data Input'!G51),"",'Data Input'!G51)</f>
        <v>Caesarean</v>
      </c>
      <c r="J51" t="str">
        <f>IF(ISBLANK('Data Input'!I51),"",'Data Input'!I51)</f>
        <v>6/17/18 0142</v>
      </c>
      <c r="K51" t="str">
        <f>IF(ISBLANK('Data Input'!J51),"",'Data Input'!J51)</f>
        <v>rr - Percocet</v>
      </c>
      <c r="L51">
        <f>IF(ISBLANK('Data Input'!K51),"",'Data Input'!K51)</f>
        <v>2</v>
      </c>
      <c r="M51">
        <f>IF(ISBLANK('Data Input'!L51),"",'Data Input'!L51)</f>
        <v>9</v>
      </c>
      <c r="N51" t="str">
        <f>IF(ISBLANK('Data Input'!M51),"",'Data Input'!M51)</f>
        <v>No F/u</v>
      </c>
      <c r="O51">
        <f>IF(ISBLANK('Data Input'!N51),"",'Data Input'!N51)</f>
        <v>4</v>
      </c>
      <c r="P51" t="str">
        <f>IF(ISBLANK('Data Input'!O51),"",'Data Input'!O51)</f>
        <v/>
      </c>
      <c r="Q51" t="str">
        <f>IF(ISBLANK('Data Input'!P51),"",'Data Input'!P51)</f>
        <v/>
      </c>
      <c r="R51" t="b">
        <f>IF(ISBLANK('Data Input'!Q51),"",'Data Input'!Q51)</f>
        <v>0</v>
      </c>
      <c r="T51" s="2">
        <f t="shared" si="2"/>
        <v>43267</v>
      </c>
      <c r="U51" s="12">
        <f t="shared" si="3"/>
        <v>0.60763888888888895</v>
      </c>
      <c r="V51" s="2">
        <f t="shared" si="4"/>
        <v>43268</v>
      </c>
      <c r="W51" s="12">
        <f t="shared" si="5"/>
        <v>0.57291666666666663</v>
      </c>
    </row>
    <row r="52" spans="1:23">
      <c r="A52">
        <f>IF(ISBLANK('Data Input'!A52),"",'Data Input'!A52)</f>
        <v>12</v>
      </c>
      <c r="B52" t="str">
        <f>IF(ISBLANK('Data Input'!B52),"",'Data Input'!B52)</f>
        <v>JL012</v>
      </c>
      <c r="C52" t="str">
        <f>IF(ISBLANK('Data Input'!C52),"",'Data Input'!C52)</f>
        <v>6/16/18 1435</v>
      </c>
      <c r="E52" t="str">
        <f>IF(ISBLANK('Data Input'!D52),"",'Data Input'!D52)</f>
        <v>6/17/18 1345</v>
      </c>
      <c r="G52">
        <f>IF(ISBLANK('Data Input'!E52),"",'Data Input'!E52)</f>
        <v>18</v>
      </c>
      <c r="H52" t="str">
        <f>IF(ISBLANK('Data Input'!F52),"",'Data Input'!F52)</f>
        <v>Black</v>
      </c>
      <c r="I52" t="str">
        <f>IF(ISBLANK('Data Input'!G52),"",'Data Input'!G52)</f>
        <v>Caesarean</v>
      </c>
      <c r="J52" t="str">
        <f>IF(ISBLANK('Data Input'!I52),"",'Data Input'!I52)</f>
        <v>6/17/18 0621</v>
      </c>
      <c r="K52" t="str">
        <f>IF(ISBLANK('Data Input'!J52),"",'Data Input'!J52)</f>
        <v>tr - Toradol</v>
      </c>
      <c r="L52">
        <f>IF(ISBLANK('Data Input'!K52),"",'Data Input'!K52)</f>
        <v>30</v>
      </c>
      <c r="M52">
        <f>IF(ISBLANK('Data Input'!L52),"",'Data Input'!L52)</f>
        <v>5</v>
      </c>
      <c r="N52">
        <f>IF(ISBLANK('Data Input'!M52),"",'Data Input'!M52)</f>
        <v>3</v>
      </c>
      <c r="O52">
        <f>IF(ISBLANK('Data Input'!N52),"",'Data Input'!N52)</f>
        <v>4</v>
      </c>
      <c r="P52" t="str">
        <f>IF(ISBLANK('Data Input'!O52),"",'Data Input'!O52)</f>
        <v/>
      </c>
      <c r="Q52" t="str">
        <f>IF(ISBLANK('Data Input'!P52),"",'Data Input'!P52)</f>
        <v/>
      </c>
      <c r="R52" t="b">
        <f>IF(ISBLANK('Data Input'!Q52),"",'Data Input'!Q52)</f>
        <v>0</v>
      </c>
      <c r="T52" s="2">
        <f t="shared" si="2"/>
        <v>43267</v>
      </c>
      <c r="U52" s="12">
        <f t="shared" si="3"/>
        <v>0.60763888888888895</v>
      </c>
      <c r="V52" s="2">
        <f t="shared" si="4"/>
        <v>43268</v>
      </c>
      <c r="W52" s="12">
        <f t="shared" si="5"/>
        <v>0.57291666666666663</v>
      </c>
    </row>
    <row r="53" spans="1:23">
      <c r="A53">
        <f>IF(ISBLANK('Data Input'!A53),"",'Data Input'!A53)</f>
        <v>12</v>
      </c>
      <c r="B53" t="str">
        <f>IF(ISBLANK('Data Input'!B53),"",'Data Input'!B53)</f>
        <v>JL012</v>
      </c>
      <c r="C53" t="str">
        <f>IF(ISBLANK('Data Input'!C53),"",'Data Input'!C53)</f>
        <v>6/16/18 1435</v>
      </c>
      <c r="E53" t="str">
        <f>IF(ISBLANK('Data Input'!D53),"",'Data Input'!D53)</f>
        <v>6/17/18 1345</v>
      </c>
      <c r="G53">
        <f>IF(ISBLANK('Data Input'!E53),"",'Data Input'!E53)</f>
        <v>18</v>
      </c>
      <c r="H53" t="str">
        <f>IF(ISBLANK('Data Input'!F53),"",'Data Input'!F53)</f>
        <v>Black</v>
      </c>
      <c r="I53" t="str">
        <f>IF(ISBLANK('Data Input'!G53),"",'Data Input'!G53)</f>
        <v>Caesarean</v>
      </c>
      <c r="J53" t="str">
        <f>IF(ISBLANK('Data Input'!I53),"",'Data Input'!I53)</f>
        <v>06/17/18 0814</v>
      </c>
      <c r="K53" t="str">
        <f>IF(ISBLANK('Data Input'!J53),"",'Data Input'!J53)</f>
        <v>rr - Percocet</v>
      </c>
      <c r="L53">
        <f>IF(ISBLANK('Data Input'!K53),"",'Data Input'!K53)</f>
        <v>1</v>
      </c>
      <c r="M53">
        <f>IF(ISBLANK('Data Input'!L53),"",'Data Input'!L53)</f>
        <v>3</v>
      </c>
      <c r="N53">
        <f>IF(ISBLANK('Data Input'!M53),"",'Data Input'!M53)</f>
        <v>2</v>
      </c>
      <c r="O53">
        <f>IF(ISBLANK('Data Input'!N53),"",'Data Input'!N53)</f>
        <v>4</v>
      </c>
      <c r="P53" t="str">
        <f>IF(ISBLANK('Data Input'!O53),"",'Data Input'!O53)</f>
        <v/>
      </c>
      <c r="Q53" t="str">
        <f>IF(ISBLANK('Data Input'!P53),"",'Data Input'!P53)</f>
        <v/>
      </c>
      <c r="R53" t="b">
        <f>IF(ISBLANK('Data Input'!Q53),"",'Data Input'!Q53)</f>
        <v>0</v>
      </c>
      <c r="T53" s="2">
        <f t="shared" si="2"/>
        <v>43267</v>
      </c>
      <c r="U53" s="12">
        <f t="shared" si="3"/>
        <v>0.60763888888888895</v>
      </c>
      <c r="V53" s="2">
        <f t="shared" si="4"/>
        <v>43268</v>
      </c>
      <c r="W53" s="12">
        <f t="shared" si="5"/>
        <v>0.57291666666666663</v>
      </c>
    </row>
    <row r="54" spans="1:23">
      <c r="A54">
        <f>IF(ISBLANK('Data Input'!A54),"",'Data Input'!A54)</f>
        <v>12</v>
      </c>
      <c r="B54" t="str">
        <f>IF(ISBLANK('Data Input'!B54),"",'Data Input'!B54)</f>
        <v>JL012</v>
      </c>
      <c r="C54" t="str">
        <f>IF(ISBLANK('Data Input'!C54),"",'Data Input'!C54)</f>
        <v>6/16/18 1435</v>
      </c>
      <c r="E54" t="str">
        <f>IF(ISBLANK('Data Input'!D54),"",'Data Input'!D54)</f>
        <v>6/17/18 1345</v>
      </c>
      <c r="G54">
        <f>IF(ISBLANK('Data Input'!E54),"",'Data Input'!E54)</f>
        <v>18</v>
      </c>
      <c r="H54" t="str">
        <f>IF(ISBLANK('Data Input'!F54),"",'Data Input'!F54)</f>
        <v>Black</v>
      </c>
      <c r="I54" t="str">
        <f>IF(ISBLANK('Data Input'!G54),"",'Data Input'!G54)</f>
        <v>Caesarean</v>
      </c>
      <c r="J54" t="str">
        <f>IF(ISBLANK('Data Input'!I54),"",'Data Input'!I54)</f>
        <v>6=17=18 1144</v>
      </c>
      <c r="K54" t="str">
        <f>IF(ISBLANK('Data Input'!J54),"",'Data Input'!J54)</f>
        <v>tr - Toradol</v>
      </c>
      <c r="L54">
        <f>IF(ISBLANK('Data Input'!K54),"",'Data Input'!K54)</f>
        <v>30</v>
      </c>
      <c r="M54">
        <f>IF(ISBLANK('Data Input'!L54),"",'Data Input'!L54)</f>
        <v>3</v>
      </c>
      <c r="N54">
        <f>IF(ISBLANK('Data Input'!M54),"",'Data Input'!M54)</f>
        <v>2</v>
      </c>
      <c r="O54">
        <f>IF(ISBLANK('Data Input'!N54),"",'Data Input'!N54)</f>
        <v>4</v>
      </c>
      <c r="P54" t="str">
        <f>IF(ISBLANK('Data Input'!O54),"",'Data Input'!O54)</f>
        <v/>
      </c>
      <c r="Q54" t="str">
        <f>IF(ISBLANK('Data Input'!P54),"",'Data Input'!P54)</f>
        <v/>
      </c>
      <c r="R54" t="b">
        <f>IF(ISBLANK('Data Input'!Q54),"",'Data Input'!Q54)</f>
        <v>0</v>
      </c>
      <c r="T54" s="2">
        <f t="shared" si="2"/>
        <v>43267</v>
      </c>
      <c r="U54" s="12">
        <f t="shared" si="3"/>
        <v>0.60763888888888895</v>
      </c>
      <c r="V54" s="2">
        <f t="shared" si="4"/>
        <v>43268</v>
      </c>
      <c r="W54" s="12">
        <f t="shared" si="5"/>
        <v>0.57291666666666663</v>
      </c>
    </row>
    <row r="55" spans="1:23">
      <c r="A55">
        <f>IF(ISBLANK('Data Input'!A55),"",'Data Input'!A55)</f>
        <v>12</v>
      </c>
      <c r="B55" t="str">
        <f>IF(ISBLANK('Data Input'!B55),"",'Data Input'!B55)</f>
        <v>JL012</v>
      </c>
      <c r="C55" t="str">
        <f>IF(ISBLANK('Data Input'!C55),"",'Data Input'!C55)</f>
        <v>6/16/18 1435</v>
      </c>
      <c r="E55" t="str">
        <f>IF(ISBLANK('Data Input'!D55),"",'Data Input'!D55)</f>
        <v>6/17/18 1345</v>
      </c>
      <c r="G55">
        <f>IF(ISBLANK('Data Input'!E55),"",'Data Input'!E55)</f>
        <v>18</v>
      </c>
      <c r="H55" t="str">
        <f>IF(ISBLANK('Data Input'!F55),"",'Data Input'!F55)</f>
        <v>Black</v>
      </c>
      <c r="I55" t="str">
        <f>IF(ISBLANK('Data Input'!G55),"",'Data Input'!G55)</f>
        <v>Caesarean</v>
      </c>
      <c r="J55" t="str">
        <f>IF(ISBLANK('Data Input'!I55),"",'Data Input'!I55)</f>
        <v>6=17=18 1345</v>
      </c>
      <c r="K55" t="str">
        <f>IF(ISBLANK('Data Input'!J55),"",'Data Input'!J55)</f>
        <v>rr - Percocet</v>
      </c>
      <c r="L55">
        <f>IF(ISBLANK('Data Input'!K55),"",'Data Input'!K55)</f>
        <v>1</v>
      </c>
      <c r="M55">
        <f>IF(ISBLANK('Data Input'!L55),"",'Data Input'!L55)</f>
        <v>4</v>
      </c>
      <c r="N55">
        <f>IF(ISBLANK('Data Input'!M55),"",'Data Input'!M55)</f>
        <v>3</v>
      </c>
      <c r="O55">
        <f>IF(ISBLANK('Data Input'!N55),"",'Data Input'!N55)</f>
        <v>4</v>
      </c>
      <c r="P55" t="str">
        <f>IF(ISBLANK('Data Input'!O55),"",'Data Input'!O55)</f>
        <v/>
      </c>
      <c r="Q55" t="str">
        <f>IF(ISBLANK('Data Input'!P55),"",'Data Input'!P55)</f>
        <v/>
      </c>
      <c r="R55" t="b">
        <f>IF(ISBLANK('Data Input'!Q55),"",'Data Input'!Q55)</f>
        <v>0</v>
      </c>
      <c r="T55" s="2">
        <f t="shared" si="2"/>
        <v>43267</v>
      </c>
      <c r="U55" s="12">
        <f t="shared" si="3"/>
        <v>0.60763888888888895</v>
      </c>
      <c r="V55" s="2">
        <f t="shared" si="4"/>
        <v>43268</v>
      </c>
      <c r="W55" s="12">
        <f t="shared" si="5"/>
        <v>0.57291666666666663</v>
      </c>
    </row>
    <row r="56" spans="1:23">
      <c r="A56">
        <f>IF(ISBLANK('Data Input'!A56),"",'Data Input'!A56)</f>
        <v>13</v>
      </c>
      <c r="B56" t="str">
        <f>IF(ISBLANK('Data Input'!B56),"",'Data Input'!B56)</f>
        <v>BC013</v>
      </c>
      <c r="C56" t="str">
        <f>IF(ISBLANK('Data Input'!C56),"",'Data Input'!C56)</f>
        <v>6/17/18 0140</v>
      </c>
      <c r="E56" t="str">
        <f>IF(ISBLANK('Data Input'!D56),"",'Data Input'!D56)</f>
        <v>06/18/18 0100</v>
      </c>
      <c r="G56">
        <f>IF(ISBLANK('Data Input'!E56),"",'Data Input'!E56)</f>
        <v>33</v>
      </c>
      <c r="H56" t="str">
        <f>IF(ISBLANK('Data Input'!F56),"",'Data Input'!F56)</f>
        <v>White</v>
      </c>
      <c r="I56" t="str">
        <f>IF(ISBLANK('Data Input'!G56),"",'Data Input'!G56)</f>
        <v>SVD</v>
      </c>
      <c r="J56" t="str">
        <f>IF(ISBLANK('Data Input'!I56),"",'Data Input'!I56)</f>
        <v>6/17/18 0829</v>
      </c>
      <c r="K56" t="str">
        <f>IF(ISBLANK('Data Input'!J56),"",'Data Input'!J56)</f>
        <v>rr - Percocet</v>
      </c>
      <c r="L56">
        <f>IF(ISBLANK('Data Input'!K56),"",'Data Input'!K56)</f>
        <v>1</v>
      </c>
      <c r="M56">
        <f>IF(ISBLANK('Data Input'!L56),"",'Data Input'!L56)</f>
        <v>6</v>
      </c>
      <c r="N56">
        <f>IF(ISBLANK('Data Input'!M56),"",'Data Input'!M56)</f>
        <v>2</v>
      </c>
      <c r="O56" t="str">
        <f>IF(ISBLANK('Data Input'!N56),"",'Data Input'!N56)</f>
        <v/>
      </c>
      <c r="P56" t="str">
        <f>IF(ISBLANK('Data Input'!O56),"",'Data Input'!O56)</f>
        <v/>
      </c>
      <c r="Q56" t="str">
        <f>IF(ISBLANK('Data Input'!P56),"",'Data Input'!P56)</f>
        <v/>
      </c>
      <c r="R56" t="b">
        <f>IF(ISBLANK('Data Input'!Q56),"",'Data Input'!Q56)</f>
        <v>1</v>
      </c>
      <c r="T56" s="2">
        <f t="shared" si="2"/>
        <v>43268</v>
      </c>
      <c r="U56" s="12">
        <f t="shared" si="3"/>
        <v>6.9444444444444434E-2</v>
      </c>
      <c r="V56" s="2">
        <f t="shared" si="4"/>
        <v>43269</v>
      </c>
      <c r="W56" s="12">
        <f t="shared" si="5"/>
        <v>4.1666666666666664E-2</v>
      </c>
    </row>
    <row r="57" spans="1:23">
      <c r="A57">
        <f>IF(ISBLANK('Data Input'!A57),"",'Data Input'!A57)</f>
        <v>13</v>
      </c>
      <c r="B57" t="str">
        <f>IF(ISBLANK('Data Input'!B57),"",'Data Input'!B57)</f>
        <v>BC013</v>
      </c>
      <c r="C57" t="str">
        <f>IF(ISBLANK('Data Input'!C57),"",'Data Input'!C57)</f>
        <v>6/17/18 0140</v>
      </c>
      <c r="E57" t="str">
        <f>IF(ISBLANK('Data Input'!D57),"",'Data Input'!D57)</f>
        <v>06/18/18 0100</v>
      </c>
      <c r="G57">
        <f>IF(ISBLANK('Data Input'!E57),"",'Data Input'!E57)</f>
        <v>33</v>
      </c>
      <c r="H57" t="str">
        <f>IF(ISBLANK('Data Input'!F57),"",'Data Input'!F57)</f>
        <v>White</v>
      </c>
      <c r="I57" t="str">
        <f>IF(ISBLANK('Data Input'!G57),"",'Data Input'!G57)</f>
        <v>SVD</v>
      </c>
      <c r="J57" t="str">
        <f>IF(ISBLANK('Data Input'!I57),"",'Data Input'!I57)</f>
        <v>6/17/18 1201</v>
      </c>
      <c r="K57" t="str">
        <f>IF(ISBLANK('Data Input'!J57),"",'Data Input'!J57)</f>
        <v>bb - Ibuprofen</v>
      </c>
      <c r="L57">
        <f>IF(ISBLANK('Data Input'!K57),"",'Data Input'!K57)</f>
        <v>800</v>
      </c>
      <c r="M57">
        <f>IF(ISBLANK('Data Input'!L57),"",'Data Input'!L57)</f>
        <v>6</v>
      </c>
      <c r="N57">
        <f>IF(ISBLANK('Data Input'!M57),"",'Data Input'!M57)</f>
        <v>2</v>
      </c>
      <c r="O57" t="str">
        <f>IF(ISBLANK('Data Input'!N57),"",'Data Input'!N57)</f>
        <v/>
      </c>
      <c r="P57" t="str">
        <f>IF(ISBLANK('Data Input'!O57),"",'Data Input'!O57)</f>
        <v/>
      </c>
      <c r="Q57" t="str">
        <f>IF(ISBLANK('Data Input'!P57),"",'Data Input'!P57)</f>
        <v/>
      </c>
      <c r="R57" t="b">
        <f>IF(ISBLANK('Data Input'!Q57),"",'Data Input'!Q57)</f>
        <v>1</v>
      </c>
      <c r="T57" s="2">
        <f t="shared" si="2"/>
        <v>43268</v>
      </c>
      <c r="U57" s="12">
        <f t="shared" si="3"/>
        <v>6.9444444444444434E-2</v>
      </c>
      <c r="V57" s="2">
        <f t="shared" si="4"/>
        <v>43269</v>
      </c>
      <c r="W57" s="12">
        <f t="shared" si="5"/>
        <v>4.1666666666666664E-2</v>
      </c>
    </row>
    <row r="58" spans="1:23">
      <c r="A58">
        <f>IF(ISBLANK('Data Input'!A58),"",'Data Input'!A58)</f>
        <v>13</v>
      </c>
      <c r="B58" t="str">
        <f>IF(ISBLANK('Data Input'!B58),"",'Data Input'!B58)</f>
        <v>BC013</v>
      </c>
      <c r="C58" t="str">
        <f>IF(ISBLANK('Data Input'!C58),"",'Data Input'!C58)</f>
        <v>6/17/18 0140</v>
      </c>
      <c r="E58" t="str">
        <f>IF(ISBLANK('Data Input'!D58),"",'Data Input'!D58)</f>
        <v>06/18/18 0100</v>
      </c>
      <c r="G58">
        <f>IF(ISBLANK('Data Input'!E58),"",'Data Input'!E58)</f>
        <v>33</v>
      </c>
      <c r="H58" t="str">
        <f>IF(ISBLANK('Data Input'!F58),"",'Data Input'!F58)</f>
        <v>White</v>
      </c>
      <c r="I58" t="str">
        <f>IF(ISBLANK('Data Input'!G58),"",'Data Input'!G58)</f>
        <v>SVD</v>
      </c>
      <c r="J58" t="str">
        <f>IF(ISBLANK('Data Input'!I58),"",'Data Input'!I58)</f>
        <v>6/17/18 1414</v>
      </c>
      <c r="K58" t="str">
        <f>IF(ISBLANK('Data Input'!J58),"",'Data Input'!J58)</f>
        <v>rr - Percocet</v>
      </c>
      <c r="L58">
        <f>IF(ISBLANK('Data Input'!K58),"",'Data Input'!K58)</f>
        <v>1</v>
      </c>
      <c r="M58">
        <f>IF(ISBLANK('Data Input'!L58),"",'Data Input'!L58)</f>
        <v>5</v>
      </c>
      <c r="N58">
        <f>IF(ISBLANK('Data Input'!M58),"",'Data Input'!M58)</f>
        <v>3</v>
      </c>
      <c r="O58" t="str">
        <f>IF(ISBLANK('Data Input'!N58),"",'Data Input'!N58)</f>
        <v/>
      </c>
      <c r="P58" t="str">
        <f>IF(ISBLANK('Data Input'!O58),"",'Data Input'!O58)</f>
        <v/>
      </c>
      <c r="Q58" t="str">
        <f>IF(ISBLANK('Data Input'!P58),"",'Data Input'!P58)</f>
        <v/>
      </c>
      <c r="R58" t="b">
        <f>IF(ISBLANK('Data Input'!Q58),"",'Data Input'!Q58)</f>
        <v>1</v>
      </c>
      <c r="T58" s="2">
        <f t="shared" si="2"/>
        <v>43268</v>
      </c>
      <c r="U58" s="12">
        <f t="shared" si="3"/>
        <v>6.9444444444444434E-2</v>
      </c>
      <c r="V58" s="2">
        <f t="shared" si="4"/>
        <v>43269</v>
      </c>
      <c r="W58" s="12">
        <f t="shared" si="5"/>
        <v>4.1666666666666664E-2</v>
      </c>
    </row>
    <row r="59" spans="1:23">
      <c r="A59">
        <f>IF(ISBLANK('Data Input'!A59),"",'Data Input'!A59)</f>
        <v>13</v>
      </c>
      <c r="B59" t="str">
        <f>IF(ISBLANK('Data Input'!B59),"",'Data Input'!B59)</f>
        <v>BC013</v>
      </c>
      <c r="C59" t="str">
        <f>IF(ISBLANK('Data Input'!C59),"",'Data Input'!C59)</f>
        <v>6/17/18 0140</v>
      </c>
      <c r="E59" t="str">
        <f>IF(ISBLANK('Data Input'!D59),"",'Data Input'!D59)</f>
        <v>06/18/18 0100</v>
      </c>
      <c r="G59">
        <f>IF(ISBLANK('Data Input'!E59),"",'Data Input'!E59)</f>
        <v>33</v>
      </c>
      <c r="H59" t="str">
        <f>IF(ISBLANK('Data Input'!F59),"",'Data Input'!F59)</f>
        <v>White</v>
      </c>
      <c r="I59" t="str">
        <f>IF(ISBLANK('Data Input'!G59),"",'Data Input'!G59)</f>
        <v>SVD</v>
      </c>
      <c r="J59" t="str">
        <f>IF(ISBLANK('Data Input'!I59),"",'Data Input'!I59)</f>
        <v>6/17/18 1610</v>
      </c>
      <c r="K59" t="str">
        <f>IF(ISBLANK('Data Input'!J59),"",'Data Input'!J59)</f>
        <v>bb - Ibuprofen</v>
      </c>
      <c r="L59">
        <f>IF(ISBLANK('Data Input'!K59),"",'Data Input'!K59)</f>
        <v>800</v>
      </c>
      <c r="M59">
        <f>IF(ISBLANK('Data Input'!L59),"",'Data Input'!L59)</f>
        <v>6</v>
      </c>
      <c r="N59">
        <f>IF(ISBLANK('Data Input'!M59),"",'Data Input'!M59)</f>
        <v>2</v>
      </c>
      <c r="O59" t="str">
        <f>IF(ISBLANK('Data Input'!N59),"",'Data Input'!N59)</f>
        <v/>
      </c>
      <c r="P59" t="str">
        <f>IF(ISBLANK('Data Input'!O59),"",'Data Input'!O59)</f>
        <v/>
      </c>
      <c r="Q59" t="str">
        <f>IF(ISBLANK('Data Input'!P59),"",'Data Input'!P59)</f>
        <v/>
      </c>
      <c r="R59" t="b">
        <f>IF(ISBLANK('Data Input'!Q59),"",'Data Input'!Q59)</f>
        <v>1</v>
      </c>
      <c r="T59" s="2">
        <f t="shared" si="2"/>
        <v>43268</v>
      </c>
      <c r="U59" s="12">
        <f t="shared" si="3"/>
        <v>6.9444444444444434E-2</v>
      </c>
      <c r="V59" s="2">
        <f t="shared" si="4"/>
        <v>43269</v>
      </c>
      <c r="W59" s="12">
        <f t="shared" si="5"/>
        <v>4.1666666666666664E-2</v>
      </c>
    </row>
    <row r="60" spans="1:23">
      <c r="A60">
        <f>IF(ISBLANK('Data Input'!A60),"",'Data Input'!A60)</f>
        <v>13</v>
      </c>
      <c r="B60" t="str">
        <f>IF(ISBLANK('Data Input'!B60),"",'Data Input'!B60)</f>
        <v>BC013</v>
      </c>
      <c r="C60" t="str">
        <f>IF(ISBLANK('Data Input'!C60),"",'Data Input'!C60)</f>
        <v>6/17/18 0140</v>
      </c>
      <c r="E60" t="str">
        <f>IF(ISBLANK('Data Input'!D60),"",'Data Input'!D60)</f>
        <v>06/18/18 0100</v>
      </c>
      <c r="G60">
        <f>IF(ISBLANK('Data Input'!E60),"",'Data Input'!E60)</f>
        <v>33</v>
      </c>
      <c r="H60" t="str">
        <f>IF(ISBLANK('Data Input'!F60),"",'Data Input'!F60)</f>
        <v>White</v>
      </c>
      <c r="I60" t="str">
        <f>IF(ISBLANK('Data Input'!G60),"",'Data Input'!G60)</f>
        <v>SVD</v>
      </c>
      <c r="J60" t="str">
        <f>IF(ISBLANK('Data Input'!I60),"",'Data Input'!I60)</f>
        <v>6/17/18 1610</v>
      </c>
      <c r="K60" t="str">
        <f>IF(ISBLANK('Data Input'!J60),"",'Data Input'!J60)</f>
        <v>rr - Percocet</v>
      </c>
      <c r="L60">
        <f>IF(ISBLANK('Data Input'!K60),"",'Data Input'!K60)</f>
        <v>1</v>
      </c>
      <c r="M60">
        <f>IF(ISBLANK('Data Input'!L60),"",'Data Input'!L60)</f>
        <v>4</v>
      </c>
      <c r="N60">
        <f>IF(ISBLANK('Data Input'!M60),"",'Data Input'!M60)</f>
        <v>2</v>
      </c>
      <c r="O60" t="str">
        <f>IF(ISBLANK('Data Input'!N60),"",'Data Input'!N60)</f>
        <v/>
      </c>
      <c r="P60" t="str">
        <f>IF(ISBLANK('Data Input'!O60),"",'Data Input'!O60)</f>
        <v/>
      </c>
      <c r="Q60" t="str">
        <f>IF(ISBLANK('Data Input'!P60),"",'Data Input'!P60)</f>
        <v/>
      </c>
      <c r="R60" t="b">
        <f>IF(ISBLANK('Data Input'!Q60),"",'Data Input'!Q60)</f>
        <v>1</v>
      </c>
      <c r="T60" s="2">
        <f t="shared" si="2"/>
        <v>43268</v>
      </c>
      <c r="U60" s="12">
        <f t="shared" si="3"/>
        <v>6.9444444444444434E-2</v>
      </c>
      <c r="V60" s="2">
        <f t="shared" si="4"/>
        <v>43269</v>
      </c>
      <c r="W60" s="12">
        <f t="shared" si="5"/>
        <v>4.1666666666666664E-2</v>
      </c>
    </row>
    <row r="61" spans="1:23">
      <c r="A61">
        <f>IF(ISBLANK('Data Input'!A61),"",'Data Input'!A61)</f>
        <v>13</v>
      </c>
      <c r="B61" t="str">
        <f>IF(ISBLANK('Data Input'!B61),"",'Data Input'!B61)</f>
        <v>BC013</v>
      </c>
      <c r="C61" t="str">
        <f>IF(ISBLANK('Data Input'!C61),"",'Data Input'!C61)</f>
        <v>6/17/18 0140</v>
      </c>
      <c r="E61" t="str">
        <f>IF(ISBLANK('Data Input'!D61),"",'Data Input'!D61)</f>
        <v>06/18/18 0100</v>
      </c>
      <c r="G61">
        <f>IF(ISBLANK('Data Input'!E61),"",'Data Input'!E61)</f>
        <v>33</v>
      </c>
      <c r="H61" t="str">
        <f>IF(ISBLANK('Data Input'!F61),"",'Data Input'!F61)</f>
        <v>White</v>
      </c>
      <c r="I61" t="str">
        <f>IF(ISBLANK('Data Input'!G61),"",'Data Input'!G61)</f>
        <v>SVD</v>
      </c>
      <c r="J61" t="str">
        <f>IF(ISBLANK('Data Input'!I61),"",'Data Input'!I61)</f>
        <v>6/17/18 1610</v>
      </c>
      <c r="K61" t="str">
        <f>IF(ISBLANK('Data Input'!J61),"",'Data Input'!J61)</f>
        <v>bb - Ibuprofen</v>
      </c>
      <c r="L61">
        <f>IF(ISBLANK('Data Input'!K61),"",'Data Input'!K61)</f>
        <v>800</v>
      </c>
      <c r="M61">
        <f>IF(ISBLANK('Data Input'!L61),"",'Data Input'!L61)</f>
        <v>6</v>
      </c>
      <c r="N61">
        <f>IF(ISBLANK('Data Input'!M61),"",'Data Input'!M61)</f>
        <v>3</v>
      </c>
      <c r="O61" t="str">
        <f>IF(ISBLANK('Data Input'!N61),"",'Data Input'!N61)</f>
        <v/>
      </c>
      <c r="P61" t="str">
        <f>IF(ISBLANK('Data Input'!O61),"",'Data Input'!O61)</f>
        <v/>
      </c>
      <c r="Q61" t="str">
        <f>IF(ISBLANK('Data Input'!P61),"",'Data Input'!P61)</f>
        <v/>
      </c>
      <c r="R61" t="b">
        <f>IF(ISBLANK('Data Input'!Q61),"",'Data Input'!Q61)</f>
        <v>1</v>
      </c>
      <c r="T61" s="2">
        <f t="shared" si="2"/>
        <v>43268</v>
      </c>
      <c r="U61" s="12">
        <f t="shared" si="3"/>
        <v>6.9444444444444434E-2</v>
      </c>
      <c r="V61" s="2">
        <f t="shared" si="4"/>
        <v>43269</v>
      </c>
      <c r="W61" s="12">
        <f t="shared" si="5"/>
        <v>4.1666666666666664E-2</v>
      </c>
    </row>
    <row r="62" spans="1:23">
      <c r="A62">
        <f>IF(ISBLANK('Data Input'!A62),"",'Data Input'!A62)</f>
        <v>13</v>
      </c>
      <c r="B62" t="str">
        <f>IF(ISBLANK('Data Input'!B62),"",'Data Input'!B62)</f>
        <v>BC013</v>
      </c>
      <c r="C62" t="str">
        <f>IF(ISBLANK('Data Input'!C62),"",'Data Input'!C62)</f>
        <v>6/17/18 0140</v>
      </c>
      <c r="E62" t="str">
        <f>IF(ISBLANK('Data Input'!D62),"",'Data Input'!D62)</f>
        <v>06/18/18 0100</v>
      </c>
      <c r="G62">
        <f>IF(ISBLANK('Data Input'!E62),"",'Data Input'!E62)</f>
        <v>33</v>
      </c>
      <c r="H62" t="str">
        <f>IF(ISBLANK('Data Input'!F62),"",'Data Input'!F62)</f>
        <v>White</v>
      </c>
      <c r="I62" t="str">
        <f>IF(ISBLANK('Data Input'!G62),"",'Data Input'!G62)</f>
        <v>SVD</v>
      </c>
      <c r="J62" t="str">
        <f>IF(ISBLANK('Data Input'!I62),"",'Data Input'!I62)</f>
        <v>6/17/18 1610</v>
      </c>
      <c r="K62" t="str">
        <f>IF(ISBLANK('Data Input'!J62),"",'Data Input'!J62)</f>
        <v>rr - Percocet</v>
      </c>
      <c r="L62">
        <f>IF(ISBLANK('Data Input'!K62),"",'Data Input'!K62)</f>
        <v>1</v>
      </c>
      <c r="M62">
        <f>IF(ISBLANK('Data Input'!L62),"",'Data Input'!L62)</f>
        <v>6</v>
      </c>
      <c r="N62">
        <f>IF(ISBLANK('Data Input'!M62),"",'Data Input'!M62)</f>
        <v>3</v>
      </c>
      <c r="O62" t="str">
        <f>IF(ISBLANK('Data Input'!N62),"",'Data Input'!N62)</f>
        <v/>
      </c>
      <c r="P62" t="str">
        <f>IF(ISBLANK('Data Input'!O62),"",'Data Input'!O62)</f>
        <v/>
      </c>
      <c r="Q62" t="str">
        <f>IF(ISBLANK('Data Input'!P62),"",'Data Input'!P62)</f>
        <v/>
      </c>
      <c r="R62" t="b">
        <f>IF(ISBLANK('Data Input'!Q62),"",'Data Input'!Q62)</f>
        <v>1</v>
      </c>
      <c r="T62" s="2">
        <f t="shared" si="2"/>
        <v>43268</v>
      </c>
      <c r="U62" s="12">
        <f t="shared" si="3"/>
        <v>6.9444444444444434E-2</v>
      </c>
      <c r="V62" s="2">
        <f t="shared" si="4"/>
        <v>43269</v>
      </c>
      <c r="W62" s="12">
        <f t="shared" si="5"/>
        <v>4.1666666666666664E-2</v>
      </c>
    </row>
    <row r="63" spans="1:23">
      <c r="A63">
        <f>IF(ISBLANK('Data Input'!A63),"",'Data Input'!A63)</f>
        <v>13</v>
      </c>
      <c r="B63" t="str">
        <f>IF(ISBLANK('Data Input'!B63),"",'Data Input'!B63)</f>
        <v>BC013</v>
      </c>
      <c r="C63" t="str">
        <f>IF(ISBLANK('Data Input'!C63),"",'Data Input'!C63)</f>
        <v>6/17/18 0140</v>
      </c>
      <c r="E63" t="str">
        <f>IF(ISBLANK('Data Input'!D63),"",'Data Input'!D63)</f>
        <v>06/18/18 0100</v>
      </c>
      <c r="G63">
        <f>IF(ISBLANK('Data Input'!E63),"",'Data Input'!E63)</f>
        <v>33</v>
      </c>
      <c r="H63" t="str">
        <f>IF(ISBLANK('Data Input'!F63),"",'Data Input'!F63)</f>
        <v>White</v>
      </c>
      <c r="I63" t="str">
        <f>IF(ISBLANK('Data Input'!G63),"",'Data Input'!G63)</f>
        <v>SVD</v>
      </c>
      <c r="J63" t="str">
        <f>IF(ISBLANK('Data Input'!I63),"",'Data Input'!I63)</f>
        <v>6/17/18 1610</v>
      </c>
      <c r="K63" t="str">
        <f>IF(ISBLANK('Data Input'!J63),"",'Data Input'!J63)</f>
        <v>rr - Percocet</v>
      </c>
      <c r="L63">
        <f>IF(ISBLANK('Data Input'!K63),"",'Data Input'!K63)</f>
        <v>1</v>
      </c>
      <c r="M63">
        <f>IF(ISBLANK('Data Input'!L63),"",'Data Input'!L63)</f>
        <v>5</v>
      </c>
      <c r="N63">
        <f>IF(ISBLANK('Data Input'!M63),"",'Data Input'!M63)</f>
        <v>3</v>
      </c>
      <c r="O63" t="str">
        <f>IF(ISBLANK('Data Input'!N63),"",'Data Input'!N63)</f>
        <v/>
      </c>
      <c r="P63" t="str">
        <f>IF(ISBLANK('Data Input'!O63),"",'Data Input'!O63)</f>
        <v/>
      </c>
      <c r="Q63" t="str">
        <f>IF(ISBLANK('Data Input'!P63),"",'Data Input'!P63)</f>
        <v/>
      </c>
      <c r="R63" t="b">
        <f>IF(ISBLANK('Data Input'!Q63),"",'Data Input'!Q63)</f>
        <v>1</v>
      </c>
      <c r="T63" s="2">
        <f t="shared" si="2"/>
        <v>43268</v>
      </c>
      <c r="U63" s="12">
        <f t="shared" si="3"/>
        <v>6.9444444444444434E-2</v>
      </c>
      <c r="V63" s="2">
        <f t="shared" si="4"/>
        <v>43269</v>
      </c>
      <c r="W63" s="12">
        <f t="shared" si="5"/>
        <v>4.1666666666666664E-2</v>
      </c>
    </row>
    <row r="64" spans="1:23">
      <c r="A64">
        <f>IF(ISBLANK('Data Input'!A64),"",'Data Input'!A64)</f>
        <v>14</v>
      </c>
      <c r="B64" t="str">
        <f>IF(ISBLANK('Data Input'!B64),"",'Data Input'!B64)</f>
        <v>AV014</v>
      </c>
      <c r="C64" t="str">
        <f>IF(ISBLANK('Data Input'!C64),"",'Data Input'!C64)</f>
        <v>6/17/18 1524</v>
      </c>
      <c r="E64" t="str">
        <f>IF(ISBLANK('Data Input'!D64),"",'Data Input'!D64)</f>
        <v>6/18/18 1524</v>
      </c>
      <c r="G64">
        <f>IF(ISBLANK('Data Input'!E64),"",'Data Input'!E64)</f>
        <v>28</v>
      </c>
      <c r="H64" t="str">
        <f>IF(ISBLANK('Data Input'!F64),"",'Data Input'!F64)</f>
        <v>Hispanic</v>
      </c>
      <c r="I64" t="str">
        <f>IF(ISBLANK('Data Input'!G64),"",'Data Input'!G64)</f>
        <v>SVD</v>
      </c>
      <c r="J64" t="str">
        <f>IF(ISBLANK('Data Input'!I64),"",'Data Input'!I64)</f>
        <v>NA</v>
      </c>
      <c r="K64" t="str">
        <f>IF(ISBLANK('Data Input'!J64),"",'Data Input'!J64)</f>
        <v>NA</v>
      </c>
      <c r="L64" t="str">
        <f>IF(ISBLANK('Data Input'!K64),"",'Data Input'!K64)</f>
        <v>NA</v>
      </c>
      <c r="M64" t="str">
        <f>IF(ISBLANK('Data Input'!L64),"",'Data Input'!L64)</f>
        <v>NA</v>
      </c>
      <c r="N64" t="str">
        <f>IF(ISBLANK('Data Input'!M64),"",'Data Input'!M64)</f>
        <v>NA</v>
      </c>
      <c r="O64" t="str">
        <f>IF(ISBLANK('Data Input'!N64),"",'Data Input'!N64)</f>
        <v>NA</v>
      </c>
      <c r="P64" t="str">
        <f>IF(ISBLANK('Data Input'!O64),"",'Data Input'!O64)</f>
        <v/>
      </c>
      <c r="Q64" t="str">
        <f>IF(ISBLANK('Data Input'!P64),"",'Data Input'!P64)</f>
        <v>Received no pain medications</v>
      </c>
      <c r="R64" t="b">
        <f>IF(ISBLANK('Data Input'!Q64),"",'Data Input'!Q64)</f>
        <v>0</v>
      </c>
      <c r="T64" s="2">
        <f t="shared" si="2"/>
        <v>43268</v>
      </c>
      <c r="U64" s="12">
        <f t="shared" si="3"/>
        <v>0.64166666666666672</v>
      </c>
      <c r="V64" s="2">
        <f t="shared" si="4"/>
        <v>43269</v>
      </c>
      <c r="W64" s="12">
        <f t="shared" si="5"/>
        <v>0.64166666666666672</v>
      </c>
    </row>
    <row r="65" spans="1:23">
      <c r="A65">
        <f>IF(ISBLANK('Data Input'!A65),"",'Data Input'!A65)</f>
        <v>15</v>
      </c>
      <c r="B65" t="str">
        <f>IF(ISBLANK('Data Input'!B65),"",'Data Input'!B65)</f>
        <v>LZ015</v>
      </c>
      <c r="C65" t="str">
        <f>IF(ISBLANK('Data Input'!C65),"",'Data Input'!C65)</f>
        <v>6/17/18 0345</v>
      </c>
      <c r="E65" t="str">
        <f>IF(ISBLANK('Data Input'!D65),"",'Data Input'!D65)</f>
        <v>6/18/18 0345</v>
      </c>
      <c r="G65">
        <f>IF(ISBLANK('Data Input'!E65),"",'Data Input'!E65)</f>
        <v>32</v>
      </c>
      <c r="H65" t="str">
        <f>IF(ISBLANK('Data Input'!F65),"",'Data Input'!F65)</f>
        <v>Asian</v>
      </c>
      <c r="I65" t="str">
        <f>IF(ISBLANK('Data Input'!G65),"",'Data Input'!G65)</f>
        <v>SVD</v>
      </c>
      <c r="J65" t="str">
        <f>IF(ISBLANK('Data Input'!I65),"",'Data Input'!I65)</f>
        <v>NA</v>
      </c>
      <c r="K65" t="str">
        <f>IF(ISBLANK('Data Input'!J65),"",'Data Input'!J65)</f>
        <v>NA</v>
      </c>
      <c r="L65" t="str">
        <f>IF(ISBLANK('Data Input'!K65),"",'Data Input'!K65)</f>
        <v>NA</v>
      </c>
      <c r="M65" t="str">
        <f>IF(ISBLANK('Data Input'!L65),"",'Data Input'!L65)</f>
        <v>NA</v>
      </c>
      <c r="N65" t="str">
        <f>IF(ISBLANK('Data Input'!M65),"",'Data Input'!M65)</f>
        <v>NA</v>
      </c>
      <c r="O65" t="str">
        <f>IF(ISBLANK('Data Input'!N65),"",'Data Input'!N65)</f>
        <v>NA</v>
      </c>
      <c r="P65" t="str">
        <f>IF(ISBLANK('Data Input'!O65),"",'Data Input'!O65)</f>
        <v/>
      </c>
      <c r="Q65" t="str">
        <f>IF(ISBLANK('Data Input'!P65),"",'Data Input'!P65)</f>
        <v>Received no pain medications</v>
      </c>
      <c r="R65" t="b">
        <f>IF(ISBLANK('Data Input'!Q65),"",'Data Input'!Q65)</f>
        <v>1</v>
      </c>
      <c r="T65" s="2">
        <f t="shared" si="2"/>
        <v>43268</v>
      </c>
      <c r="U65" s="12">
        <f t="shared" si="3"/>
        <v>0.15625</v>
      </c>
      <c r="V65" s="2">
        <f t="shared" si="4"/>
        <v>43269</v>
      </c>
      <c r="W65" s="12">
        <f t="shared" si="5"/>
        <v>0.15625</v>
      </c>
    </row>
    <row r="66" spans="1:23">
      <c r="A66">
        <f>IF(ISBLANK('Data Input'!A66),"",'Data Input'!A66)</f>
        <v>16</v>
      </c>
      <c r="B66" t="str">
        <f>IF(ISBLANK('Data Input'!B66),"",'Data Input'!B66)</f>
        <v>JB016</v>
      </c>
      <c r="C66" t="str">
        <f>IF(ISBLANK('Data Input'!C66),"",'Data Input'!C66)</f>
        <v>6/18/18 0230</v>
      </c>
      <c r="E66" t="str">
        <f>IF(ISBLANK('Data Input'!D66),"",'Data Input'!D66)</f>
        <v>6/19/18 0251</v>
      </c>
      <c r="G66">
        <f>IF(ISBLANK('Data Input'!E66),"",'Data Input'!E66)</f>
        <v>32</v>
      </c>
      <c r="H66" t="str">
        <f>IF(ISBLANK('Data Input'!F66),"",'Data Input'!F66)</f>
        <v>White</v>
      </c>
      <c r="I66" t="str">
        <f>IF(ISBLANK('Data Input'!G66),"",'Data Input'!G66)</f>
        <v>SVD</v>
      </c>
      <c r="J66" t="str">
        <f>IF(ISBLANK('Data Input'!I66),"",'Data Input'!I66)</f>
        <v>6/18/18 0700</v>
      </c>
      <c r="K66" t="str">
        <f>IF(ISBLANK('Data Input'!J66),"",'Data Input'!J66)</f>
        <v>bb - Ibuprofen</v>
      </c>
      <c r="L66">
        <f>IF(ISBLANK('Data Input'!K66),"",'Data Input'!K66)</f>
        <v>800</v>
      </c>
      <c r="M66" t="str">
        <f>IF(ISBLANK('Data Input'!L66),"",'Data Input'!L66)</f>
        <v>NA</v>
      </c>
      <c r="N66" t="str">
        <f>IF(ISBLANK('Data Input'!M66),"",'Data Input'!M66)</f>
        <v>NA</v>
      </c>
      <c r="O66" t="str">
        <f>IF(ISBLANK('Data Input'!N66),"",'Data Input'!N66)</f>
        <v/>
      </c>
      <c r="P66" t="str">
        <f>IF(ISBLANK('Data Input'!O66),"",'Data Input'!O66)</f>
        <v/>
      </c>
      <c r="Q66" t="str">
        <f>IF(ISBLANK('Data Input'!P66),"",'Data Input'!P66)</f>
        <v/>
      </c>
      <c r="R66" t="b">
        <f>IF(ISBLANK('Data Input'!Q66),"",'Data Input'!Q66)</f>
        <v>0</v>
      </c>
      <c r="T66" s="2">
        <f t="shared" si="2"/>
        <v>43269</v>
      </c>
      <c r="U66" s="12">
        <f t="shared" si="3"/>
        <v>0.10416666666666667</v>
      </c>
      <c r="V66" s="2">
        <f t="shared" si="4"/>
        <v>43270</v>
      </c>
      <c r="W66" s="12">
        <f t="shared" si="5"/>
        <v>0.11875000000000001</v>
      </c>
    </row>
    <row r="67" spans="1:23">
      <c r="A67">
        <f>IF(ISBLANK('Data Input'!A67),"",'Data Input'!A67)</f>
        <v>16</v>
      </c>
      <c r="B67" t="str">
        <f>IF(ISBLANK('Data Input'!B67),"",'Data Input'!B67)</f>
        <v>JB016</v>
      </c>
      <c r="C67" t="str">
        <f>IF(ISBLANK('Data Input'!C67),"",'Data Input'!C67)</f>
        <v>6/18/18 0230</v>
      </c>
      <c r="E67" t="str">
        <f>IF(ISBLANK('Data Input'!D67),"",'Data Input'!D67)</f>
        <v>6/19/18 0251</v>
      </c>
      <c r="G67">
        <f>IF(ISBLANK('Data Input'!E67),"",'Data Input'!E67)</f>
        <v>32</v>
      </c>
      <c r="H67" t="str">
        <f>IF(ISBLANK('Data Input'!F67),"",'Data Input'!F67)</f>
        <v>White</v>
      </c>
      <c r="I67" t="str">
        <f>IF(ISBLANK('Data Input'!G67),"",'Data Input'!G67)</f>
        <v>SVD</v>
      </c>
      <c r="J67" t="str">
        <f>IF(ISBLANK('Data Input'!I67),"",'Data Input'!I67)</f>
        <v>6/18/18 1500</v>
      </c>
      <c r="K67" t="str">
        <f>IF(ISBLANK('Data Input'!J67),"",'Data Input'!J67)</f>
        <v>bb - Ibuprofen</v>
      </c>
      <c r="L67">
        <f>IF(ISBLANK('Data Input'!K67),"",'Data Input'!K67)</f>
        <v>800</v>
      </c>
      <c r="M67" t="str">
        <f>IF(ISBLANK('Data Input'!L67),"",'Data Input'!L67)</f>
        <v>NA</v>
      </c>
      <c r="N67" t="str">
        <f>IF(ISBLANK('Data Input'!M67),"",'Data Input'!M67)</f>
        <v>NA</v>
      </c>
      <c r="O67" t="str">
        <f>IF(ISBLANK('Data Input'!N67),"",'Data Input'!N67)</f>
        <v/>
      </c>
      <c r="P67" t="str">
        <f>IF(ISBLANK('Data Input'!O67),"",'Data Input'!O67)</f>
        <v/>
      </c>
      <c r="Q67" t="str">
        <f>IF(ISBLANK('Data Input'!P67),"",'Data Input'!P67)</f>
        <v/>
      </c>
      <c r="R67" t="b">
        <f>IF(ISBLANK('Data Input'!Q67),"",'Data Input'!Q67)</f>
        <v>0</v>
      </c>
      <c r="T67" s="2">
        <f t="shared" ref="T67:T130" si="6">DATEVALUE(LEFT(C67,FIND(" ",C67)))</f>
        <v>43269</v>
      </c>
      <c r="U67" s="12">
        <f t="shared" ref="U67:U130" si="7">TIMEVALUE(CONCATENATE(MID(C67,FIND(" ",C67)+1,2),":",RIGHT(C67,LEN(C67)-FIND(" ",C67)-2)))</f>
        <v>0.10416666666666667</v>
      </c>
      <c r="V67" s="2">
        <f t="shared" si="4"/>
        <v>43270</v>
      </c>
      <c r="W67" s="12">
        <f t="shared" si="5"/>
        <v>0.11875000000000001</v>
      </c>
    </row>
    <row r="68" spans="1:23">
      <c r="A68">
        <f>IF(ISBLANK('Data Input'!A68),"",'Data Input'!A68)</f>
        <v>16</v>
      </c>
      <c r="B68" t="str">
        <f>IF(ISBLANK('Data Input'!B68),"",'Data Input'!B68)</f>
        <v>JB016</v>
      </c>
      <c r="C68" t="str">
        <f>IF(ISBLANK('Data Input'!C68),"",'Data Input'!C68)</f>
        <v>6/18/18 0230</v>
      </c>
      <c r="E68" t="str">
        <f>IF(ISBLANK('Data Input'!D68),"",'Data Input'!D68)</f>
        <v>6/19/18 0251</v>
      </c>
      <c r="G68">
        <f>IF(ISBLANK('Data Input'!E68),"",'Data Input'!E68)</f>
        <v>32</v>
      </c>
      <c r="H68" t="str">
        <f>IF(ISBLANK('Data Input'!F68),"",'Data Input'!F68)</f>
        <v>White</v>
      </c>
      <c r="I68" t="str">
        <f>IF(ISBLANK('Data Input'!G68),"",'Data Input'!G68)</f>
        <v>SVD</v>
      </c>
      <c r="J68" t="str">
        <f>IF(ISBLANK('Data Input'!I68),"",'Data Input'!I68)</f>
        <v>6/19/18 0251</v>
      </c>
      <c r="K68" t="str">
        <f>IF(ISBLANK('Data Input'!J68),"",'Data Input'!J68)</f>
        <v>bb - Ibuprofen</v>
      </c>
      <c r="L68">
        <f>IF(ISBLANK('Data Input'!K68),"",'Data Input'!K68)</f>
        <v>800</v>
      </c>
      <c r="M68" t="str">
        <f>IF(ISBLANK('Data Input'!L68),"",'Data Input'!L68)</f>
        <v>NA</v>
      </c>
      <c r="N68" t="str">
        <f>IF(ISBLANK('Data Input'!M68),"",'Data Input'!M68)</f>
        <v>NA</v>
      </c>
      <c r="O68" t="str">
        <f>IF(ISBLANK('Data Input'!N68),"",'Data Input'!N68)</f>
        <v/>
      </c>
      <c r="P68" t="str">
        <f>IF(ISBLANK('Data Input'!O68),"",'Data Input'!O68)</f>
        <v/>
      </c>
      <c r="Q68" t="str">
        <f>IF(ISBLANK('Data Input'!P68),"",'Data Input'!P68)</f>
        <v/>
      </c>
      <c r="R68" t="b">
        <f>IF(ISBLANK('Data Input'!Q68),"",'Data Input'!Q68)</f>
        <v>0</v>
      </c>
      <c r="T68" s="2">
        <f t="shared" si="6"/>
        <v>43269</v>
      </c>
      <c r="U68" s="12">
        <f t="shared" si="7"/>
        <v>0.10416666666666667</v>
      </c>
      <c r="V68" s="2">
        <f t="shared" si="4"/>
        <v>43270</v>
      </c>
      <c r="W68" s="12">
        <f t="shared" si="5"/>
        <v>0.11875000000000001</v>
      </c>
    </row>
    <row r="69" spans="1:23">
      <c r="A69">
        <f>IF(ISBLANK('Data Input'!A69),"",'Data Input'!A69)</f>
        <v>17</v>
      </c>
      <c r="B69" t="str">
        <f>IF(ISBLANK('Data Input'!B69),"",'Data Input'!B69)</f>
        <v>AE017</v>
      </c>
      <c r="C69" t="str">
        <f>IF(ISBLANK('Data Input'!C69),"",'Data Input'!C69)</f>
        <v>6/17/18 0130</v>
      </c>
      <c r="E69" t="str">
        <f>IF(ISBLANK('Data Input'!D69),"",'Data Input'!D69)</f>
        <v>6/18/18 2024</v>
      </c>
      <c r="G69">
        <f>IF(ISBLANK('Data Input'!E69),"",'Data Input'!E69)</f>
        <v>36</v>
      </c>
      <c r="H69" t="str">
        <f>IF(ISBLANK('Data Input'!F69),"",'Data Input'!F69)</f>
        <v>White</v>
      </c>
      <c r="I69" t="str">
        <f>IF(ISBLANK('Data Input'!G69),"",'Data Input'!G69)</f>
        <v>SVD</v>
      </c>
      <c r="J69" t="str">
        <f>IF(ISBLANK('Data Input'!I69),"",'Data Input'!I69)</f>
        <v>6/17/18 0549</v>
      </c>
      <c r="K69" t="str">
        <f>IF(ISBLANK('Data Input'!J69),"",'Data Input'!J69)</f>
        <v>bb - Ibuprofen</v>
      </c>
      <c r="L69">
        <f>IF(ISBLANK('Data Input'!K69),"",'Data Input'!K69)</f>
        <v>800</v>
      </c>
      <c r="M69">
        <f>IF(ISBLANK('Data Input'!L69),"",'Data Input'!L69)</f>
        <v>5</v>
      </c>
      <c r="N69">
        <f>IF(ISBLANK('Data Input'!M69),"",'Data Input'!M69)</f>
        <v>0</v>
      </c>
      <c r="O69" t="str">
        <f>IF(ISBLANK('Data Input'!N69),"",'Data Input'!N69)</f>
        <v/>
      </c>
      <c r="P69" t="str">
        <f>IF(ISBLANK('Data Input'!O69),"",'Data Input'!O69)</f>
        <v/>
      </c>
      <c r="Q69" t="str">
        <f>IF(ISBLANK('Data Input'!P69),"",'Data Input'!P69)</f>
        <v/>
      </c>
      <c r="R69" t="b">
        <f>IF(ISBLANK('Data Input'!Q69),"",'Data Input'!Q69)</f>
        <v>1</v>
      </c>
      <c r="T69" s="2">
        <f t="shared" si="6"/>
        <v>43268</v>
      </c>
      <c r="U69" s="12">
        <f t="shared" si="7"/>
        <v>6.25E-2</v>
      </c>
      <c r="V69" s="2">
        <f t="shared" si="4"/>
        <v>43269</v>
      </c>
      <c r="W69" s="12">
        <f t="shared" si="5"/>
        <v>0.85</v>
      </c>
    </row>
    <row r="70" spans="1:23">
      <c r="A70">
        <f>IF(ISBLANK('Data Input'!A70),"",'Data Input'!A70)</f>
        <v>17</v>
      </c>
      <c r="B70" t="str">
        <f>IF(ISBLANK('Data Input'!B70),"",'Data Input'!B70)</f>
        <v>AE017</v>
      </c>
      <c r="C70" t="str">
        <f>IF(ISBLANK('Data Input'!C70),"",'Data Input'!C70)</f>
        <v>6/17/18 0130</v>
      </c>
      <c r="E70" t="str">
        <f>IF(ISBLANK('Data Input'!D70),"",'Data Input'!D70)</f>
        <v>6/18/18 2024</v>
      </c>
      <c r="G70">
        <f>IF(ISBLANK('Data Input'!E70),"",'Data Input'!E70)</f>
        <v>36</v>
      </c>
      <c r="H70" t="str">
        <f>IF(ISBLANK('Data Input'!F70),"",'Data Input'!F70)</f>
        <v>White</v>
      </c>
      <c r="I70" t="str">
        <f>IF(ISBLANK('Data Input'!G70),"",'Data Input'!G70)</f>
        <v>SVD</v>
      </c>
      <c r="J70" t="str">
        <f>IF(ISBLANK('Data Input'!I70),"",'Data Input'!I70)</f>
        <v>6/17/18 1321</v>
      </c>
      <c r="K70" t="str">
        <f>IF(ISBLANK('Data Input'!J70),"",'Data Input'!J70)</f>
        <v>bb - Ibuprofen</v>
      </c>
      <c r="L70">
        <f>IF(ISBLANK('Data Input'!K70),"",'Data Input'!K70)</f>
        <v>800</v>
      </c>
      <c r="M70">
        <f>IF(ISBLANK('Data Input'!L70),"",'Data Input'!L70)</f>
        <v>3</v>
      </c>
      <c r="N70">
        <f>IF(ISBLANK('Data Input'!M70),"",'Data Input'!M70)</f>
        <v>0</v>
      </c>
      <c r="O70" t="str">
        <f>IF(ISBLANK('Data Input'!N70),"",'Data Input'!N70)</f>
        <v/>
      </c>
      <c r="P70" t="str">
        <f>IF(ISBLANK('Data Input'!O70),"",'Data Input'!O70)</f>
        <v/>
      </c>
      <c r="Q70" t="str">
        <f>IF(ISBLANK('Data Input'!P70),"",'Data Input'!P70)</f>
        <v/>
      </c>
      <c r="R70" t="b">
        <f>IF(ISBLANK('Data Input'!Q70),"",'Data Input'!Q70)</f>
        <v>1</v>
      </c>
      <c r="T70" s="2">
        <f t="shared" si="6"/>
        <v>43268</v>
      </c>
      <c r="U70" s="12">
        <f t="shared" si="7"/>
        <v>6.25E-2</v>
      </c>
      <c r="V70" s="2">
        <f t="shared" si="4"/>
        <v>43269</v>
      </c>
      <c r="W70" s="12">
        <f t="shared" si="5"/>
        <v>0.85</v>
      </c>
    </row>
    <row r="71" spans="1:23">
      <c r="A71">
        <f>IF(ISBLANK('Data Input'!A71),"",'Data Input'!A71)</f>
        <v>17</v>
      </c>
      <c r="B71" t="str">
        <f>IF(ISBLANK('Data Input'!B71),"",'Data Input'!B71)</f>
        <v>AE017</v>
      </c>
      <c r="C71" t="str">
        <f>IF(ISBLANK('Data Input'!C71),"",'Data Input'!C71)</f>
        <v>6/17/18 0130</v>
      </c>
      <c r="E71" t="str">
        <f>IF(ISBLANK('Data Input'!D71),"",'Data Input'!D71)</f>
        <v>6/18/18 2024</v>
      </c>
      <c r="G71">
        <f>IF(ISBLANK('Data Input'!E71),"",'Data Input'!E71)</f>
        <v>36</v>
      </c>
      <c r="H71" t="str">
        <f>IF(ISBLANK('Data Input'!F71),"",'Data Input'!F71)</f>
        <v>White</v>
      </c>
      <c r="I71" t="str">
        <f>IF(ISBLANK('Data Input'!G71),"",'Data Input'!G71)</f>
        <v>SVD</v>
      </c>
      <c r="J71" t="str">
        <f>IF(ISBLANK('Data Input'!I71),"",'Data Input'!I71)</f>
        <v>6/17/18 2024</v>
      </c>
      <c r="K71" t="str">
        <f>IF(ISBLANK('Data Input'!J71),"",'Data Input'!J71)</f>
        <v>bb - Ibuprofen</v>
      </c>
      <c r="L71">
        <f>IF(ISBLANK('Data Input'!K71),"",'Data Input'!K71)</f>
        <v>800</v>
      </c>
      <c r="M71">
        <f>IF(ISBLANK('Data Input'!L71),"",'Data Input'!L71)</f>
        <v>3</v>
      </c>
      <c r="N71">
        <f>IF(ISBLANK('Data Input'!M71),"",'Data Input'!M71)</f>
        <v>0</v>
      </c>
      <c r="O71" t="str">
        <f>IF(ISBLANK('Data Input'!N71),"",'Data Input'!N71)</f>
        <v/>
      </c>
      <c r="P71" t="str">
        <f>IF(ISBLANK('Data Input'!O71),"",'Data Input'!O71)</f>
        <v/>
      </c>
      <c r="Q71" t="str">
        <f>IF(ISBLANK('Data Input'!P71),"",'Data Input'!P71)</f>
        <v/>
      </c>
      <c r="R71" t="b">
        <f>IF(ISBLANK('Data Input'!Q71),"",'Data Input'!Q71)</f>
        <v>1</v>
      </c>
      <c r="T71" s="2">
        <f t="shared" si="6"/>
        <v>43268</v>
      </c>
      <c r="U71" s="12">
        <f t="shared" si="7"/>
        <v>6.25E-2</v>
      </c>
      <c r="V71" s="2">
        <f t="shared" ref="V71:V134" si="8">IFERROR(DATEVALUE(LEFT(E71,FIND(" ",E71))),E71)</f>
        <v>43269</v>
      </c>
      <c r="W71" s="12">
        <f t="shared" ref="W71:W134" si="9">IFERROR(TIMEVALUE(CONCATENATE(MID(E71,FIND(" ",E71)+1,2),":",RIGHT(E71,LEN(E71)-FIND(" ",E71)-2))),E71)</f>
        <v>0.85</v>
      </c>
    </row>
    <row r="72" spans="1:23">
      <c r="A72">
        <f>IF(ISBLANK('Data Input'!A72),"",'Data Input'!A72)</f>
        <v>18</v>
      </c>
      <c r="B72" t="str">
        <f>IF(ISBLANK('Data Input'!B72),"",'Data Input'!B72)</f>
        <v>SR018</v>
      </c>
      <c r="C72" t="str">
        <f>IF(ISBLANK('Data Input'!C72),"",'Data Input'!C72)</f>
        <v>6/16/18 2320</v>
      </c>
      <c r="E72" t="str">
        <f>IF(ISBLANK('Data Input'!D72),"",'Data Input'!D72)</f>
        <v>6/17/18 2252</v>
      </c>
      <c r="G72">
        <f>IF(ISBLANK('Data Input'!E72),"",'Data Input'!E72)</f>
        <v>27</v>
      </c>
      <c r="H72" t="str">
        <f>IF(ISBLANK('Data Input'!F72),"",'Data Input'!F72)</f>
        <v>White</v>
      </c>
      <c r="I72" t="str">
        <f>IF(ISBLANK('Data Input'!G72),"",'Data Input'!G72)</f>
        <v>Caesarean</v>
      </c>
      <c r="J72" t="str">
        <f>IF(ISBLANK('Data Input'!I72),"",'Data Input'!I72)</f>
        <v>6/17/18 0350</v>
      </c>
      <c r="K72" t="str">
        <f>IF(ISBLANK('Data Input'!J72),"",'Data Input'!J72)</f>
        <v>tr - Toradol</v>
      </c>
      <c r="L72">
        <f>IF(ISBLANK('Data Input'!K72),"",'Data Input'!K72)</f>
        <v>30</v>
      </c>
      <c r="M72">
        <f>IF(ISBLANK('Data Input'!L72),"",'Data Input'!L72)</f>
        <v>3</v>
      </c>
      <c r="N72" t="str">
        <f>IF(ISBLANK('Data Input'!M72),"",'Data Input'!M72)</f>
        <v>No F/u</v>
      </c>
      <c r="O72" t="str">
        <f>IF(ISBLANK('Data Input'!N72),"",'Data Input'!N72)</f>
        <v/>
      </c>
      <c r="P72" t="str">
        <f>IF(ISBLANK('Data Input'!O72),"",'Data Input'!O72)</f>
        <v/>
      </c>
      <c r="Q72" t="str">
        <f>IF(ISBLANK('Data Input'!P72),"",'Data Input'!P72)</f>
        <v/>
      </c>
      <c r="R72" t="b">
        <f>IF(ISBLANK('Data Input'!Q72),"",'Data Input'!Q72)</f>
        <v>0</v>
      </c>
      <c r="T72" s="2">
        <f t="shared" si="6"/>
        <v>43267</v>
      </c>
      <c r="U72" s="12">
        <f t="shared" si="7"/>
        <v>0.97222222222222221</v>
      </c>
      <c r="V72" s="2">
        <f t="shared" si="8"/>
        <v>43268</v>
      </c>
      <c r="W72" s="12">
        <f t="shared" si="9"/>
        <v>0.95277777777777783</v>
      </c>
    </row>
    <row r="73" spans="1:23">
      <c r="A73">
        <f>IF(ISBLANK('Data Input'!A73),"",'Data Input'!A73)</f>
        <v>18</v>
      </c>
      <c r="B73" t="str">
        <f>IF(ISBLANK('Data Input'!B73),"",'Data Input'!B73)</f>
        <v>SR018</v>
      </c>
      <c r="C73" t="str">
        <f>IF(ISBLANK('Data Input'!C73),"",'Data Input'!C73)</f>
        <v>6/16/18 2320</v>
      </c>
      <c r="E73" t="str">
        <f>IF(ISBLANK('Data Input'!D73),"",'Data Input'!D73)</f>
        <v>6/17/18 2252</v>
      </c>
      <c r="G73">
        <f>IF(ISBLANK('Data Input'!E73),"",'Data Input'!E73)</f>
        <v>27</v>
      </c>
      <c r="H73" t="str">
        <f>IF(ISBLANK('Data Input'!F73),"",'Data Input'!F73)</f>
        <v>White</v>
      </c>
      <c r="I73" t="str">
        <f>IF(ISBLANK('Data Input'!G73),"",'Data Input'!G73)</f>
        <v>Caesarean</v>
      </c>
      <c r="J73" t="str">
        <f>IF(ISBLANK('Data Input'!I73),"",'Data Input'!I73)</f>
        <v>6/17/18 1016</v>
      </c>
      <c r="K73" t="str">
        <f>IF(ISBLANK('Data Input'!J73),"",'Data Input'!J73)</f>
        <v>tr - Toradol</v>
      </c>
      <c r="L73">
        <f>IF(ISBLANK('Data Input'!K73),"",'Data Input'!K73)</f>
        <v>30</v>
      </c>
      <c r="M73">
        <f>IF(ISBLANK('Data Input'!L73),"",'Data Input'!L73)</f>
        <v>5</v>
      </c>
      <c r="N73" t="str">
        <f>IF(ISBLANK('Data Input'!M73),"",'Data Input'!M73)</f>
        <v>No F/u</v>
      </c>
      <c r="O73" t="str">
        <f>IF(ISBLANK('Data Input'!N73),"",'Data Input'!N73)</f>
        <v/>
      </c>
      <c r="P73" t="str">
        <f>IF(ISBLANK('Data Input'!O73),"",'Data Input'!O73)</f>
        <v/>
      </c>
      <c r="Q73" t="str">
        <f>IF(ISBLANK('Data Input'!P73),"",'Data Input'!P73)</f>
        <v/>
      </c>
      <c r="R73" t="b">
        <f>IF(ISBLANK('Data Input'!Q73),"",'Data Input'!Q73)</f>
        <v>0</v>
      </c>
      <c r="T73" s="2">
        <f t="shared" si="6"/>
        <v>43267</v>
      </c>
      <c r="U73" s="12">
        <f t="shared" si="7"/>
        <v>0.97222222222222221</v>
      </c>
      <c r="V73" s="2">
        <f t="shared" si="8"/>
        <v>43268</v>
      </c>
      <c r="W73" s="12">
        <f t="shared" si="9"/>
        <v>0.95277777777777783</v>
      </c>
    </row>
    <row r="74" spans="1:23">
      <c r="A74">
        <f>IF(ISBLANK('Data Input'!A74),"",'Data Input'!A74)</f>
        <v>18</v>
      </c>
      <c r="B74" t="str">
        <f>IF(ISBLANK('Data Input'!B74),"",'Data Input'!B74)</f>
        <v>SR018</v>
      </c>
      <c r="C74" t="str">
        <f>IF(ISBLANK('Data Input'!C74),"",'Data Input'!C74)</f>
        <v>6/16/18 2320</v>
      </c>
      <c r="E74" t="str">
        <f>IF(ISBLANK('Data Input'!D74),"",'Data Input'!D74)</f>
        <v>6/17/18 2252</v>
      </c>
      <c r="G74">
        <f>IF(ISBLANK('Data Input'!E74),"",'Data Input'!E74)</f>
        <v>27</v>
      </c>
      <c r="H74" t="str">
        <f>IF(ISBLANK('Data Input'!F74),"",'Data Input'!F74)</f>
        <v>White</v>
      </c>
      <c r="I74" t="str">
        <f>IF(ISBLANK('Data Input'!G74),"",'Data Input'!G74)</f>
        <v>Caesarean</v>
      </c>
      <c r="J74" t="str">
        <f>IF(ISBLANK('Data Input'!I74),"",'Data Input'!I74)</f>
        <v>6/17/18 1613</v>
      </c>
      <c r="K74" t="str">
        <f>IF(ISBLANK('Data Input'!J74),"",'Data Input'!J74)</f>
        <v>rr - Percocet</v>
      </c>
      <c r="L74">
        <f>IF(ISBLANK('Data Input'!K74),"",'Data Input'!K74)</f>
        <v>1</v>
      </c>
      <c r="M74">
        <f>IF(ISBLANK('Data Input'!L74),"",'Data Input'!L74)</f>
        <v>5</v>
      </c>
      <c r="N74" t="str">
        <f>IF(ISBLANK('Data Input'!M74),"",'Data Input'!M74)</f>
        <v>No F/u</v>
      </c>
      <c r="O74" t="str">
        <f>IF(ISBLANK('Data Input'!N74),"",'Data Input'!N74)</f>
        <v/>
      </c>
      <c r="P74" t="str">
        <f>IF(ISBLANK('Data Input'!O74),"",'Data Input'!O74)</f>
        <v/>
      </c>
      <c r="Q74" t="str">
        <f>IF(ISBLANK('Data Input'!P74),"",'Data Input'!P74)</f>
        <v/>
      </c>
      <c r="R74" t="b">
        <f>IF(ISBLANK('Data Input'!Q74),"",'Data Input'!Q74)</f>
        <v>0</v>
      </c>
      <c r="T74" s="2">
        <f t="shared" si="6"/>
        <v>43267</v>
      </c>
      <c r="U74" s="12">
        <f t="shared" si="7"/>
        <v>0.97222222222222221</v>
      </c>
      <c r="V74" s="2">
        <f t="shared" si="8"/>
        <v>43268</v>
      </c>
      <c r="W74" s="12">
        <f t="shared" si="9"/>
        <v>0.95277777777777783</v>
      </c>
    </row>
    <row r="75" spans="1:23">
      <c r="A75">
        <f>IF(ISBLANK('Data Input'!A75),"",'Data Input'!A75)</f>
        <v>18</v>
      </c>
      <c r="B75" t="str">
        <f>IF(ISBLANK('Data Input'!B75),"",'Data Input'!B75)</f>
        <v>SR018</v>
      </c>
      <c r="C75" t="str">
        <f>IF(ISBLANK('Data Input'!C75),"",'Data Input'!C75)</f>
        <v>6/16/18 2320</v>
      </c>
      <c r="E75" t="str">
        <f>IF(ISBLANK('Data Input'!D75),"",'Data Input'!D75)</f>
        <v>6/17/18 2252</v>
      </c>
      <c r="G75">
        <f>IF(ISBLANK('Data Input'!E75),"",'Data Input'!E75)</f>
        <v>27</v>
      </c>
      <c r="H75" t="str">
        <f>IF(ISBLANK('Data Input'!F75),"",'Data Input'!F75)</f>
        <v>White</v>
      </c>
      <c r="I75" t="str">
        <f>IF(ISBLANK('Data Input'!G75),"",'Data Input'!G75)</f>
        <v>Caesarean</v>
      </c>
      <c r="J75" t="str">
        <f>IF(ISBLANK('Data Input'!I75),"",'Data Input'!I75)</f>
        <v>6/17/18 1613</v>
      </c>
      <c r="K75" t="str">
        <f>IF(ISBLANK('Data Input'!J75),"",'Data Input'!J75)</f>
        <v>tr - Toradol</v>
      </c>
      <c r="L75">
        <f>IF(ISBLANK('Data Input'!K75),"",'Data Input'!K75)</f>
        <v>30</v>
      </c>
      <c r="M75">
        <f>IF(ISBLANK('Data Input'!L75),"",'Data Input'!L75)</f>
        <v>4</v>
      </c>
      <c r="N75" t="str">
        <f>IF(ISBLANK('Data Input'!M75),"",'Data Input'!M75)</f>
        <v>No F/u</v>
      </c>
      <c r="O75" t="str">
        <f>IF(ISBLANK('Data Input'!N75),"",'Data Input'!N75)</f>
        <v/>
      </c>
      <c r="P75" t="str">
        <f>IF(ISBLANK('Data Input'!O75),"",'Data Input'!O75)</f>
        <v/>
      </c>
      <c r="Q75" t="str">
        <f>IF(ISBLANK('Data Input'!P75),"",'Data Input'!P75)</f>
        <v/>
      </c>
      <c r="R75" t="b">
        <f>IF(ISBLANK('Data Input'!Q75),"",'Data Input'!Q75)</f>
        <v>0</v>
      </c>
      <c r="T75" s="2">
        <f t="shared" si="6"/>
        <v>43267</v>
      </c>
      <c r="U75" s="12">
        <f t="shared" si="7"/>
        <v>0.97222222222222221</v>
      </c>
      <c r="V75" s="2">
        <f t="shared" si="8"/>
        <v>43268</v>
      </c>
      <c r="W75" s="12">
        <f t="shared" si="9"/>
        <v>0.95277777777777783</v>
      </c>
    </row>
    <row r="76" spans="1:23">
      <c r="A76">
        <f>IF(ISBLANK('Data Input'!A76),"",'Data Input'!A76)</f>
        <v>18</v>
      </c>
      <c r="B76" t="str">
        <f>IF(ISBLANK('Data Input'!B76),"",'Data Input'!B76)</f>
        <v>SR018</v>
      </c>
      <c r="C76" t="str">
        <f>IF(ISBLANK('Data Input'!C76),"",'Data Input'!C76)</f>
        <v>6/16/18 2320</v>
      </c>
      <c r="E76" t="str">
        <f>IF(ISBLANK('Data Input'!D76),"",'Data Input'!D76)</f>
        <v>6/17/18 2252</v>
      </c>
      <c r="G76">
        <f>IF(ISBLANK('Data Input'!E76),"",'Data Input'!E76)</f>
        <v>27</v>
      </c>
      <c r="H76" t="str">
        <f>IF(ISBLANK('Data Input'!F76),"",'Data Input'!F76)</f>
        <v>White</v>
      </c>
      <c r="I76" t="str">
        <f>IF(ISBLANK('Data Input'!G76),"",'Data Input'!G76)</f>
        <v>Caesarean</v>
      </c>
      <c r="J76" t="str">
        <f>IF(ISBLANK('Data Input'!I76),"",'Data Input'!I76)</f>
        <v>6/17/18 2112</v>
      </c>
      <c r="K76" t="str">
        <f>IF(ISBLANK('Data Input'!J76),"",'Data Input'!J76)</f>
        <v>rr - Percocet</v>
      </c>
      <c r="L76">
        <f>IF(ISBLANK('Data Input'!K76),"",'Data Input'!K76)</f>
        <v>1</v>
      </c>
      <c r="M76">
        <f>IF(ISBLANK('Data Input'!L76),"",'Data Input'!L76)</f>
        <v>4</v>
      </c>
      <c r="N76">
        <f>IF(ISBLANK('Data Input'!M76),"",'Data Input'!M76)</f>
        <v>3</v>
      </c>
      <c r="O76" t="str">
        <f>IF(ISBLANK('Data Input'!N76),"",'Data Input'!N76)</f>
        <v/>
      </c>
      <c r="P76" t="str">
        <f>IF(ISBLANK('Data Input'!O76),"",'Data Input'!O76)</f>
        <v/>
      </c>
      <c r="Q76" t="str">
        <f>IF(ISBLANK('Data Input'!P76),"",'Data Input'!P76)</f>
        <v/>
      </c>
      <c r="R76" t="b">
        <f>IF(ISBLANK('Data Input'!Q76),"",'Data Input'!Q76)</f>
        <v>0</v>
      </c>
      <c r="T76" s="2">
        <f t="shared" si="6"/>
        <v>43267</v>
      </c>
      <c r="U76" s="12">
        <f t="shared" si="7"/>
        <v>0.97222222222222221</v>
      </c>
      <c r="V76" s="2">
        <f t="shared" si="8"/>
        <v>43268</v>
      </c>
      <c r="W76" s="12">
        <f t="shared" si="9"/>
        <v>0.95277777777777783</v>
      </c>
    </row>
    <row r="77" spans="1:23">
      <c r="A77">
        <f>IF(ISBLANK('Data Input'!A77),"",'Data Input'!A77)</f>
        <v>18</v>
      </c>
      <c r="B77" t="str">
        <f>IF(ISBLANK('Data Input'!B77),"",'Data Input'!B77)</f>
        <v>SR018</v>
      </c>
      <c r="C77" t="str">
        <f>IF(ISBLANK('Data Input'!C77),"",'Data Input'!C77)</f>
        <v>6/16/18 2320</v>
      </c>
      <c r="E77" t="str">
        <f>IF(ISBLANK('Data Input'!D77),"",'Data Input'!D77)</f>
        <v>6/17/18 2252</v>
      </c>
      <c r="G77">
        <f>IF(ISBLANK('Data Input'!E77),"",'Data Input'!E77)</f>
        <v>27</v>
      </c>
      <c r="H77" t="str">
        <f>IF(ISBLANK('Data Input'!F77),"",'Data Input'!F77)</f>
        <v>White</v>
      </c>
      <c r="I77" t="str">
        <f>IF(ISBLANK('Data Input'!G77),"",'Data Input'!G77)</f>
        <v>Caesarean</v>
      </c>
      <c r="J77" t="str">
        <f>IF(ISBLANK('Data Input'!I77),"",'Data Input'!I77)</f>
        <v>6/17/18 2252</v>
      </c>
      <c r="K77" t="str">
        <f>IF(ISBLANK('Data Input'!J77),"",'Data Input'!J77)</f>
        <v>bb - Ibuprofen</v>
      </c>
      <c r="L77">
        <f>IF(ISBLANK('Data Input'!K77),"",'Data Input'!K77)</f>
        <v>800</v>
      </c>
      <c r="M77">
        <f>IF(ISBLANK('Data Input'!L77),"",'Data Input'!L77)</f>
        <v>3</v>
      </c>
      <c r="N77">
        <f>IF(ISBLANK('Data Input'!M77),"",'Data Input'!M77)</f>
        <v>0</v>
      </c>
      <c r="O77" t="str">
        <f>IF(ISBLANK('Data Input'!N77),"",'Data Input'!N77)</f>
        <v/>
      </c>
      <c r="P77" t="str">
        <f>IF(ISBLANK('Data Input'!O77),"",'Data Input'!O77)</f>
        <v/>
      </c>
      <c r="Q77" t="str">
        <f>IF(ISBLANK('Data Input'!P77),"",'Data Input'!P77)</f>
        <v/>
      </c>
      <c r="R77" t="b">
        <f>IF(ISBLANK('Data Input'!Q77),"",'Data Input'!Q77)</f>
        <v>0</v>
      </c>
      <c r="T77" s="2">
        <f t="shared" si="6"/>
        <v>43267</v>
      </c>
      <c r="U77" s="12">
        <f t="shared" si="7"/>
        <v>0.97222222222222221</v>
      </c>
      <c r="V77" s="2">
        <f t="shared" si="8"/>
        <v>43268</v>
      </c>
      <c r="W77" s="12">
        <f t="shared" si="9"/>
        <v>0.95277777777777783</v>
      </c>
    </row>
    <row r="78" spans="1:23">
      <c r="A78">
        <f>IF(ISBLANK('Data Input'!A78),"",'Data Input'!A78)</f>
        <v>19</v>
      </c>
      <c r="B78" t="str">
        <f>IF(ISBLANK('Data Input'!B78),"",'Data Input'!B78)</f>
        <v>JM019</v>
      </c>
      <c r="C78" t="str">
        <f>IF(ISBLANK('Data Input'!C78),"",'Data Input'!C78)</f>
        <v>6/22/18 1050</v>
      </c>
      <c r="E78" t="str">
        <f>IF(ISBLANK('Data Input'!D78),"",'Data Input'!D78)</f>
        <v>6/23/18 0609</v>
      </c>
      <c r="G78">
        <f>IF(ISBLANK('Data Input'!E78),"",'Data Input'!E78)</f>
        <v>37</v>
      </c>
      <c r="H78" t="str">
        <f>IF(ISBLANK('Data Input'!F78),"",'Data Input'!F78)</f>
        <v>White</v>
      </c>
      <c r="I78" t="str">
        <f>IF(ISBLANK('Data Input'!G78),"",'Data Input'!G78)</f>
        <v>Caesarean</v>
      </c>
      <c r="J78" t="str">
        <f>IF(ISBLANK('Data Input'!I78),"",'Data Input'!I78)</f>
        <v>6/22/18 1234</v>
      </c>
      <c r="K78" t="str">
        <f>IF(ISBLANK('Data Input'!J78),"",'Data Input'!J78)</f>
        <v>tr - Toradol</v>
      </c>
      <c r="L78">
        <f>IF(ISBLANK('Data Input'!K78),"",'Data Input'!K78)</f>
        <v>30</v>
      </c>
      <c r="M78">
        <f>IF(ISBLANK('Data Input'!L78),"",'Data Input'!L78)</f>
        <v>7</v>
      </c>
      <c r="N78">
        <f>IF(ISBLANK('Data Input'!M78),"",'Data Input'!M78)</f>
        <v>4</v>
      </c>
      <c r="O78" t="str">
        <f>IF(ISBLANK('Data Input'!N78),"",'Data Input'!N78)</f>
        <v/>
      </c>
      <c r="P78" t="str">
        <f>IF(ISBLANK('Data Input'!O78),"",'Data Input'!O78)</f>
        <v/>
      </c>
      <c r="Q78" t="str">
        <f>IF(ISBLANK('Data Input'!P78),"",'Data Input'!P78)</f>
        <v/>
      </c>
      <c r="R78" t="b">
        <f>IF(ISBLANK('Data Input'!Q78),"",'Data Input'!Q78)</f>
        <v>1</v>
      </c>
      <c r="T78" s="2">
        <f t="shared" si="6"/>
        <v>43273</v>
      </c>
      <c r="U78" s="12">
        <f t="shared" si="7"/>
        <v>0.4513888888888889</v>
      </c>
      <c r="V78" s="2">
        <f t="shared" si="8"/>
        <v>43274</v>
      </c>
      <c r="W78" s="12">
        <f t="shared" si="9"/>
        <v>0.25625000000000003</v>
      </c>
    </row>
    <row r="79" spans="1:23">
      <c r="A79">
        <f>IF(ISBLANK('Data Input'!A79),"",'Data Input'!A79)</f>
        <v>19</v>
      </c>
      <c r="B79" t="str">
        <f>IF(ISBLANK('Data Input'!B79),"",'Data Input'!B79)</f>
        <v>JM019</v>
      </c>
      <c r="C79" t="str">
        <f>IF(ISBLANK('Data Input'!C79),"",'Data Input'!C79)</f>
        <v>6/22/18 1050</v>
      </c>
      <c r="E79" t="str">
        <f>IF(ISBLANK('Data Input'!D79),"",'Data Input'!D79)</f>
        <v>6/23/18 0609</v>
      </c>
      <c r="G79">
        <f>IF(ISBLANK('Data Input'!E79),"",'Data Input'!E79)</f>
        <v>37</v>
      </c>
      <c r="H79" t="str">
        <f>IF(ISBLANK('Data Input'!F79),"",'Data Input'!F79)</f>
        <v>White</v>
      </c>
      <c r="I79" t="str">
        <f>IF(ISBLANK('Data Input'!G79),"",'Data Input'!G79)</f>
        <v>Caesarean</v>
      </c>
      <c r="J79" t="str">
        <f>IF(ISBLANK('Data Input'!I79),"",'Data Input'!I79)</f>
        <v>6/22/18 1822</v>
      </c>
      <c r="K79" t="str">
        <f>IF(ISBLANK('Data Input'!J79),"",'Data Input'!J79)</f>
        <v>tr - Toradol</v>
      </c>
      <c r="L79">
        <f>IF(ISBLANK('Data Input'!K79),"",'Data Input'!K79)</f>
        <v>30</v>
      </c>
      <c r="M79">
        <f>IF(ISBLANK('Data Input'!L79),"",'Data Input'!L79)</f>
        <v>2</v>
      </c>
      <c r="N79">
        <f>IF(ISBLANK('Data Input'!M79),"",'Data Input'!M79)</f>
        <v>0</v>
      </c>
      <c r="O79" t="str">
        <f>IF(ISBLANK('Data Input'!N79),"",'Data Input'!N79)</f>
        <v/>
      </c>
      <c r="P79" t="str">
        <f>IF(ISBLANK('Data Input'!O79),"",'Data Input'!O79)</f>
        <v/>
      </c>
      <c r="Q79" t="str">
        <f>IF(ISBLANK('Data Input'!P79),"",'Data Input'!P79)</f>
        <v/>
      </c>
      <c r="R79" t="b">
        <f>IF(ISBLANK('Data Input'!Q79),"",'Data Input'!Q79)</f>
        <v>1</v>
      </c>
      <c r="T79" s="2">
        <f t="shared" si="6"/>
        <v>43273</v>
      </c>
      <c r="U79" s="12">
        <f t="shared" si="7"/>
        <v>0.4513888888888889</v>
      </c>
      <c r="V79" s="2">
        <f t="shared" si="8"/>
        <v>43274</v>
      </c>
      <c r="W79" s="12">
        <f t="shared" si="9"/>
        <v>0.25625000000000003</v>
      </c>
    </row>
    <row r="80" spans="1:23">
      <c r="A80">
        <f>IF(ISBLANK('Data Input'!A80),"",'Data Input'!A80)</f>
        <v>19</v>
      </c>
      <c r="B80" t="str">
        <f>IF(ISBLANK('Data Input'!B80),"",'Data Input'!B80)</f>
        <v>JM019</v>
      </c>
      <c r="C80" t="str">
        <f>IF(ISBLANK('Data Input'!C80),"",'Data Input'!C80)</f>
        <v>6/22/18 1050</v>
      </c>
      <c r="E80" t="str">
        <f>IF(ISBLANK('Data Input'!D80),"",'Data Input'!D80)</f>
        <v>6/23/18 0609</v>
      </c>
      <c r="G80">
        <f>IF(ISBLANK('Data Input'!E80),"",'Data Input'!E80)</f>
        <v>37</v>
      </c>
      <c r="H80" t="str">
        <f>IF(ISBLANK('Data Input'!F80),"",'Data Input'!F80)</f>
        <v>White</v>
      </c>
      <c r="I80" t="str">
        <f>IF(ISBLANK('Data Input'!G80),"",'Data Input'!G80)</f>
        <v>Caesarean</v>
      </c>
      <c r="J80" t="str">
        <f>IF(ISBLANK('Data Input'!I80),"",'Data Input'!I80)</f>
        <v>6/23/18 0006</v>
      </c>
      <c r="K80" t="str">
        <f>IF(ISBLANK('Data Input'!J80),"",'Data Input'!J80)</f>
        <v>tr - Toradol</v>
      </c>
      <c r="L80">
        <f>IF(ISBLANK('Data Input'!K80),"",'Data Input'!K80)</f>
        <v>30</v>
      </c>
      <c r="M80">
        <f>IF(ISBLANK('Data Input'!L80),"",'Data Input'!L80)</f>
        <v>3</v>
      </c>
      <c r="N80">
        <f>IF(ISBLANK('Data Input'!M80),"",'Data Input'!M80)</f>
        <v>0</v>
      </c>
      <c r="O80" t="str">
        <f>IF(ISBLANK('Data Input'!N80),"",'Data Input'!N80)</f>
        <v/>
      </c>
      <c r="P80" t="str">
        <f>IF(ISBLANK('Data Input'!O80),"",'Data Input'!O80)</f>
        <v/>
      </c>
      <c r="Q80" t="str">
        <f>IF(ISBLANK('Data Input'!P80),"",'Data Input'!P80)</f>
        <v/>
      </c>
      <c r="R80" t="b">
        <f>IF(ISBLANK('Data Input'!Q80),"",'Data Input'!Q80)</f>
        <v>1</v>
      </c>
      <c r="T80" s="2">
        <f t="shared" si="6"/>
        <v>43273</v>
      </c>
      <c r="U80" s="12">
        <f t="shared" si="7"/>
        <v>0.4513888888888889</v>
      </c>
      <c r="V80" s="2">
        <f t="shared" si="8"/>
        <v>43274</v>
      </c>
      <c r="W80" s="12">
        <f t="shared" si="9"/>
        <v>0.25625000000000003</v>
      </c>
    </row>
    <row r="81" spans="1:23">
      <c r="A81">
        <f>IF(ISBLANK('Data Input'!A81),"",'Data Input'!A81)</f>
        <v>19</v>
      </c>
      <c r="B81" t="str">
        <f>IF(ISBLANK('Data Input'!B81),"",'Data Input'!B81)</f>
        <v>JM019</v>
      </c>
      <c r="C81" t="str">
        <f>IF(ISBLANK('Data Input'!C81),"",'Data Input'!C81)</f>
        <v>6/22/18 1050</v>
      </c>
      <c r="E81" t="str">
        <f>IF(ISBLANK('Data Input'!D81),"",'Data Input'!D81)</f>
        <v>6/23/18 0609</v>
      </c>
      <c r="G81">
        <f>IF(ISBLANK('Data Input'!E81),"",'Data Input'!E81)</f>
        <v>37</v>
      </c>
      <c r="H81" t="str">
        <f>IF(ISBLANK('Data Input'!F81),"",'Data Input'!F81)</f>
        <v>White</v>
      </c>
      <c r="I81" t="str">
        <f>IF(ISBLANK('Data Input'!G81),"",'Data Input'!G81)</f>
        <v>Caesarean</v>
      </c>
      <c r="J81" t="str">
        <f>IF(ISBLANK('Data Input'!I81),"",'Data Input'!I81)</f>
        <v>6/23/18 0609</v>
      </c>
      <c r="K81" t="str">
        <f>IF(ISBLANK('Data Input'!J81),"",'Data Input'!J81)</f>
        <v>tr - Toradol</v>
      </c>
      <c r="L81">
        <f>IF(ISBLANK('Data Input'!K81),"",'Data Input'!K81)</f>
        <v>30</v>
      </c>
      <c r="M81">
        <f>IF(ISBLANK('Data Input'!L81),"",'Data Input'!L81)</f>
        <v>5</v>
      </c>
      <c r="N81">
        <f>IF(ISBLANK('Data Input'!M81),"",'Data Input'!M81)</f>
        <v>3</v>
      </c>
      <c r="O81" t="str">
        <f>IF(ISBLANK('Data Input'!N81),"",'Data Input'!N81)</f>
        <v/>
      </c>
      <c r="P81" t="str">
        <f>IF(ISBLANK('Data Input'!O81),"",'Data Input'!O81)</f>
        <v/>
      </c>
      <c r="Q81" t="str">
        <f>IF(ISBLANK('Data Input'!P81),"",'Data Input'!P81)</f>
        <v/>
      </c>
      <c r="R81" t="b">
        <f>IF(ISBLANK('Data Input'!Q81),"",'Data Input'!Q81)</f>
        <v>1</v>
      </c>
      <c r="T81" s="2">
        <f t="shared" si="6"/>
        <v>43273</v>
      </c>
      <c r="U81" s="12">
        <f t="shared" si="7"/>
        <v>0.4513888888888889</v>
      </c>
      <c r="V81" s="2">
        <f t="shared" si="8"/>
        <v>43274</v>
      </c>
      <c r="W81" s="12">
        <f t="shared" si="9"/>
        <v>0.25625000000000003</v>
      </c>
    </row>
    <row r="82" spans="1:23">
      <c r="A82">
        <f>IF(ISBLANK('Data Input'!A82),"",'Data Input'!A82)</f>
        <v>20</v>
      </c>
      <c r="B82" t="str">
        <f>IF(ISBLANK('Data Input'!B82),"",'Data Input'!B82)</f>
        <v>CW020</v>
      </c>
      <c r="C82" t="str">
        <f>IF(ISBLANK('Data Input'!C82),"",'Data Input'!C82)</f>
        <v>6/25/18 1815</v>
      </c>
      <c r="E82" t="str">
        <f>IF(ISBLANK('Data Input'!D82),"",'Data Input'!D82)</f>
        <v>6/26/18 1534</v>
      </c>
      <c r="G82">
        <f>IF(ISBLANK('Data Input'!E82),"",'Data Input'!E82)</f>
        <v>26</v>
      </c>
      <c r="H82" t="str">
        <f>IF(ISBLANK('Data Input'!F82),"",'Data Input'!F82)</f>
        <v>Other</v>
      </c>
      <c r="I82" t="str">
        <f>IF(ISBLANK('Data Input'!G82),"",'Data Input'!G82)</f>
        <v>Caesarean</v>
      </c>
      <c r="J82" t="str">
        <f>IF(ISBLANK('Data Input'!I82),"",'Data Input'!I82)</f>
        <v>6/25/18 1921</v>
      </c>
      <c r="K82" t="str">
        <f>IF(ISBLANK('Data Input'!J82),"",'Data Input'!J82)</f>
        <v>tr - Toradol</v>
      </c>
      <c r="L82">
        <f>IF(ISBLANK('Data Input'!K82),"",'Data Input'!K82)</f>
        <v>30</v>
      </c>
      <c r="M82">
        <f>IF(ISBLANK('Data Input'!L82),"",'Data Input'!L82)</f>
        <v>7</v>
      </c>
      <c r="N82">
        <f>IF(ISBLANK('Data Input'!M82),"",'Data Input'!M82)</f>
        <v>3</v>
      </c>
      <c r="O82">
        <f>IF(ISBLANK('Data Input'!N82),"",'Data Input'!N82)</f>
        <v>4</v>
      </c>
      <c r="P82" t="str">
        <f>IF(ISBLANK('Data Input'!O82),"",'Data Input'!O82)</f>
        <v/>
      </c>
      <c r="Q82" t="str">
        <f>IF(ISBLANK('Data Input'!P82),"",'Data Input'!P82)</f>
        <v/>
      </c>
      <c r="R82" t="b">
        <f>IF(ISBLANK('Data Input'!Q82),"",'Data Input'!Q82)</f>
        <v>0</v>
      </c>
      <c r="T82" s="2">
        <f t="shared" si="6"/>
        <v>43276</v>
      </c>
      <c r="U82" s="12">
        <f t="shared" si="7"/>
        <v>0.76041666666666663</v>
      </c>
      <c r="V82" s="2">
        <f t="shared" si="8"/>
        <v>43277</v>
      </c>
      <c r="W82" s="12">
        <f t="shared" si="9"/>
        <v>0.64861111111111114</v>
      </c>
    </row>
    <row r="83" spans="1:23">
      <c r="A83">
        <f>IF(ISBLANK('Data Input'!A83),"",'Data Input'!A83)</f>
        <v>20</v>
      </c>
      <c r="B83" t="str">
        <f>IF(ISBLANK('Data Input'!B83),"",'Data Input'!B83)</f>
        <v>CW020</v>
      </c>
      <c r="C83" t="str">
        <f>IF(ISBLANK('Data Input'!C83),"",'Data Input'!C83)</f>
        <v>6/25/18 1815</v>
      </c>
      <c r="E83" t="str">
        <f>IF(ISBLANK('Data Input'!D83),"",'Data Input'!D83)</f>
        <v>6/26/18 1534</v>
      </c>
      <c r="G83">
        <f>IF(ISBLANK('Data Input'!E83),"",'Data Input'!E83)</f>
        <v>26</v>
      </c>
      <c r="H83" t="str">
        <f>IF(ISBLANK('Data Input'!F83),"",'Data Input'!F83)</f>
        <v>Other</v>
      </c>
      <c r="I83" t="str">
        <f>IF(ISBLANK('Data Input'!G83),"",'Data Input'!G83)</f>
        <v>Caesarean</v>
      </c>
      <c r="J83" t="str">
        <f>IF(ISBLANK('Data Input'!I83),"",'Data Input'!I83)</f>
        <v>6/26/18 0125</v>
      </c>
      <c r="K83" t="str">
        <f>IF(ISBLANK('Data Input'!J83),"",'Data Input'!J83)</f>
        <v>tr - Toradol</v>
      </c>
      <c r="L83">
        <f>IF(ISBLANK('Data Input'!K83),"",'Data Input'!K83)</f>
        <v>30</v>
      </c>
      <c r="M83">
        <f>IF(ISBLANK('Data Input'!L83),"",'Data Input'!L83)</f>
        <v>4</v>
      </c>
      <c r="N83">
        <f>IF(ISBLANK('Data Input'!M83),"",'Data Input'!M83)</f>
        <v>1</v>
      </c>
      <c r="O83">
        <f>IF(ISBLANK('Data Input'!N83),"",'Data Input'!N83)</f>
        <v>4</v>
      </c>
      <c r="P83" t="str">
        <f>IF(ISBLANK('Data Input'!O83),"",'Data Input'!O83)</f>
        <v/>
      </c>
      <c r="Q83" t="str">
        <f>IF(ISBLANK('Data Input'!P83),"",'Data Input'!P83)</f>
        <v/>
      </c>
      <c r="R83" t="b">
        <f>IF(ISBLANK('Data Input'!Q83),"",'Data Input'!Q83)</f>
        <v>0</v>
      </c>
      <c r="T83" s="2">
        <f t="shared" si="6"/>
        <v>43276</v>
      </c>
      <c r="U83" s="12">
        <f t="shared" si="7"/>
        <v>0.76041666666666663</v>
      </c>
      <c r="V83" s="2">
        <f t="shared" si="8"/>
        <v>43277</v>
      </c>
      <c r="W83" s="12">
        <f t="shared" si="9"/>
        <v>0.64861111111111114</v>
      </c>
    </row>
    <row r="84" spans="1:23">
      <c r="A84">
        <f>IF(ISBLANK('Data Input'!A84),"",'Data Input'!A84)</f>
        <v>20</v>
      </c>
      <c r="B84" t="str">
        <f>IF(ISBLANK('Data Input'!B84),"",'Data Input'!B84)</f>
        <v>CW020</v>
      </c>
      <c r="C84" t="str">
        <f>IF(ISBLANK('Data Input'!C84),"",'Data Input'!C84)</f>
        <v>6/25/18 1815</v>
      </c>
      <c r="E84" t="str">
        <f>IF(ISBLANK('Data Input'!D84),"",'Data Input'!D84)</f>
        <v>6/26/18 1534</v>
      </c>
      <c r="G84">
        <f>IF(ISBLANK('Data Input'!E84),"",'Data Input'!E84)</f>
        <v>26</v>
      </c>
      <c r="H84" t="str">
        <f>IF(ISBLANK('Data Input'!F84),"",'Data Input'!F84)</f>
        <v>Other</v>
      </c>
      <c r="I84" t="str">
        <f>IF(ISBLANK('Data Input'!G84),"",'Data Input'!G84)</f>
        <v>Caesarean</v>
      </c>
      <c r="J84" t="str">
        <f>IF(ISBLANK('Data Input'!I84),"",'Data Input'!I84)</f>
        <v>6/26/18 0750</v>
      </c>
      <c r="K84" t="str">
        <f>IF(ISBLANK('Data Input'!J84),"",'Data Input'!J84)</f>
        <v>tr - Toradol</v>
      </c>
      <c r="L84">
        <f>IF(ISBLANK('Data Input'!K84),"",'Data Input'!K84)</f>
        <v>30</v>
      </c>
      <c r="M84">
        <f>IF(ISBLANK('Data Input'!L84),"",'Data Input'!L84)</f>
        <v>7</v>
      </c>
      <c r="N84">
        <f>IF(ISBLANK('Data Input'!M84),"",'Data Input'!M84)</f>
        <v>5</v>
      </c>
      <c r="O84">
        <f>IF(ISBLANK('Data Input'!N84),"",'Data Input'!N84)</f>
        <v>4</v>
      </c>
      <c r="P84" t="str">
        <f>IF(ISBLANK('Data Input'!O84),"",'Data Input'!O84)</f>
        <v/>
      </c>
      <c r="Q84" t="str">
        <f>IF(ISBLANK('Data Input'!P84),"",'Data Input'!P84)</f>
        <v/>
      </c>
      <c r="R84" t="b">
        <f>IF(ISBLANK('Data Input'!Q84),"",'Data Input'!Q84)</f>
        <v>0</v>
      </c>
      <c r="T84" s="2">
        <f t="shared" si="6"/>
        <v>43276</v>
      </c>
      <c r="U84" s="12">
        <f t="shared" si="7"/>
        <v>0.76041666666666663</v>
      </c>
      <c r="V84" s="2">
        <f t="shared" si="8"/>
        <v>43277</v>
      </c>
      <c r="W84" s="12">
        <f t="shared" si="9"/>
        <v>0.64861111111111114</v>
      </c>
    </row>
    <row r="85" spans="1:23">
      <c r="A85">
        <f>IF(ISBLANK('Data Input'!A85),"",'Data Input'!A85)</f>
        <v>20</v>
      </c>
      <c r="B85" t="str">
        <f>IF(ISBLANK('Data Input'!B85),"",'Data Input'!B85)</f>
        <v>CW020</v>
      </c>
      <c r="C85" t="str">
        <f>IF(ISBLANK('Data Input'!C85),"",'Data Input'!C85)</f>
        <v>6/25/18 1815</v>
      </c>
      <c r="E85" t="str">
        <f>IF(ISBLANK('Data Input'!D85),"",'Data Input'!D85)</f>
        <v>6/26/18 1534</v>
      </c>
      <c r="G85">
        <f>IF(ISBLANK('Data Input'!E85),"",'Data Input'!E85)</f>
        <v>26</v>
      </c>
      <c r="H85" t="str">
        <f>IF(ISBLANK('Data Input'!F85),"",'Data Input'!F85)</f>
        <v>Other</v>
      </c>
      <c r="I85" t="str">
        <f>IF(ISBLANK('Data Input'!G85),"",'Data Input'!G85)</f>
        <v>Caesarean</v>
      </c>
      <c r="J85" t="str">
        <f>IF(ISBLANK('Data Input'!I85),"",'Data Input'!I85)</f>
        <v>6/26/18 0750</v>
      </c>
      <c r="K85" t="str">
        <f>IF(ISBLANK('Data Input'!J85),"",'Data Input'!J85)</f>
        <v>rr - Percocet</v>
      </c>
      <c r="L85">
        <f>IF(ISBLANK('Data Input'!K85),"",'Data Input'!K85)</f>
        <v>1</v>
      </c>
      <c r="M85">
        <f>IF(ISBLANK('Data Input'!L85),"",'Data Input'!L85)</f>
        <v>7</v>
      </c>
      <c r="N85">
        <f>IF(ISBLANK('Data Input'!M85),"",'Data Input'!M85)</f>
        <v>5</v>
      </c>
      <c r="O85">
        <f>IF(ISBLANK('Data Input'!N85),"",'Data Input'!N85)</f>
        <v>2</v>
      </c>
      <c r="P85" t="str">
        <f>IF(ISBLANK('Data Input'!O85),"",'Data Input'!O85)</f>
        <v/>
      </c>
      <c r="Q85" t="str">
        <f>IF(ISBLANK('Data Input'!P85),"",'Data Input'!P85)</f>
        <v/>
      </c>
      <c r="R85" t="b">
        <f>IF(ISBLANK('Data Input'!Q85),"",'Data Input'!Q85)</f>
        <v>0</v>
      </c>
      <c r="T85" s="2">
        <f t="shared" si="6"/>
        <v>43276</v>
      </c>
      <c r="U85" s="12">
        <f t="shared" si="7"/>
        <v>0.76041666666666663</v>
      </c>
      <c r="V85" s="2">
        <f t="shared" si="8"/>
        <v>43277</v>
      </c>
      <c r="W85" s="12">
        <f t="shared" si="9"/>
        <v>0.64861111111111114</v>
      </c>
    </row>
    <row r="86" spans="1:23">
      <c r="A86">
        <f>IF(ISBLANK('Data Input'!A86),"",'Data Input'!A86)</f>
        <v>20</v>
      </c>
      <c r="B86" t="str">
        <f>IF(ISBLANK('Data Input'!B86),"",'Data Input'!B86)</f>
        <v>CW020</v>
      </c>
      <c r="C86" t="str">
        <f>IF(ISBLANK('Data Input'!C86),"",'Data Input'!C86)</f>
        <v>6/25/18 1815</v>
      </c>
      <c r="E86" t="str">
        <f>IF(ISBLANK('Data Input'!D86),"",'Data Input'!D86)</f>
        <v>6/26/18 1534</v>
      </c>
      <c r="G86">
        <f>IF(ISBLANK('Data Input'!E86),"",'Data Input'!E86)</f>
        <v>26</v>
      </c>
      <c r="H86" t="str">
        <f>IF(ISBLANK('Data Input'!F86),"",'Data Input'!F86)</f>
        <v>Other</v>
      </c>
      <c r="I86" t="str">
        <f>IF(ISBLANK('Data Input'!G86),"",'Data Input'!G86)</f>
        <v>Caesarean</v>
      </c>
      <c r="J86" t="str">
        <f>IF(ISBLANK('Data Input'!I86),"",'Data Input'!I86)</f>
        <v>6/26/18 1236</v>
      </c>
      <c r="K86" t="str">
        <f>IF(ISBLANK('Data Input'!J86),"",'Data Input'!J86)</f>
        <v>rr - Percocet</v>
      </c>
      <c r="L86">
        <f>IF(ISBLANK('Data Input'!K86),"",'Data Input'!K86)</f>
        <v>2</v>
      </c>
      <c r="M86">
        <f>IF(ISBLANK('Data Input'!L86),"",'Data Input'!L86)</f>
        <v>8</v>
      </c>
      <c r="N86">
        <f>IF(ISBLANK('Data Input'!M86),"",'Data Input'!M86)</f>
        <v>4</v>
      </c>
      <c r="O86">
        <f>IF(ISBLANK('Data Input'!N86),"",'Data Input'!N86)</f>
        <v>2</v>
      </c>
      <c r="P86" t="str">
        <f>IF(ISBLANK('Data Input'!O86),"",'Data Input'!O86)</f>
        <v/>
      </c>
      <c r="Q86" t="str">
        <f>IF(ISBLANK('Data Input'!P86),"",'Data Input'!P86)</f>
        <v/>
      </c>
      <c r="R86" t="b">
        <f>IF(ISBLANK('Data Input'!Q86),"",'Data Input'!Q86)</f>
        <v>0</v>
      </c>
      <c r="T86" s="2">
        <f t="shared" si="6"/>
        <v>43276</v>
      </c>
      <c r="U86" s="12">
        <f t="shared" si="7"/>
        <v>0.76041666666666663</v>
      </c>
      <c r="V86" s="2">
        <f t="shared" si="8"/>
        <v>43277</v>
      </c>
      <c r="W86" s="12">
        <f t="shared" si="9"/>
        <v>0.64861111111111114</v>
      </c>
    </row>
    <row r="87" spans="1:23">
      <c r="A87">
        <f>IF(ISBLANK('Data Input'!A87),"",'Data Input'!A87)</f>
        <v>20</v>
      </c>
      <c r="B87" t="str">
        <f>IF(ISBLANK('Data Input'!B87),"",'Data Input'!B87)</f>
        <v>CW020</v>
      </c>
      <c r="C87" t="str">
        <f>IF(ISBLANK('Data Input'!C87),"",'Data Input'!C87)</f>
        <v>6/25/18 1815</v>
      </c>
      <c r="E87" t="str">
        <f>IF(ISBLANK('Data Input'!D87),"",'Data Input'!D87)</f>
        <v>6/26/18 1534</v>
      </c>
      <c r="G87">
        <f>IF(ISBLANK('Data Input'!E87),"",'Data Input'!E87)</f>
        <v>26</v>
      </c>
      <c r="H87" t="str">
        <f>IF(ISBLANK('Data Input'!F87),"",'Data Input'!F87)</f>
        <v>Other</v>
      </c>
      <c r="I87" t="str">
        <f>IF(ISBLANK('Data Input'!G87),"",'Data Input'!G87)</f>
        <v>Caesarean</v>
      </c>
      <c r="J87" t="str">
        <f>IF(ISBLANK('Data Input'!I87),"",'Data Input'!I87)</f>
        <v>6/26/18 1534</v>
      </c>
      <c r="K87" t="str">
        <f>IF(ISBLANK('Data Input'!J87),"",'Data Input'!J87)</f>
        <v>tr - Toradol</v>
      </c>
      <c r="L87">
        <f>IF(ISBLANK('Data Input'!K87),"",'Data Input'!K87)</f>
        <v>30</v>
      </c>
      <c r="M87">
        <f>IF(ISBLANK('Data Input'!L87),"",'Data Input'!L87)</f>
        <v>7</v>
      </c>
      <c r="N87">
        <f>IF(ISBLANK('Data Input'!M87),"",'Data Input'!M87)</f>
        <v>4</v>
      </c>
      <c r="O87">
        <f>IF(ISBLANK('Data Input'!N87),"",'Data Input'!N87)</f>
        <v>4</v>
      </c>
      <c r="P87" t="str">
        <f>IF(ISBLANK('Data Input'!O87),"",'Data Input'!O87)</f>
        <v/>
      </c>
      <c r="Q87" t="str">
        <f>IF(ISBLANK('Data Input'!P87),"",'Data Input'!P87)</f>
        <v/>
      </c>
      <c r="R87" t="b">
        <f>IF(ISBLANK('Data Input'!Q87),"",'Data Input'!Q87)</f>
        <v>0</v>
      </c>
      <c r="T87" s="2">
        <f t="shared" si="6"/>
        <v>43276</v>
      </c>
      <c r="U87" s="12">
        <f t="shared" si="7"/>
        <v>0.76041666666666663</v>
      </c>
      <c r="V87" s="2">
        <f t="shared" si="8"/>
        <v>43277</v>
      </c>
      <c r="W87" s="12">
        <f t="shared" si="9"/>
        <v>0.64861111111111114</v>
      </c>
    </row>
    <row r="88" spans="1:23">
      <c r="A88">
        <f>IF(ISBLANK('Data Input'!A88),"",'Data Input'!A88)</f>
        <v>21</v>
      </c>
      <c r="B88" t="str">
        <f>IF(ISBLANK('Data Input'!B88),"",'Data Input'!B88)</f>
        <v>RE021</v>
      </c>
      <c r="C88" t="str">
        <f>IF(ISBLANK('Data Input'!C88),"",'Data Input'!C88)</f>
        <v>6/18/18 2120</v>
      </c>
      <c r="E88" t="str">
        <f>IF(ISBLANK('Data Input'!D88),"",'Data Input'!D88)</f>
        <v>6/19/18 2120</v>
      </c>
      <c r="G88">
        <f>IF(ISBLANK('Data Input'!E88),"",'Data Input'!E88)</f>
        <v>29</v>
      </c>
      <c r="H88" t="str">
        <f>IF(ISBLANK('Data Input'!F88),"",'Data Input'!F88)</f>
        <v>White</v>
      </c>
      <c r="I88" t="str">
        <f>IF(ISBLANK('Data Input'!G88),"",'Data Input'!G88)</f>
        <v>SVD</v>
      </c>
      <c r="J88" t="str">
        <f>IF(ISBLANK('Data Input'!I88),"",'Data Input'!I88)</f>
        <v>6/19/18 0610</v>
      </c>
      <c r="K88" t="str">
        <f>IF(ISBLANK('Data Input'!J88),"",'Data Input'!J88)</f>
        <v>bb - Ibuprofen</v>
      </c>
      <c r="L88">
        <f>IF(ISBLANK('Data Input'!K88),"",'Data Input'!K88)</f>
        <v>800</v>
      </c>
      <c r="M88">
        <f>IF(ISBLANK('Data Input'!L88),"",'Data Input'!L88)</f>
        <v>0</v>
      </c>
      <c r="N88">
        <f>IF(ISBLANK('Data Input'!M88),"",'Data Input'!M88)</f>
        <v>0</v>
      </c>
      <c r="O88" t="str">
        <f>IF(ISBLANK('Data Input'!N88),"",'Data Input'!N88)</f>
        <v/>
      </c>
      <c r="P88" t="str">
        <f>IF(ISBLANK('Data Input'!O88),"",'Data Input'!O88)</f>
        <v/>
      </c>
      <c r="Q88" t="str">
        <f>IF(ISBLANK('Data Input'!P88),"",'Data Input'!P88)</f>
        <v/>
      </c>
      <c r="R88" t="b">
        <f>IF(ISBLANK('Data Input'!Q88),"",'Data Input'!Q88)</f>
        <v>1</v>
      </c>
      <c r="T88" s="2">
        <f t="shared" si="6"/>
        <v>43269</v>
      </c>
      <c r="U88" s="12">
        <f t="shared" si="7"/>
        <v>0.88888888888888884</v>
      </c>
      <c r="V88" s="2">
        <f t="shared" si="8"/>
        <v>43270</v>
      </c>
      <c r="W88" s="12">
        <f t="shared" si="9"/>
        <v>0.88888888888888884</v>
      </c>
    </row>
    <row r="89" spans="1:23">
      <c r="A89">
        <f>IF(ISBLANK('Data Input'!A89),"",'Data Input'!A89)</f>
        <v>21</v>
      </c>
      <c r="B89" t="str">
        <f>IF(ISBLANK('Data Input'!B89),"",'Data Input'!B89)</f>
        <v>RE021</v>
      </c>
      <c r="C89" t="str">
        <f>IF(ISBLANK('Data Input'!C89),"",'Data Input'!C89)</f>
        <v>6/18/18 2120</v>
      </c>
      <c r="E89" t="str">
        <f>IF(ISBLANK('Data Input'!D89),"",'Data Input'!D89)</f>
        <v>6/19/18 2120</v>
      </c>
      <c r="G89">
        <f>IF(ISBLANK('Data Input'!E89),"",'Data Input'!E89)</f>
        <v>29</v>
      </c>
      <c r="H89" t="str">
        <f>IF(ISBLANK('Data Input'!F89),"",'Data Input'!F89)</f>
        <v>White</v>
      </c>
      <c r="I89" t="str">
        <f>IF(ISBLANK('Data Input'!G89),"",'Data Input'!G89)</f>
        <v>SVD</v>
      </c>
      <c r="J89" t="str">
        <f>IF(ISBLANK('Data Input'!I89),"",'Data Input'!I89)</f>
        <v>6/19/18 1423</v>
      </c>
      <c r="K89" t="str">
        <f>IF(ISBLANK('Data Input'!J89),"",'Data Input'!J89)</f>
        <v>bb - Ibuprofen</v>
      </c>
      <c r="L89">
        <f>IF(ISBLANK('Data Input'!K89),"",'Data Input'!K89)</f>
        <v>800</v>
      </c>
      <c r="M89">
        <f>IF(ISBLANK('Data Input'!L89),"",'Data Input'!L89)</f>
        <v>2</v>
      </c>
      <c r="N89">
        <f>IF(ISBLANK('Data Input'!M89),"",'Data Input'!M89)</f>
        <v>1</v>
      </c>
      <c r="O89" t="str">
        <f>IF(ISBLANK('Data Input'!N89),"",'Data Input'!N89)</f>
        <v/>
      </c>
      <c r="P89" t="str">
        <f>IF(ISBLANK('Data Input'!O89),"",'Data Input'!O89)</f>
        <v/>
      </c>
      <c r="Q89" t="str">
        <f>IF(ISBLANK('Data Input'!P89),"",'Data Input'!P89)</f>
        <v/>
      </c>
      <c r="R89" t="b">
        <f>IF(ISBLANK('Data Input'!Q89),"",'Data Input'!Q89)</f>
        <v>1</v>
      </c>
      <c r="T89" s="2">
        <f t="shared" si="6"/>
        <v>43269</v>
      </c>
      <c r="U89" s="12">
        <f t="shared" si="7"/>
        <v>0.88888888888888884</v>
      </c>
      <c r="V89" s="2">
        <f t="shared" si="8"/>
        <v>43270</v>
      </c>
      <c r="W89" s="12">
        <f t="shared" si="9"/>
        <v>0.88888888888888884</v>
      </c>
    </row>
    <row r="90" spans="1:23">
      <c r="A90">
        <f>IF(ISBLANK('Data Input'!A90),"",'Data Input'!A90)</f>
        <v>22</v>
      </c>
      <c r="B90" t="str">
        <f>IF(ISBLANK('Data Input'!B90),"",'Data Input'!B90)</f>
        <v>MF022</v>
      </c>
      <c r="C90" t="str">
        <f>IF(ISBLANK('Data Input'!C90),"",'Data Input'!C90)</f>
        <v>6/18/18 1550</v>
      </c>
      <c r="E90" t="str">
        <f>IF(ISBLANK('Data Input'!D90),"",'Data Input'!D90)</f>
        <v>6/19/18 0307</v>
      </c>
      <c r="G90">
        <f>IF(ISBLANK('Data Input'!E90),"",'Data Input'!E90)</f>
        <v>34</v>
      </c>
      <c r="H90" t="str">
        <f>IF(ISBLANK('Data Input'!F90),"",'Data Input'!F90)</f>
        <v>White</v>
      </c>
      <c r="I90" t="str">
        <f>IF(ISBLANK('Data Input'!G90),"",'Data Input'!G90)</f>
        <v>Caesarean</v>
      </c>
      <c r="J90" t="str">
        <f>IF(ISBLANK('Data Input'!I90),"",'Data Input'!I90)</f>
        <v>6/18/18 1942</v>
      </c>
      <c r="K90" t="str">
        <f>IF(ISBLANK('Data Input'!J90),"",'Data Input'!J90)</f>
        <v>tr - Toradol</v>
      </c>
      <c r="L90">
        <f>IF(ISBLANK('Data Input'!K90),"",'Data Input'!K90)</f>
        <v>30</v>
      </c>
      <c r="M90">
        <f>IF(ISBLANK('Data Input'!L90),"",'Data Input'!L90)</f>
        <v>4</v>
      </c>
      <c r="N90">
        <f>IF(ISBLANK('Data Input'!M90),"",'Data Input'!M90)</f>
        <v>0</v>
      </c>
      <c r="O90" t="str">
        <f>IF(ISBLANK('Data Input'!N90),"",'Data Input'!N90)</f>
        <v/>
      </c>
      <c r="P90" t="str">
        <f>IF(ISBLANK('Data Input'!O90),"",'Data Input'!O90)</f>
        <v/>
      </c>
      <c r="Q90" t="str">
        <f>IF(ISBLANK('Data Input'!P90),"",'Data Input'!P90)</f>
        <v/>
      </c>
      <c r="R90" t="b">
        <f>IF(ISBLANK('Data Input'!Q90),"",'Data Input'!Q90)</f>
        <v>0</v>
      </c>
      <c r="T90" s="2">
        <f t="shared" si="6"/>
        <v>43269</v>
      </c>
      <c r="U90" s="12">
        <f t="shared" si="7"/>
        <v>0.65972222222222221</v>
      </c>
      <c r="V90" s="2">
        <f t="shared" si="8"/>
        <v>43270</v>
      </c>
      <c r="W90" s="12">
        <f t="shared" si="9"/>
        <v>0.12986111111111112</v>
      </c>
    </row>
    <row r="91" spans="1:23">
      <c r="A91">
        <f>IF(ISBLANK('Data Input'!A91),"",'Data Input'!A91)</f>
        <v>22</v>
      </c>
      <c r="B91" t="str">
        <f>IF(ISBLANK('Data Input'!B91),"",'Data Input'!B91)</f>
        <v>MF022</v>
      </c>
      <c r="C91" t="str">
        <f>IF(ISBLANK('Data Input'!C91),"",'Data Input'!C91)</f>
        <v>6/18/18 1550</v>
      </c>
      <c r="E91" t="str">
        <f>IF(ISBLANK('Data Input'!D91),"",'Data Input'!D91)</f>
        <v>6/19/18 0307</v>
      </c>
      <c r="G91">
        <f>IF(ISBLANK('Data Input'!E91),"",'Data Input'!E91)</f>
        <v>34</v>
      </c>
      <c r="H91" t="str">
        <f>IF(ISBLANK('Data Input'!F91),"",'Data Input'!F91)</f>
        <v>White</v>
      </c>
      <c r="I91" t="str">
        <f>IF(ISBLANK('Data Input'!G91),"",'Data Input'!G91)</f>
        <v>Caesarean</v>
      </c>
      <c r="J91" t="str">
        <f>IF(ISBLANK('Data Input'!I91),"",'Data Input'!I91)</f>
        <v>6/19/18 0307</v>
      </c>
      <c r="K91" t="str">
        <f>IF(ISBLANK('Data Input'!J91),"",'Data Input'!J91)</f>
        <v>tr - Toradol</v>
      </c>
      <c r="L91">
        <f>IF(ISBLANK('Data Input'!K91),"",'Data Input'!K91)</f>
        <v>30</v>
      </c>
      <c r="M91">
        <f>IF(ISBLANK('Data Input'!L91),"",'Data Input'!L91)</f>
        <v>3</v>
      </c>
      <c r="N91">
        <f>IF(ISBLANK('Data Input'!M91),"",'Data Input'!M91)</f>
        <v>1</v>
      </c>
      <c r="O91" t="str">
        <f>IF(ISBLANK('Data Input'!N91),"",'Data Input'!N91)</f>
        <v/>
      </c>
      <c r="P91" t="str">
        <f>IF(ISBLANK('Data Input'!O91),"",'Data Input'!O91)</f>
        <v/>
      </c>
      <c r="Q91" t="str">
        <f>IF(ISBLANK('Data Input'!P91),"",'Data Input'!P91)</f>
        <v/>
      </c>
      <c r="R91" t="b">
        <f>IF(ISBLANK('Data Input'!Q91),"",'Data Input'!Q91)</f>
        <v>0</v>
      </c>
      <c r="T91" s="2">
        <f t="shared" si="6"/>
        <v>43269</v>
      </c>
      <c r="U91" s="12">
        <f t="shared" si="7"/>
        <v>0.65972222222222221</v>
      </c>
      <c r="V91" s="2">
        <f t="shared" si="8"/>
        <v>43270</v>
      </c>
      <c r="W91" s="12">
        <f t="shared" si="9"/>
        <v>0.12986111111111112</v>
      </c>
    </row>
    <row r="92" spans="1:23">
      <c r="A92">
        <f>IF(ISBLANK('Data Input'!A92),"",'Data Input'!A92)</f>
        <v>23</v>
      </c>
      <c r="B92" t="str">
        <f>IF(ISBLANK('Data Input'!B92),"",'Data Input'!B92)</f>
        <v>QH023</v>
      </c>
      <c r="C92" t="str">
        <f>IF(ISBLANK('Data Input'!C92),"",'Data Input'!C92)</f>
        <v>6/18/18 0835</v>
      </c>
      <c r="E92" t="str">
        <f>IF(ISBLANK('Data Input'!D92),"",'Data Input'!D92)</f>
        <v>6/19/18 0835</v>
      </c>
      <c r="G92">
        <f>IF(ISBLANK('Data Input'!E92),"",'Data Input'!E92)</f>
        <v>25</v>
      </c>
      <c r="H92" t="str">
        <f>IF(ISBLANK('Data Input'!F92),"",'Data Input'!F92)</f>
        <v>Black</v>
      </c>
      <c r="I92" t="str">
        <f>IF(ISBLANK('Data Input'!G92),"",'Data Input'!G92)</f>
        <v>SVD</v>
      </c>
      <c r="J92" t="str">
        <f>IF(ISBLANK('Data Input'!I92),"",'Data Input'!I92)</f>
        <v>NA</v>
      </c>
      <c r="K92" t="str">
        <f>IF(ISBLANK('Data Input'!J92),"",'Data Input'!J92)</f>
        <v>NA</v>
      </c>
      <c r="L92" t="str">
        <f>IF(ISBLANK('Data Input'!K92),"",'Data Input'!K92)</f>
        <v>NA</v>
      </c>
      <c r="M92" t="str">
        <f>IF(ISBLANK('Data Input'!L92),"",'Data Input'!L92)</f>
        <v>NA</v>
      </c>
      <c r="N92" t="str">
        <f>IF(ISBLANK('Data Input'!M92),"",'Data Input'!M92)</f>
        <v>NA</v>
      </c>
      <c r="O92" t="str">
        <f>IF(ISBLANK('Data Input'!N92),"",'Data Input'!N92)</f>
        <v>NA</v>
      </c>
      <c r="P92" t="str">
        <f>IF(ISBLANK('Data Input'!O92),"",'Data Input'!O92)</f>
        <v/>
      </c>
      <c r="Q92" t="str">
        <f>IF(ISBLANK('Data Input'!P92),"",'Data Input'!P92)</f>
        <v>Received no pain medications</v>
      </c>
      <c r="R92" t="b">
        <f>IF(ISBLANK('Data Input'!Q92),"",'Data Input'!Q92)</f>
        <v>1</v>
      </c>
      <c r="T92" s="2">
        <f t="shared" si="6"/>
        <v>43269</v>
      </c>
      <c r="U92" s="12">
        <f t="shared" si="7"/>
        <v>0.3576388888888889</v>
      </c>
      <c r="V92" s="2">
        <f t="shared" si="8"/>
        <v>43270</v>
      </c>
      <c r="W92" s="12">
        <f t="shared" si="9"/>
        <v>0.3576388888888889</v>
      </c>
    </row>
    <row r="93" spans="1:23">
      <c r="A93">
        <f>IF(ISBLANK('Data Input'!A93),"",'Data Input'!A93)</f>
        <v>24</v>
      </c>
      <c r="B93" t="str">
        <f>IF(ISBLANK('Data Input'!B93),"",'Data Input'!B93)</f>
        <v>DB024</v>
      </c>
      <c r="C93" t="str">
        <f>IF(ISBLANK('Data Input'!C93),"",'Data Input'!C93)</f>
        <v>6/18/18 0425</v>
      </c>
      <c r="E93" t="str">
        <f>IF(ISBLANK('Data Input'!D93),"",'Data Input'!D93)</f>
        <v>6/18/18 2043</v>
      </c>
      <c r="G93">
        <f>IF(ISBLANK('Data Input'!E93),"",'Data Input'!E93)</f>
        <v>36</v>
      </c>
      <c r="H93" t="str">
        <f>IF(ISBLANK('Data Input'!F93),"",'Data Input'!F93)</f>
        <v>Black</v>
      </c>
      <c r="I93" t="str">
        <f>IF(ISBLANK('Data Input'!G93),"",'Data Input'!G93)</f>
        <v>Caesarean</v>
      </c>
      <c r="J93" t="str">
        <f>IF(ISBLANK('Data Input'!I93),"",'Data Input'!I93)</f>
        <v>6/18/18 2043</v>
      </c>
      <c r="K93" t="str">
        <f>IF(ISBLANK('Data Input'!J93),"",'Data Input'!J93)</f>
        <v>bb - Ibuprofen</v>
      </c>
      <c r="L93">
        <f>IF(ISBLANK('Data Input'!K93),"",'Data Input'!K93)</f>
        <v>800</v>
      </c>
      <c r="M93">
        <f>IF(ISBLANK('Data Input'!L93),"",'Data Input'!L93)</f>
        <v>3</v>
      </c>
      <c r="N93">
        <f>IF(ISBLANK('Data Input'!M93),"",'Data Input'!M93)</f>
        <v>0</v>
      </c>
      <c r="O93" t="str">
        <f>IF(ISBLANK('Data Input'!N93),"",'Data Input'!N93)</f>
        <v/>
      </c>
      <c r="P93" t="str">
        <f>IF(ISBLANK('Data Input'!O93),"",'Data Input'!O93)</f>
        <v/>
      </c>
      <c r="Q93" t="str">
        <f>IF(ISBLANK('Data Input'!P93),"",'Data Input'!P93)</f>
        <v/>
      </c>
      <c r="R93" t="b">
        <f>IF(ISBLANK('Data Input'!Q93),"",'Data Input'!Q93)</f>
        <v>0</v>
      </c>
      <c r="T93" s="2">
        <f t="shared" si="6"/>
        <v>43269</v>
      </c>
      <c r="U93" s="12">
        <f t="shared" si="7"/>
        <v>0.18402777777777779</v>
      </c>
      <c r="V93" s="2">
        <f t="shared" si="8"/>
        <v>43269</v>
      </c>
      <c r="W93" s="12">
        <f t="shared" si="9"/>
        <v>0.86319444444444438</v>
      </c>
    </row>
    <row r="94" spans="1:23">
      <c r="A94">
        <f>IF(ISBLANK('Data Input'!A94),"",'Data Input'!A94)</f>
        <v>25</v>
      </c>
      <c r="B94" t="str">
        <f>IF(ISBLANK('Data Input'!B94),"",'Data Input'!B94)</f>
        <v>JA025</v>
      </c>
      <c r="C94" t="str">
        <f>IF(ISBLANK('Data Input'!C94),"",'Data Input'!C94)</f>
        <v>6/19/18 0115</v>
      </c>
      <c r="E94" t="str">
        <f>IF(ISBLANK('Data Input'!D94),"",'Data Input'!D94)</f>
        <v>6/20/18 0052</v>
      </c>
      <c r="G94">
        <f>IF(ISBLANK('Data Input'!E94),"",'Data Input'!E94)</f>
        <v>20</v>
      </c>
      <c r="H94" t="str">
        <f>IF(ISBLANK('Data Input'!F94),"",'Data Input'!F94)</f>
        <v>White</v>
      </c>
      <c r="I94" t="str">
        <f>IF(ISBLANK('Data Input'!G94),"",'Data Input'!G94)</f>
        <v>SVD</v>
      </c>
      <c r="J94" t="str">
        <f>IF(ISBLANK('Data Input'!I94),"",'Data Input'!I94)</f>
        <v>6/19/18 1213</v>
      </c>
      <c r="K94" t="str">
        <f>IF(ISBLANK('Data Input'!J94),"",'Data Input'!J94)</f>
        <v>bb - Ibuprofen</v>
      </c>
      <c r="L94">
        <f>IF(ISBLANK('Data Input'!K94),"",'Data Input'!K94)</f>
        <v>800</v>
      </c>
      <c r="M94">
        <f>IF(ISBLANK('Data Input'!L94),"",'Data Input'!L94)</f>
        <v>4</v>
      </c>
      <c r="N94">
        <f>IF(ISBLANK('Data Input'!M94),"",'Data Input'!M94)</f>
        <v>2</v>
      </c>
      <c r="O94" t="str">
        <f>IF(ISBLANK('Data Input'!N94),"",'Data Input'!N94)</f>
        <v/>
      </c>
      <c r="P94" t="str">
        <f>IF(ISBLANK('Data Input'!O94),"",'Data Input'!O94)</f>
        <v/>
      </c>
      <c r="Q94" t="str">
        <f>IF(ISBLANK('Data Input'!P94),"",'Data Input'!P94)</f>
        <v/>
      </c>
      <c r="R94" t="b">
        <f>IF(ISBLANK('Data Input'!Q94),"",'Data Input'!Q94)</f>
        <v>1</v>
      </c>
      <c r="T94" s="2">
        <f t="shared" si="6"/>
        <v>43270</v>
      </c>
      <c r="U94" s="12">
        <f t="shared" si="7"/>
        <v>5.2083333333333336E-2</v>
      </c>
      <c r="V94" s="2">
        <f t="shared" si="8"/>
        <v>43271</v>
      </c>
      <c r="W94" s="12">
        <f t="shared" si="9"/>
        <v>3.6111111111111115E-2</v>
      </c>
    </row>
    <row r="95" spans="1:23">
      <c r="A95">
        <f>IF(ISBLANK('Data Input'!A95),"",'Data Input'!A95)</f>
        <v>25</v>
      </c>
      <c r="B95" t="str">
        <f>IF(ISBLANK('Data Input'!B95),"",'Data Input'!B95)</f>
        <v>JA025</v>
      </c>
      <c r="C95" t="str">
        <f>IF(ISBLANK('Data Input'!C95),"",'Data Input'!C95)</f>
        <v>6/19/18 0115</v>
      </c>
      <c r="E95" t="str">
        <f>IF(ISBLANK('Data Input'!D95),"",'Data Input'!D95)</f>
        <v>6/20/18 0052</v>
      </c>
      <c r="G95">
        <f>IF(ISBLANK('Data Input'!E95),"",'Data Input'!E95)</f>
        <v>20</v>
      </c>
      <c r="H95" t="str">
        <f>IF(ISBLANK('Data Input'!F95),"",'Data Input'!F95)</f>
        <v>White</v>
      </c>
      <c r="I95" t="str">
        <f>IF(ISBLANK('Data Input'!G95),"",'Data Input'!G95)</f>
        <v>SVD</v>
      </c>
      <c r="J95" t="str">
        <f>IF(ISBLANK('Data Input'!I95),"",'Data Input'!I95)</f>
        <v>6/19/18 1807</v>
      </c>
      <c r="K95" t="str">
        <f>IF(ISBLANK('Data Input'!J95),"",'Data Input'!J95)</f>
        <v>bb - Ibuprofen</v>
      </c>
      <c r="L95">
        <f>IF(ISBLANK('Data Input'!K95),"",'Data Input'!K95)</f>
        <v>800</v>
      </c>
      <c r="M95">
        <f>IF(ISBLANK('Data Input'!L95),"",'Data Input'!L95)</f>
        <v>2</v>
      </c>
      <c r="N95">
        <f>IF(ISBLANK('Data Input'!M95),"",'Data Input'!M95)</f>
        <v>2</v>
      </c>
      <c r="O95" t="str">
        <f>IF(ISBLANK('Data Input'!N95),"",'Data Input'!N95)</f>
        <v/>
      </c>
      <c r="P95" t="str">
        <f>IF(ISBLANK('Data Input'!O95),"",'Data Input'!O95)</f>
        <v/>
      </c>
      <c r="Q95" t="str">
        <f>IF(ISBLANK('Data Input'!P95),"",'Data Input'!P95)</f>
        <v/>
      </c>
      <c r="R95" t="b">
        <f>IF(ISBLANK('Data Input'!Q95),"",'Data Input'!Q95)</f>
        <v>1</v>
      </c>
      <c r="T95" s="2">
        <f t="shared" si="6"/>
        <v>43270</v>
      </c>
      <c r="U95" s="12">
        <f t="shared" si="7"/>
        <v>5.2083333333333336E-2</v>
      </c>
      <c r="V95" s="2">
        <f t="shared" si="8"/>
        <v>43271</v>
      </c>
      <c r="W95" s="12">
        <f t="shared" si="9"/>
        <v>3.6111111111111115E-2</v>
      </c>
    </row>
    <row r="96" spans="1:23">
      <c r="A96">
        <f>IF(ISBLANK('Data Input'!A96),"",'Data Input'!A96)</f>
        <v>25</v>
      </c>
      <c r="B96" t="str">
        <f>IF(ISBLANK('Data Input'!B96),"",'Data Input'!B96)</f>
        <v>JA025</v>
      </c>
      <c r="C96" t="str">
        <f>IF(ISBLANK('Data Input'!C96),"",'Data Input'!C96)</f>
        <v>6/19/18 0115</v>
      </c>
      <c r="E96" t="str">
        <f>IF(ISBLANK('Data Input'!D96),"",'Data Input'!D96)</f>
        <v>6/20/18 0052</v>
      </c>
      <c r="G96">
        <f>IF(ISBLANK('Data Input'!E96),"",'Data Input'!E96)</f>
        <v>20</v>
      </c>
      <c r="H96" t="str">
        <f>IF(ISBLANK('Data Input'!F96),"",'Data Input'!F96)</f>
        <v>White</v>
      </c>
      <c r="I96" t="str">
        <f>IF(ISBLANK('Data Input'!G96),"",'Data Input'!G96)</f>
        <v>SVD</v>
      </c>
      <c r="J96" t="str">
        <f>IF(ISBLANK('Data Input'!I96),"",'Data Input'!I96)</f>
        <v>6/20/18 0052</v>
      </c>
      <c r="K96" t="str">
        <f>IF(ISBLANK('Data Input'!J96),"",'Data Input'!J96)</f>
        <v>bb - Ibuprofen</v>
      </c>
      <c r="L96">
        <f>IF(ISBLANK('Data Input'!K96),"",'Data Input'!K96)</f>
        <v>800</v>
      </c>
      <c r="M96">
        <f>IF(ISBLANK('Data Input'!L96),"",'Data Input'!L96)</f>
        <v>2</v>
      </c>
      <c r="N96">
        <f>IF(ISBLANK('Data Input'!M96),"",'Data Input'!M96)</f>
        <v>2</v>
      </c>
      <c r="O96" t="str">
        <f>IF(ISBLANK('Data Input'!N96),"",'Data Input'!N96)</f>
        <v/>
      </c>
      <c r="P96" t="str">
        <f>IF(ISBLANK('Data Input'!O96),"",'Data Input'!O96)</f>
        <v/>
      </c>
      <c r="Q96" t="str">
        <f>IF(ISBLANK('Data Input'!P96),"",'Data Input'!P96)</f>
        <v/>
      </c>
      <c r="R96" t="b">
        <f>IF(ISBLANK('Data Input'!Q96),"",'Data Input'!Q96)</f>
        <v>1</v>
      </c>
      <c r="T96" s="2">
        <f t="shared" si="6"/>
        <v>43270</v>
      </c>
      <c r="U96" s="12">
        <f t="shared" si="7"/>
        <v>5.2083333333333336E-2</v>
      </c>
      <c r="V96" s="2">
        <f t="shared" si="8"/>
        <v>43271</v>
      </c>
      <c r="W96" s="12">
        <f t="shared" si="9"/>
        <v>3.6111111111111115E-2</v>
      </c>
    </row>
    <row r="97" spans="1:23">
      <c r="A97">
        <f>IF(ISBLANK('Data Input'!A97),"",'Data Input'!A97)</f>
        <v>26</v>
      </c>
      <c r="B97" t="str">
        <f>IF(ISBLANK('Data Input'!B97),"",'Data Input'!B97)</f>
        <v>MV026</v>
      </c>
      <c r="C97" t="str">
        <f>IF(ISBLANK('Data Input'!C97),"",'Data Input'!C97)</f>
        <v>6/17/18 1400</v>
      </c>
      <c r="E97" t="str">
        <f>IF(ISBLANK('Data Input'!D97),"",'Data Input'!D97)</f>
        <v>6/18/18 1022</v>
      </c>
      <c r="G97">
        <f>IF(ISBLANK('Data Input'!E97),"",'Data Input'!E97)</f>
        <v>27</v>
      </c>
      <c r="H97" t="str">
        <f>IF(ISBLANK('Data Input'!F97),"",'Data Input'!F97)</f>
        <v>White</v>
      </c>
      <c r="I97" t="str">
        <f>IF(ISBLANK('Data Input'!G97),"",'Data Input'!G97)</f>
        <v>Caesarean</v>
      </c>
      <c r="J97" t="str">
        <f>IF(ISBLANK('Data Input'!I97),"",'Data Input'!I97)</f>
        <v>6/17/18 1401</v>
      </c>
      <c r="K97" t="str">
        <f>IF(ISBLANK('Data Input'!J97),"",'Data Input'!J97)</f>
        <v>tr - Toradol</v>
      </c>
      <c r="L97">
        <f>IF(ISBLANK('Data Input'!K97),"",'Data Input'!K97)</f>
        <v>30</v>
      </c>
      <c r="M97">
        <f>IF(ISBLANK('Data Input'!L97),"",'Data Input'!L97)</f>
        <v>4</v>
      </c>
      <c r="N97">
        <f>IF(ISBLANK('Data Input'!M97),"",'Data Input'!M97)</f>
        <v>4</v>
      </c>
      <c r="O97" t="str">
        <f>IF(ISBLANK('Data Input'!N97),"",'Data Input'!N97)</f>
        <v/>
      </c>
      <c r="P97" t="str">
        <f>IF(ISBLANK('Data Input'!O97),"",'Data Input'!O97)</f>
        <v/>
      </c>
      <c r="Q97" t="str">
        <f>IF(ISBLANK('Data Input'!P97),"",'Data Input'!P97)</f>
        <v/>
      </c>
      <c r="R97" t="b">
        <f>IF(ISBLANK('Data Input'!Q97),"",'Data Input'!Q97)</f>
        <v>0</v>
      </c>
      <c r="T97" s="2">
        <f t="shared" si="6"/>
        <v>43268</v>
      </c>
      <c r="U97" s="12">
        <f t="shared" si="7"/>
        <v>0.58333333333333337</v>
      </c>
      <c r="V97" s="2">
        <f t="shared" si="8"/>
        <v>43269</v>
      </c>
      <c r="W97" s="12">
        <f t="shared" si="9"/>
        <v>0.43194444444444446</v>
      </c>
    </row>
    <row r="98" spans="1:23">
      <c r="A98">
        <f>IF(ISBLANK('Data Input'!A98),"",'Data Input'!A98)</f>
        <v>26</v>
      </c>
      <c r="B98" t="str">
        <f>IF(ISBLANK('Data Input'!B98),"",'Data Input'!B98)</f>
        <v>MV026</v>
      </c>
      <c r="C98" t="str">
        <f>IF(ISBLANK('Data Input'!C98),"",'Data Input'!C98)</f>
        <v>6/17/18 1400</v>
      </c>
      <c r="E98" t="str">
        <f>IF(ISBLANK('Data Input'!D98),"",'Data Input'!D98)</f>
        <v>6/18/18 1022</v>
      </c>
      <c r="G98">
        <f>IF(ISBLANK('Data Input'!E98),"",'Data Input'!E98)</f>
        <v>27</v>
      </c>
      <c r="H98" t="str">
        <f>IF(ISBLANK('Data Input'!F98),"",'Data Input'!F98)</f>
        <v>White</v>
      </c>
      <c r="I98" t="str">
        <f>IF(ISBLANK('Data Input'!G98),"",'Data Input'!G98)</f>
        <v>Caesarean</v>
      </c>
      <c r="J98" t="str">
        <f>IF(ISBLANK('Data Input'!I98),"",'Data Input'!I98)</f>
        <v>6/17/18 2129</v>
      </c>
      <c r="K98" t="str">
        <f>IF(ISBLANK('Data Input'!J98),"",'Data Input'!J98)</f>
        <v>tr - Toradol</v>
      </c>
      <c r="L98">
        <f>IF(ISBLANK('Data Input'!K98),"",'Data Input'!K98)</f>
        <v>30</v>
      </c>
      <c r="M98">
        <f>IF(ISBLANK('Data Input'!L98),"",'Data Input'!L98)</f>
        <v>4</v>
      </c>
      <c r="N98">
        <f>IF(ISBLANK('Data Input'!M98),"",'Data Input'!M98)</f>
        <v>0</v>
      </c>
      <c r="O98" t="str">
        <f>IF(ISBLANK('Data Input'!N98),"",'Data Input'!N98)</f>
        <v/>
      </c>
      <c r="P98" t="str">
        <f>IF(ISBLANK('Data Input'!O98),"",'Data Input'!O98)</f>
        <v/>
      </c>
      <c r="Q98" t="str">
        <f>IF(ISBLANK('Data Input'!P98),"",'Data Input'!P98)</f>
        <v/>
      </c>
      <c r="R98" t="b">
        <f>IF(ISBLANK('Data Input'!Q98),"",'Data Input'!Q98)</f>
        <v>0</v>
      </c>
      <c r="T98" s="2">
        <f t="shared" si="6"/>
        <v>43268</v>
      </c>
      <c r="U98" s="12">
        <f t="shared" si="7"/>
        <v>0.58333333333333337</v>
      </c>
      <c r="V98" s="2">
        <f t="shared" si="8"/>
        <v>43269</v>
      </c>
      <c r="W98" s="12">
        <f t="shared" si="9"/>
        <v>0.43194444444444446</v>
      </c>
    </row>
    <row r="99" spans="1:23">
      <c r="A99">
        <f>IF(ISBLANK('Data Input'!A99),"",'Data Input'!A99)</f>
        <v>26</v>
      </c>
      <c r="B99" t="str">
        <f>IF(ISBLANK('Data Input'!B99),"",'Data Input'!B99)</f>
        <v>MV026</v>
      </c>
      <c r="C99" t="str">
        <f>IF(ISBLANK('Data Input'!C99),"",'Data Input'!C99)</f>
        <v>6/17/18 1400</v>
      </c>
      <c r="E99" t="str">
        <f>IF(ISBLANK('Data Input'!D99),"",'Data Input'!D99)</f>
        <v>6/18/18 1022</v>
      </c>
      <c r="G99">
        <f>IF(ISBLANK('Data Input'!E99),"",'Data Input'!E99)</f>
        <v>27</v>
      </c>
      <c r="H99" t="str">
        <f>IF(ISBLANK('Data Input'!F99),"",'Data Input'!F99)</f>
        <v>White</v>
      </c>
      <c r="I99" t="str">
        <f>IF(ISBLANK('Data Input'!G99),"",'Data Input'!G99)</f>
        <v>Caesarean</v>
      </c>
      <c r="J99" t="str">
        <f>IF(ISBLANK('Data Input'!I99),"",'Data Input'!I99)</f>
        <v>6/18/19 0451</v>
      </c>
      <c r="K99" t="str">
        <f>IF(ISBLANK('Data Input'!J99),"",'Data Input'!J99)</f>
        <v>tr - Toradol</v>
      </c>
      <c r="L99">
        <f>IF(ISBLANK('Data Input'!K99),"",'Data Input'!K99)</f>
        <v>30</v>
      </c>
      <c r="M99">
        <f>IF(ISBLANK('Data Input'!L99),"",'Data Input'!L99)</f>
        <v>3</v>
      </c>
      <c r="N99">
        <f>IF(ISBLANK('Data Input'!M99),"",'Data Input'!M99)</f>
        <v>0</v>
      </c>
      <c r="O99" t="str">
        <f>IF(ISBLANK('Data Input'!N99),"",'Data Input'!N99)</f>
        <v/>
      </c>
      <c r="P99" t="str">
        <f>IF(ISBLANK('Data Input'!O99),"",'Data Input'!O99)</f>
        <v/>
      </c>
      <c r="Q99" t="str">
        <f>IF(ISBLANK('Data Input'!P99),"",'Data Input'!P99)</f>
        <v/>
      </c>
      <c r="R99" t="b">
        <f>IF(ISBLANK('Data Input'!Q99),"",'Data Input'!Q99)</f>
        <v>0</v>
      </c>
      <c r="T99" s="2">
        <f t="shared" si="6"/>
        <v>43268</v>
      </c>
      <c r="U99" s="12">
        <f t="shared" si="7"/>
        <v>0.58333333333333337</v>
      </c>
      <c r="V99" s="2">
        <f t="shared" si="8"/>
        <v>43269</v>
      </c>
      <c r="W99" s="12">
        <f t="shared" si="9"/>
        <v>0.43194444444444446</v>
      </c>
    </row>
    <row r="100" spans="1:23">
      <c r="A100">
        <f>IF(ISBLANK('Data Input'!A100),"",'Data Input'!A100)</f>
        <v>26</v>
      </c>
      <c r="B100" t="str">
        <f>IF(ISBLANK('Data Input'!B100),"",'Data Input'!B100)</f>
        <v>MV026</v>
      </c>
      <c r="C100" t="str">
        <f>IF(ISBLANK('Data Input'!C100),"",'Data Input'!C100)</f>
        <v>6/17/18 1400</v>
      </c>
      <c r="E100" t="str">
        <f>IF(ISBLANK('Data Input'!D100),"",'Data Input'!D100)</f>
        <v>6/18/18 1022</v>
      </c>
      <c r="G100">
        <f>IF(ISBLANK('Data Input'!E100),"",'Data Input'!E100)</f>
        <v>27</v>
      </c>
      <c r="H100" t="str">
        <f>IF(ISBLANK('Data Input'!F100),"",'Data Input'!F100)</f>
        <v>White</v>
      </c>
      <c r="I100" t="str">
        <f>IF(ISBLANK('Data Input'!G100),"",'Data Input'!G100)</f>
        <v>Caesarean</v>
      </c>
      <c r="J100" t="str">
        <f>IF(ISBLANK('Data Input'!I100),"",'Data Input'!I100)</f>
        <v>6/18/19 1022</v>
      </c>
      <c r="K100" t="str">
        <f>IF(ISBLANK('Data Input'!J100),"",'Data Input'!J100)</f>
        <v>tr - Toradol</v>
      </c>
      <c r="L100">
        <f>IF(ISBLANK('Data Input'!K100),"",'Data Input'!K100)</f>
        <v>30</v>
      </c>
      <c r="M100">
        <f>IF(ISBLANK('Data Input'!L100),"",'Data Input'!L100)</f>
        <v>5</v>
      </c>
      <c r="N100">
        <f>IF(ISBLANK('Data Input'!M100),"",'Data Input'!M100)</f>
        <v>0</v>
      </c>
      <c r="O100" t="str">
        <f>IF(ISBLANK('Data Input'!N100),"",'Data Input'!N100)</f>
        <v/>
      </c>
      <c r="P100" t="str">
        <f>IF(ISBLANK('Data Input'!O100),"",'Data Input'!O100)</f>
        <v/>
      </c>
      <c r="Q100" t="str">
        <f>IF(ISBLANK('Data Input'!P100),"",'Data Input'!P100)</f>
        <v/>
      </c>
      <c r="R100" t="b">
        <f>IF(ISBLANK('Data Input'!Q100),"",'Data Input'!Q100)</f>
        <v>0</v>
      </c>
      <c r="T100" s="2">
        <f t="shared" si="6"/>
        <v>43268</v>
      </c>
      <c r="U100" s="12">
        <f t="shared" si="7"/>
        <v>0.58333333333333337</v>
      </c>
      <c r="V100" s="2">
        <f t="shared" si="8"/>
        <v>43269</v>
      </c>
      <c r="W100" s="12">
        <f t="shared" si="9"/>
        <v>0.43194444444444446</v>
      </c>
    </row>
    <row r="101" spans="1:23">
      <c r="A101">
        <f>IF(ISBLANK('Data Input'!A101),"",'Data Input'!A101)</f>
        <v>27</v>
      </c>
      <c r="B101" t="str">
        <f>IF(ISBLANK('Data Input'!B101),"",'Data Input'!B101)</f>
        <v>SN027</v>
      </c>
      <c r="C101" t="str">
        <f>IF(ISBLANK('Data Input'!C101),"",'Data Input'!C101)</f>
        <v>6/17/18 1202</v>
      </c>
      <c r="E101" t="str">
        <f>IF(ISBLANK('Data Input'!D101),"",'Data Input'!D101)</f>
        <v>6/18/18 1019</v>
      </c>
      <c r="G101">
        <f>IF(ISBLANK('Data Input'!E101),"",'Data Input'!E101)</f>
        <v>24</v>
      </c>
      <c r="H101" t="str">
        <f>IF(ISBLANK('Data Input'!F101),"",'Data Input'!F101)</f>
        <v>Hispanic</v>
      </c>
      <c r="I101" t="str">
        <f>IF(ISBLANK('Data Input'!G101),"",'Data Input'!G101)</f>
        <v>SVD</v>
      </c>
      <c r="J101" t="str">
        <f>IF(ISBLANK('Data Input'!I101),"",'Data Input'!I101)</f>
        <v>6/18/18 0106</v>
      </c>
      <c r="K101" t="str">
        <f>IF(ISBLANK('Data Input'!J101),"",'Data Input'!J101)</f>
        <v>bb - Ibuprofen</v>
      </c>
      <c r="L101">
        <f>IF(ISBLANK('Data Input'!K101),"",'Data Input'!K101)</f>
        <v>800</v>
      </c>
      <c r="M101">
        <f>IF(ISBLANK('Data Input'!L101),"",'Data Input'!L101)</f>
        <v>3</v>
      </c>
      <c r="N101">
        <f>IF(ISBLANK('Data Input'!M101),"",'Data Input'!M101)</f>
        <v>0</v>
      </c>
      <c r="O101" t="str">
        <f>IF(ISBLANK('Data Input'!N101),"",'Data Input'!N101)</f>
        <v/>
      </c>
      <c r="P101" t="str">
        <f>IF(ISBLANK('Data Input'!O101),"",'Data Input'!O101)</f>
        <v/>
      </c>
      <c r="Q101" t="str">
        <f>IF(ISBLANK('Data Input'!P101),"",'Data Input'!P101)</f>
        <v/>
      </c>
      <c r="R101" t="b">
        <f>IF(ISBLANK('Data Input'!Q101),"",'Data Input'!Q101)</f>
        <v>1</v>
      </c>
      <c r="T101" s="2">
        <f t="shared" si="6"/>
        <v>43268</v>
      </c>
      <c r="U101" s="12">
        <f t="shared" si="7"/>
        <v>0.50138888888888888</v>
      </c>
      <c r="V101" s="2">
        <f t="shared" si="8"/>
        <v>43269</v>
      </c>
      <c r="W101" s="12">
        <f t="shared" si="9"/>
        <v>0.42986111111111108</v>
      </c>
    </row>
    <row r="102" spans="1:23">
      <c r="A102">
        <f>IF(ISBLANK('Data Input'!A102),"",'Data Input'!A102)</f>
        <v>27</v>
      </c>
      <c r="B102" t="str">
        <f>IF(ISBLANK('Data Input'!B102),"",'Data Input'!B102)</f>
        <v>SN027</v>
      </c>
      <c r="C102" t="str">
        <f>IF(ISBLANK('Data Input'!C102),"",'Data Input'!C102)</f>
        <v>6/17/18 1202</v>
      </c>
      <c r="E102" t="str">
        <f>IF(ISBLANK('Data Input'!D102),"",'Data Input'!D102)</f>
        <v>6/18/18 1019</v>
      </c>
      <c r="G102">
        <f>IF(ISBLANK('Data Input'!E102),"",'Data Input'!E102)</f>
        <v>24</v>
      </c>
      <c r="H102" t="str">
        <f>IF(ISBLANK('Data Input'!F102),"",'Data Input'!F102)</f>
        <v>Hispanic</v>
      </c>
      <c r="I102" t="str">
        <f>IF(ISBLANK('Data Input'!G102),"",'Data Input'!G102)</f>
        <v>SVD</v>
      </c>
      <c r="J102" t="str">
        <f>IF(ISBLANK('Data Input'!I102),"",'Data Input'!I102)</f>
        <v>6/18/19 1019</v>
      </c>
      <c r="K102" t="str">
        <f>IF(ISBLANK('Data Input'!J102),"",'Data Input'!J102)</f>
        <v>rr - Percocet</v>
      </c>
      <c r="L102">
        <f>IF(ISBLANK('Data Input'!K102),"",'Data Input'!K102)</f>
        <v>1</v>
      </c>
      <c r="M102">
        <f>IF(ISBLANK('Data Input'!L102),"",'Data Input'!L102)</f>
        <v>4</v>
      </c>
      <c r="N102">
        <f>IF(ISBLANK('Data Input'!M102),"",'Data Input'!M102)</f>
        <v>0</v>
      </c>
      <c r="O102" t="str">
        <f>IF(ISBLANK('Data Input'!N102),"",'Data Input'!N102)</f>
        <v/>
      </c>
      <c r="P102" t="str">
        <f>IF(ISBLANK('Data Input'!O102),"",'Data Input'!O102)</f>
        <v/>
      </c>
      <c r="Q102" t="str">
        <f>IF(ISBLANK('Data Input'!P102),"",'Data Input'!P102)</f>
        <v/>
      </c>
      <c r="R102" t="b">
        <f>IF(ISBLANK('Data Input'!Q102),"",'Data Input'!Q102)</f>
        <v>1</v>
      </c>
      <c r="T102" s="2">
        <f t="shared" si="6"/>
        <v>43268</v>
      </c>
      <c r="U102" s="12">
        <f t="shared" si="7"/>
        <v>0.50138888888888888</v>
      </c>
      <c r="V102" s="2">
        <f t="shared" si="8"/>
        <v>43269</v>
      </c>
      <c r="W102" s="12">
        <f t="shared" si="9"/>
        <v>0.42986111111111108</v>
      </c>
    </row>
    <row r="103" spans="1:23">
      <c r="A103">
        <f>IF(ISBLANK('Data Input'!A103),"",'Data Input'!A103)</f>
        <v>28</v>
      </c>
      <c r="B103" t="str">
        <f>IF(ISBLANK('Data Input'!B103),"",'Data Input'!B103)</f>
        <v>KG028</v>
      </c>
      <c r="C103" t="str">
        <f>IF(ISBLANK('Data Input'!C103),"",'Data Input'!C103)</f>
        <v>6/18/18 1230</v>
      </c>
      <c r="E103" t="str">
        <f>IF(ISBLANK('Data Input'!D103),"",'Data Input'!D103)</f>
        <v>6/19/18 1017</v>
      </c>
      <c r="G103">
        <f>IF(ISBLANK('Data Input'!E103),"",'Data Input'!E103)</f>
        <v>34</v>
      </c>
      <c r="H103" t="str">
        <f>IF(ISBLANK('Data Input'!F103),"",'Data Input'!F103)</f>
        <v>White</v>
      </c>
      <c r="I103" t="str">
        <f>IF(ISBLANK('Data Input'!G103),"",'Data Input'!G103)</f>
        <v>SVD</v>
      </c>
      <c r="J103">
        <f>IF(ISBLANK('Data Input'!I103),"",'Data Input'!I103)</f>
        <v>43269</v>
      </c>
      <c r="K103" t="str">
        <f>IF(ISBLANK('Data Input'!J103),"",'Data Input'!J103)</f>
        <v>bb - Ibuprofen</v>
      </c>
      <c r="L103">
        <f>IF(ISBLANK('Data Input'!K103),"",'Data Input'!K103)</f>
        <v>800</v>
      </c>
      <c r="M103">
        <f>IF(ISBLANK('Data Input'!L103),"",'Data Input'!L103)</f>
        <v>6</v>
      </c>
      <c r="N103">
        <f>IF(ISBLANK('Data Input'!M103),"",'Data Input'!M103)</f>
        <v>0</v>
      </c>
      <c r="O103" t="str">
        <f>IF(ISBLANK('Data Input'!N103),"",'Data Input'!N103)</f>
        <v/>
      </c>
      <c r="P103" t="str">
        <f>IF(ISBLANK('Data Input'!O103),"",'Data Input'!O103)</f>
        <v/>
      </c>
      <c r="Q103" t="str">
        <f>IF(ISBLANK('Data Input'!P103),"",'Data Input'!P103)</f>
        <v/>
      </c>
      <c r="R103" t="b">
        <f>IF(ISBLANK('Data Input'!Q103),"",'Data Input'!Q103)</f>
        <v>0</v>
      </c>
      <c r="T103" s="2">
        <f t="shared" si="6"/>
        <v>43269</v>
      </c>
      <c r="U103" s="12">
        <f t="shared" si="7"/>
        <v>0.52083333333333337</v>
      </c>
      <c r="V103" s="2">
        <f t="shared" si="8"/>
        <v>43270</v>
      </c>
      <c r="W103" s="12">
        <f t="shared" si="9"/>
        <v>0.4284722222222222</v>
      </c>
    </row>
    <row r="104" spans="1:23">
      <c r="A104">
        <f>IF(ISBLANK('Data Input'!A104),"",'Data Input'!A104)</f>
        <v>28</v>
      </c>
      <c r="B104" t="str">
        <f>IF(ISBLANK('Data Input'!B104),"",'Data Input'!B104)</f>
        <v>KG028</v>
      </c>
      <c r="C104" t="str">
        <f>IF(ISBLANK('Data Input'!C104),"",'Data Input'!C104)</f>
        <v>6/18/18 1230</v>
      </c>
      <c r="E104" t="str">
        <f>IF(ISBLANK('Data Input'!D104),"",'Data Input'!D104)</f>
        <v>6/19/18 1017</v>
      </c>
      <c r="G104">
        <f>IF(ISBLANK('Data Input'!E104),"",'Data Input'!E104)</f>
        <v>34</v>
      </c>
      <c r="H104" t="str">
        <f>IF(ISBLANK('Data Input'!F104),"",'Data Input'!F104)</f>
        <v>White</v>
      </c>
      <c r="I104" t="str">
        <f>IF(ISBLANK('Data Input'!G104),"",'Data Input'!G104)</f>
        <v>SVD</v>
      </c>
      <c r="J104">
        <f>IF(ISBLANK('Data Input'!I104),"",'Data Input'!I104)</f>
        <v>43269</v>
      </c>
      <c r="K104" t="str">
        <f>IF(ISBLANK('Data Input'!J104),"",'Data Input'!J104)</f>
        <v>rr - Percocet</v>
      </c>
      <c r="L104">
        <f>IF(ISBLANK('Data Input'!K104),"",'Data Input'!K104)</f>
        <v>1</v>
      </c>
      <c r="M104">
        <f>IF(ISBLANK('Data Input'!L104),"",'Data Input'!L104)</f>
        <v>6</v>
      </c>
      <c r="N104">
        <f>IF(ISBLANK('Data Input'!M104),"",'Data Input'!M104)</f>
        <v>0</v>
      </c>
      <c r="O104" t="str">
        <f>IF(ISBLANK('Data Input'!N104),"",'Data Input'!N104)</f>
        <v/>
      </c>
      <c r="P104" t="str">
        <f>IF(ISBLANK('Data Input'!O104),"",'Data Input'!O104)</f>
        <v/>
      </c>
      <c r="Q104" t="str">
        <f>IF(ISBLANK('Data Input'!P104),"",'Data Input'!P104)</f>
        <v/>
      </c>
      <c r="R104" t="b">
        <f>IF(ISBLANK('Data Input'!Q104),"",'Data Input'!Q104)</f>
        <v>0</v>
      </c>
      <c r="T104" s="2">
        <f t="shared" si="6"/>
        <v>43269</v>
      </c>
      <c r="U104" s="12">
        <f t="shared" si="7"/>
        <v>0.52083333333333337</v>
      </c>
      <c r="V104" s="2">
        <f t="shared" si="8"/>
        <v>43270</v>
      </c>
      <c r="W104" s="12">
        <f t="shared" si="9"/>
        <v>0.4284722222222222</v>
      </c>
    </row>
    <row r="105" spans="1:23">
      <c r="A105">
        <f>IF(ISBLANK('Data Input'!A105),"",'Data Input'!A105)</f>
        <v>28</v>
      </c>
      <c r="B105" t="str">
        <f>IF(ISBLANK('Data Input'!B105),"",'Data Input'!B105)</f>
        <v>KG028</v>
      </c>
      <c r="C105" t="str">
        <f>IF(ISBLANK('Data Input'!C105),"",'Data Input'!C105)</f>
        <v>6/18/18 1230</v>
      </c>
      <c r="E105" t="str">
        <f>IF(ISBLANK('Data Input'!D105),"",'Data Input'!D105)</f>
        <v>6/19/18 1017</v>
      </c>
      <c r="G105">
        <f>IF(ISBLANK('Data Input'!E105),"",'Data Input'!E105)</f>
        <v>34</v>
      </c>
      <c r="H105" t="str">
        <f>IF(ISBLANK('Data Input'!F105),"",'Data Input'!F105)</f>
        <v>White</v>
      </c>
      <c r="I105" t="str">
        <f>IF(ISBLANK('Data Input'!G105),"",'Data Input'!G105)</f>
        <v>SVD</v>
      </c>
      <c r="J105" t="str">
        <f>IF(ISBLANK('Data Input'!I105),"",'Data Input'!I105)</f>
        <v>6/19/18 0801</v>
      </c>
      <c r="K105" t="str">
        <f>IF(ISBLANK('Data Input'!J105),"",'Data Input'!J105)</f>
        <v>bb - Ibuprofen</v>
      </c>
      <c r="L105">
        <f>IF(ISBLANK('Data Input'!K105),"",'Data Input'!K105)</f>
        <v>800</v>
      </c>
      <c r="M105">
        <f>IF(ISBLANK('Data Input'!L105),"",'Data Input'!L105)</f>
        <v>4</v>
      </c>
      <c r="N105">
        <f>IF(ISBLANK('Data Input'!M105),"",'Data Input'!M105)</f>
        <v>2</v>
      </c>
      <c r="O105" t="str">
        <f>IF(ISBLANK('Data Input'!N105),"",'Data Input'!N105)</f>
        <v/>
      </c>
      <c r="P105" t="str">
        <f>IF(ISBLANK('Data Input'!O105),"",'Data Input'!O105)</f>
        <v/>
      </c>
      <c r="Q105" t="str">
        <f>IF(ISBLANK('Data Input'!P105),"",'Data Input'!P105)</f>
        <v/>
      </c>
      <c r="R105" t="b">
        <f>IF(ISBLANK('Data Input'!Q105),"",'Data Input'!Q105)</f>
        <v>0</v>
      </c>
      <c r="T105" s="2">
        <f t="shared" si="6"/>
        <v>43269</v>
      </c>
      <c r="U105" s="12">
        <f t="shared" si="7"/>
        <v>0.52083333333333337</v>
      </c>
      <c r="V105" s="2">
        <f t="shared" si="8"/>
        <v>43270</v>
      </c>
      <c r="W105" s="12">
        <f t="shared" si="9"/>
        <v>0.4284722222222222</v>
      </c>
    </row>
    <row r="106" spans="1:23">
      <c r="A106">
        <f>IF(ISBLANK('Data Input'!A106),"",'Data Input'!A106)</f>
        <v>28</v>
      </c>
      <c r="B106" t="str">
        <f>IF(ISBLANK('Data Input'!B106),"",'Data Input'!B106)</f>
        <v>KG028</v>
      </c>
      <c r="C106" t="str">
        <f>IF(ISBLANK('Data Input'!C106),"",'Data Input'!C106)</f>
        <v>6/18/18 1230</v>
      </c>
      <c r="E106" t="str">
        <f>IF(ISBLANK('Data Input'!D106),"",'Data Input'!D106)</f>
        <v>6/19/18 1017</v>
      </c>
      <c r="G106">
        <f>IF(ISBLANK('Data Input'!E106),"",'Data Input'!E106)</f>
        <v>34</v>
      </c>
      <c r="H106" t="str">
        <f>IF(ISBLANK('Data Input'!F106),"",'Data Input'!F106)</f>
        <v>White</v>
      </c>
      <c r="I106" t="str">
        <f>IF(ISBLANK('Data Input'!G106),"",'Data Input'!G106)</f>
        <v>SVD</v>
      </c>
      <c r="J106" t="str">
        <f>IF(ISBLANK('Data Input'!I106),"",'Data Input'!I106)</f>
        <v>6/19/18 1017</v>
      </c>
      <c r="K106" t="str">
        <f>IF(ISBLANK('Data Input'!J106),"",'Data Input'!J106)</f>
        <v>rr - Percocet</v>
      </c>
      <c r="L106">
        <f>IF(ISBLANK('Data Input'!K106),"",'Data Input'!K106)</f>
        <v>1</v>
      </c>
      <c r="M106">
        <f>IF(ISBLANK('Data Input'!L106),"",'Data Input'!L106)</f>
        <v>5</v>
      </c>
      <c r="N106">
        <f>IF(ISBLANK('Data Input'!M106),"",'Data Input'!M106)</f>
        <v>2</v>
      </c>
      <c r="O106" t="str">
        <f>IF(ISBLANK('Data Input'!N106),"",'Data Input'!N106)</f>
        <v/>
      </c>
      <c r="P106" t="str">
        <f>IF(ISBLANK('Data Input'!O106),"",'Data Input'!O106)</f>
        <v/>
      </c>
      <c r="Q106" t="str">
        <f>IF(ISBLANK('Data Input'!P106),"",'Data Input'!P106)</f>
        <v/>
      </c>
      <c r="R106" t="b">
        <f>IF(ISBLANK('Data Input'!Q106),"",'Data Input'!Q106)</f>
        <v>0</v>
      </c>
      <c r="T106" s="2">
        <f t="shared" si="6"/>
        <v>43269</v>
      </c>
      <c r="U106" s="12">
        <f t="shared" si="7"/>
        <v>0.52083333333333337</v>
      </c>
      <c r="V106" s="2">
        <f t="shared" si="8"/>
        <v>43270</v>
      </c>
      <c r="W106" s="12">
        <f t="shared" si="9"/>
        <v>0.4284722222222222</v>
      </c>
    </row>
    <row r="107" spans="1:23">
      <c r="A107">
        <f>IF(ISBLANK('Data Input'!A107),"",'Data Input'!A107)</f>
        <v>29</v>
      </c>
      <c r="B107" t="str">
        <f>IF(ISBLANK('Data Input'!B107),"",'Data Input'!B107)</f>
        <v>AC029</v>
      </c>
      <c r="C107" t="str">
        <f>IF(ISBLANK('Data Input'!C107),"",'Data Input'!C107)</f>
        <v>6/21/18 0101</v>
      </c>
      <c r="E107" t="str">
        <f>IF(ISBLANK('Data Input'!D107),"",'Data Input'!D107)</f>
        <v>6/21/18 2149</v>
      </c>
      <c r="G107">
        <f>IF(ISBLANK('Data Input'!E107),"",'Data Input'!E107)</f>
        <v>38</v>
      </c>
      <c r="H107" t="str">
        <f>IF(ISBLANK('Data Input'!F107),"",'Data Input'!F107)</f>
        <v>Black</v>
      </c>
      <c r="I107" t="str">
        <f>IF(ISBLANK('Data Input'!G107),"",'Data Input'!G107)</f>
        <v>Caesarean</v>
      </c>
      <c r="J107" t="str">
        <f>IF(ISBLANK('Data Input'!I107),"",'Data Input'!I107)</f>
        <v>6/21/18 0101</v>
      </c>
      <c r="K107" t="str">
        <f>IF(ISBLANK('Data Input'!J107),"",'Data Input'!J107)</f>
        <v>tr - Toradol</v>
      </c>
      <c r="L107">
        <f>IF(ISBLANK('Data Input'!K107),"",'Data Input'!K107)</f>
        <v>30</v>
      </c>
      <c r="M107">
        <f>IF(ISBLANK('Data Input'!L107),"",'Data Input'!L107)</f>
        <v>6</v>
      </c>
      <c r="N107">
        <f>IF(ISBLANK('Data Input'!M107),"",'Data Input'!M107)</f>
        <v>2</v>
      </c>
      <c r="O107" t="str">
        <f>IF(ISBLANK('Data Input'!N107),"",'Data Input'!N107)</f>
        <v/>
      </c>
      <c r="P107" t="str">
        <f>IF(ISBLANK('Data Input'!O107),"",'Data Input'!O107)</f>
        <v>Arrival time 0101 or 0132?</v>
      </c>
      <c r="Q107" t="str">
        <f>IF(ISBLANK('Data Input'!P107),"",'Data Input'!P107)</f>
        <v/>
      </c>
      <c r="R107" t="b">
        <f>IF(ISBLANK('Data Input'!Q107),"",'Data Input'!Q107)</f>
        <v>1</v>
      </c>
      <c r="T107" s="2">
        <f t="shared" si="6"/>
        <v>43272</v>
      </c>
      <c r="U107" s="12">
        <f t="shared" si="7"/>
        <v>4.2361111111111106E-2</v>
      </c>
      <c r="V107" s="2">
        <f t="shared" si="8"/>
        <v>43272</v>
      </c>
      <c r="W107" s="12">
        <f t="shared" si="9"/>
        <v>0.90902777777777777</v>
      </c>
    </row>
    <row r="108" spans="1:23">
      <c r="A108">
        <f>IF(ISBLANK('Data Input'!A108),"",'Data Input'!A108)</f>
        <v>29</v>
      </c>
      <c r="B108" t="str">
        <f>IF(ISBLANK('Data Input'!B108),"",'Data Input'!B108)</f>
        <v>AC029</v>
      </c>
      <c r="C108" t="str">
        <f>IF(ISBLANK('Data Input'!C108),"",'Data Input'!C108)</f>
        <v>6/21/18 0101</v>
      </c>
      <c r="E108" t="str">
        <f>IF(ISBLANK('Data Input'!D108),"",'Data Input'!D108)</f>
        <v>6/21/18 2149</v>
      </c>
      <c r="G108">
        <f>IF(ISBLANK('Data Input'!E108),"",'Data Input'!E108)</f>
        <v>38</v>
      </c>
      <c r="H108" t="str">
        <f>IF(ISBLANK('Data Input'!F108),"",'Data Input'!F108)</f>
        <v>Black</v>
      </c>
      <c r="I108" t="str">
        <f>IF(ISBLANK('Data Input'!G108),"",'Data Input'!G108)</f>
        <v>Caesarean</v>
      </c>
      <c r="J108" t="str">
        <f>IF(ISBLANK('Data Input'!I108),"",'Data Input'!I108)</f>
        <v>6/21/18 0729</v>
      </c>
      <c r="K108" t="str">
        <f>IF(ISBLANK('Data Input'!J108),"",'Data Input'!J108)</f>
        <v>tr - Toradol</v>
      </c>
      <c r="L108">
        <f>IF(ISBLANK('Data Input'!K108),"",'Data Input'!K108)</f>
        <v>30</v>
      </c>
      <c r="M108">
        <f>IF(ISBLANK('Data Input'!L108),"",'Data Input'!L108)</f>
        <v>6</v>
      </c>
      <c r="N108">
        <f>IF(ISBLANK('Data Input'!M108),"",'Data Input'!M108)</f>
        <v>2</v>
      </c>
      <c r="O108" t="str">
        <f>IF(ISBLANK('Data Input'!N108),"",'Data Input'!N108)</f>
        <v/>
      </c>
      <c r="P108" t="str">
        <f>IF(ISBLANK('Data Input'!O108),"",'Data Input'!O108)</f>
        <v/>
      </c>
      <c r="Q108" t="str">
        <f>IF(ISBLANK('Data Input'!P108),"",'Data Input'!P108)</f>
        <v/>
      </c>
      <c r="R108" t="b">
        <f>IF(ISBLANK('Data Input'!Q108),"",'Data Input'!Q108)</f>
        <v>1</v>
      </c>
      <c r="T108" s="2">
        <f t="shared" si="6"/>
        <v>43272</v>
      </c>
      <c r="U108" s="12">
        <f t="shared" si="7"/>
        <v>4.2361111111111106E-2</v>
      </c>
      <c r="V108" s="2">
        <f t="shared" si="8"/>
        <v>43272</v>
      </c>
      <c r="W108" s="12">
        <f t="shared" si="9"/>
        <v>0.90902777777777777</v>
      </c>
    </row>
    <row r="109" spans="1:23">
      <c r="A109">
        <f>IF(ISBLANK('Data Input'!A109),"",'Data Input'!A109)</f>
        <v>29</v>
      </c>
      <c r="B109" t="str">
        <f>IF(ISBLANK('Data Input'!B109),"",'Data Input'!B109)</f>
        <v>AC029</v>
      </c>
      <c r="C109" t="str">
        <f>IF(ISBLANK('Data Input'!C109),"",'Data Input'!C109)</f>
        <v>6/21/18 0101</v>
      </c>
      <c r="E109" t="str">
        <f>IF(ISBLANK('Data Input'!D109),"",'Data Input'!D109)</f>
        <v>6/21/18 2149</v>
      </c>
      <c r="G109">
        <f>IF(ISBLANK('Data Input'!E109),"",'Data Input'!E109)</f>
        <v>38</v>
      </c>
      <c r="H109" t="str">
        <f>IF(ISBLANK('Data Input'!F109),"",'Data Input'!F109)</f>
        <v>Black</v>
      </c>
      <c r="I109" t="str">
        <f>IF(ISBLANK('Data Input'!G109),"",'Data Input'!G109)</f>
        <v>Caesarean</v>
      </c>
      <c r="J109" t="str">
        <f>IF(ISBLANK('Data Input'!I109),"",'Data Input'!I109)</f>
        <v>6/21/18 0859</v>
      </c>
      <c r="K109" t="str">
        <f>IF(ISBLANK('Data Input'!J109),"",'Data Input'!J109)</f>
        <v>rr - Percocet</v>
      </c>
      <c r="L109">
        <f>IF(ISBLANK('Data Input'!K109),"",'Data Input'!K109)</f>
        <v>1</v>
      </c>
      <c r="M109">
        <f>IF(ISBLANK('Data Input'!L109),"",'Data Input'!L109)</f>
        <v>5</v>
      </c>
      <c r="N109">
        <f>IF(ISBLANK('Data Input'!M109),"",'Data Input'!M109)</f>
        <v>3</v>
      </c>
      <c r="O109" t="str">
        <f>IF(ISBLANK('Data Input'!N109),"",'Data Input'!N109)</f>
        <v/>
      </c>
      <c r="P109" t="str">
        <f>IF(ISBLANK('Data Input'!O109),"",'Data Input'!O109)</f>
        <v/>
      </c>
      <c r="Q109" t="str">
        <f>IF(ISBLANK('Data Input'!P109),"",'Data Input'!P109)</f>
        <v/>
      </c>
      <c r="R109" t="b">
        <f>IF(ISBLANK('Data Input'!Q109),"",'Data Input'!Q109)</f>
        <v>1</v>
      </c>
      <c r="T109" s="2">
        <f t="shared" si="6"/>
        <v>43272</v>
      </c>
      <c r="U109" s="12">
        <f t="shared" si="7"/>
        <v>4.2361111111111106E-2</v>
      </c>
      <c r="V109" s="2">
        <f t="shared" si="8"/>
        <v>43272</v>
      </c>
      <c r="W109" s="12">
        <f t="shared" si="9"/>
        <v>0.90902777777777777</v>
      </c>
    </row>
    <row r="110" spans="1:23">
      <c r="A110">
        <f>IF(ISBLANK('Data Input'!A110),"",'Data Input'!A110)</f>
        <v>29</v>
      </c>
      <c r="B110" t="str">
        <f>IF(ISBLANK('Data Input'!B110),"",'Data Input'!B110)</f>
        <v>AC029</v>
      </c>
      <c r="C110" t="str">
        <f>IF(ISBLANK('Data Input'!C110),"",'Data Input'!C110)</f>
        <v>6/21/18 0101</v>
      </c>
      <c r="E110" t="str">
        <f>IF(ISBLANK('Data Input'!D110),"",'Data Input'!D110)</f>
        <v>6/21/18 2149</v>
      </c>
      <c r="G110">
        <f>IF(ISBLANK('Data Input'!E110),"",'Data Input'!E110)</f>
        <v>38</v>
      </c>
      <c r="H110" t="str">
        <f>IF(ISBLANK('Data Input'!F110),"",'Data Input'!F110)</f>
        <v>Black</v>
      </c>
      <c r="I110" t="str">
        <f>IF(ISBLANK('Data Input'!G110),"",'Data Input'!G110)</f>
        <v>Caesarean</v>
      </c>
      <c r="J110" t="str">
        <f>IF(ISBLANK('Data Input'!I110),"",'Data Input'!I110)</f>
        <v>6/21/18 1245</v>
      </c>
      <c r="K110" t="str">
        <f>IF(ISBLANK('Data Input'!J110),"",'Data Input'!J110)</f>
        <v>rr - Percocet</v>
      </c>
      <c r="L110">
        <f>IF(ISBLANK('Data Input'!K110),"",'Data Input'!K110)</f>
        <v>1</v>
      </c>
      <c r="M110">
        <f>IF(ISBLANK('Data Input'!L110),"",'Data Input'!L110)</f>
        <v>6</v>
      </c>
      <c r="N110">
        <f>IF(ISBLANK('Data Input'!M110),"",'Data Input'!M110)</f>
        <v>4</v>
      </c>
      <c r="O110" t="str">
        <f>IF(ISBLANK('Data Input'!N110),"",'Data Input'!N110)</f>
        <v/>
      </c>
      <c r="P110" t="str">
        <f>IF(ISBLANK('Data Input'!O110),"",'Data Input'!O110)</f>
        <v/>
      </c>
      <c r="Q110" t="str">
        <f>IF(ISBLANK('Data Input'!P110),"",'Data Input'!P110)</f>
        <v/>
      </c>
      <c r="R110" t="b">
        <f>IF(ISBLANK('Data Input'!Q110),"",'Data Input'!Q110)</f>
        <v>1</v>
      </c>
      <c r="T110" s="2">
        <f t="shared" si="6"/>
        <v>43272</v>
      </c>
      <c r="U110" s="12">
        <f t="shared" si="7"/>
        <v>4.2361111111111106E-2</v>
      </c>
      <c r="V110" s="2">
        <f t="shared" si="8"/>
        <v>43272</v>
      </c>
      <c r="W110" s="12">
        <f t="shared" si="9"/>
        <v>0.90902777777777777</v>
      </c>
    </row>
    <row r="111" spans="1:23">
      <c r="A111">
        <f>IF(ISBLANK('Data Input'!A111),"",'Data Input'!A111)</f>
        <v>29</v>
      </c>
      <c r="B111" t="str">
        <f>IF(ISBLANK('Data Input'!B111),"",'Data Input'!B111)</f>
        <v>AC029</v>
      </c>
      <c r="C111" t="str">
        <f>IF(ISBLANK('Data Input'!C111),"",'Data Input'!C111)</f>
        <v>6/21/18 0101</v>
      </c>
      <c r="E111" t="str">
        <f>IF(ISBLANK('Data Input'!D111),"",'Data Input'!D111)</f>
        <v>6/21/18 2149</v>
      </c>
      <c r="G111">
        <f>IF(ISBLANK('Data Input'!E111),"",'Data Input'!E111)</f>
        <v>38</v>
      </c>
      <c r="H111" t="str">
        <f>IF(ISBLANK('Data Input'!F111),"",'Data Input'!F111)</f>
        <v>Black</v>
      </c>
      <c r="I111" t="str">
        <f>IF(ISBLANK('Data Input'!G111),"",'Data Input'!G111)</f>
        <v>Caesarean</v>
      </c>
      <c r="J111" t="str">
        <f>IF(ISBLANK('Data Input'!I111),"",'Data Input'!I111)</f>
        <v>6/21/18 1333</v>
      </c>
      <c r="K111" t="str">
        <f>IF(ISBLANK('Data Input'!J111),"",'Data Input'!J111)</f>
        <v>tr - Toradol</v>
      </c>
      <c r="L111">
        <f>IF(ISBLANK('Data Input'!K111),"",'Data Input'!K111)</f>
        <v>30</v>
      </c>
      <c r="M111">
        <f>IF(ISBLANK('Data Input'!L111),"",'Data Input'!L111)</f>
        <v>4</v>
      </c>
      <c r="N111">
        <f>IF(ISBLANK('Data Input'!M111),"",'Data Input'!M111)</f>
        <v>2</v>
      </c>
      <c r="O111" t="str">
        <f>IF(ISBLANK('Data Input'!N111),"",'Data Input'!N111)</f>
        <v/>
      </c>
      <c r="P111" t="str">
        <f>IF(ISBLANK('Data Input'!O111),"",'Data Input'!O111)</f>
        <v/>
      </c>
      <c r="Q111" t="str">
        <f>IF(ISBLANK('Data Input'!P111),"",'Data Input'!P111)</f>
        <v/>
      </c>
      <c r="R111" t="b">
        <f>IF(ISBLANK('Data Input'!Q111),"",'Data Input'!Q111)</f>
        <v>1</v>
      </c>
      <c r="T111" s="2">
        <f t="shared" si="6"/>
        <v>43272</v>
      </c>
      <c r="U111" s="12">
        <f t="shared" si="7"/>
        <v>4.2361111111111106E-2</v>
      </c>
      <c r="V111" s="2">
        <f t="shared" si="8"/>
        <v>43272</v>
      </c>
      <c r="W111" s="12">
        <f t="shared" si="9"/>
        <v>0.90902777777777777</v>
      </c>
    </row>
    <row r="112" spans="1:23">
      <c r="A112">
        <f>IF(ISBLANK('Data Input'!A112),"",'Data Input'!A112)</f>
        <v>29</v>
      </c>
      <c r="B112" t="str">
        <f>IF(ISBLANK('Data Input'!B112),"",'Data Input'!B112)</f>
        <v>AC029</v>
      </c>
      <c r="C112" t="str">
        <f>IF(ISBLANK('Data Input'!C112),"",'Data Input'!C112)</f>
        <v>6/21/18 0101</v>
      </c>
      <c r="E112" t="str">
        <f>IF(ISBLANK('Data Input'!D112),"",'Data Input'!D112)</f>
        <v>6/21/18 2149</v>
      </c>
      <c r="G112">
        <f>IF(ISBLANK('Data Input'!E112),"",'Data Input'!E112)</f>
        <v>38</v>
      </c>
      <c r="H112" t="str">
        <f>IF(ISBLANK('Data Input'!F112),"",'Data Input'!F112)</f>
        <v>Black</v>
      </c>
      <c r="I112" t="str">
        <f>IF(ISBLANK('Data Input'!G112),"",'Data Input'!G112)</f>
        <v>Caesarean</v>
      </c>
      <c r="J112" t="str">
        <f>IF(ISBLANK('Data Input'!I112),"",'Data Input'!I112)</f>
        <v>6/21/18 1747</v>
      </c>
      <c r="K112" t="str">
        <f>IF(ISBLANK('Data Input'!J112),"",'Data Input'!J112)</f>
        <v>rr - Percocet</v>
      </c>
      <c r="L112">
        <f>IF(ISBLANK('Data Input'!K112),"",'Data Input'!K112)</f>
        <v>1</v>
      </c>
      <c r="M112">
        <f>IF(ISBLANK('Data Input'!L112),"",'Data Input'!L112)</f>
        <v>5</v>
      </c>
      <c r="N112">
        <f>IF(ISBLANK('Data Input'!M112),"",'Data Input'!M112)</f>
        <v>0</v>
      </c>
      <c r="O112" t="str">
        <f>IF(ISBLANK('Data Input'!N112),"",'Data Input'!N112)</f>
        <v/>
      </c>
      <c r="P112" t="str">
        <f>IF(ISBLANK('Data Input'!O112),"",'Data Input'!O112)</f>
        <v/>
      </c>
      <c r="Q112" t="str">
        <f>IF(ISBLANK('Data Input'!P112),"",'Data Input'!P112)</f>
        <v/>
      </c>
      <c r="R112" t="b">
        <f>IF(ISBLANK('Data Input'!Q112),"",'Data Input'!Q112)</f>
        <v>1</v>
      </c>
      <c r="T112" s="2">
        <f t="shared" si="6"/>
        <v>43272</v>
      </c>
      <c r="U112" s="12">
        <f t="shared" si="7"/>
        <v>4.2361111111111106E-2</v>
      </c>
      <c r="V112" s="2">
        <f t="shared" si="8"/>
        <v>43272</v>
      </c>
      <c r="W112" s="12">
        <f t="shared" si="9"/>
        <v>0.90902777777777777</v>
      </c>
    </row>
    <row r="113" spans="1:23">
      <c r="A113">
        <f>IF(ISBLANK('Data Input'!A113),"",'Data Input'!A113)</f>
        <v>29</v>
      </c>
      <c r="B113" t="str">
        <f>IF(ISBLANK('Data Input'!B113),"",'Data Input'!B113)</f>
        <v>AC029</v>
      </c>
      <c r="C113" t="str">
        <f>IF(ISBLANK('Data Input'!C113),"",'Data Input'!C113)</f>
        <v>6/21/18 0101</v>
      </c>
      <c r="E113" t="str">
        <f>IF(ISBLANK('Data Input'!D113),"",'Data Input'!D113)</f>
        <v>6/21/18 2149</v>
      </c>
      <c r="G113">
        <f>IF(ISBLANK('Data Input'!E113),"",'Data Input'!E113)</f>
        <v>38</v>
      </c>
      <c r="H113" t="str">
        <f>IF(ISBLANK('Data Input'!F113),"",'Data Input'!F113)</f>
        <v>Black</v>
      </c>
      <c r="I113" t="str">
        <f>IF(ISBLANK('Data Input'!G113),"",'Data Input'!G113)</f>
        <v>Caesarean</v>
      </c>
      <c r="J113" t="str">
        <f>IF(ISBLANK('Data Input'!I113),"",'Data Input'!I113)</f>
        <v>6/21/18 2149</v>
      </c>
      <c r="K113" t="str">
        <f>IF(ISBLANK('Data Input'!J113),"",'Data Input'!J113)</f>
        <v>tr - Toradol</v>
      </c>
      <c r="L113">
        <f>IF(ISBLANK('Data Input'!K113),"",'Data Input'!K113)</f>
        <v>30</v>
      </c>
      <c r="M113">
        <f>IF(ISBLANK('Data Input'!L113),"",'Data Input'!L113)</f>
        <v>6</v>
      </c>
      <c r="N113">
        <f>IF(ISBLANK('Data Input'!M113),"",'Data Input'!M113)</f>
        <v>0</v>
      </c>
      <c r="O113" t="str">
        <f>IF(ISBLANK('Data Input'!N113),"",'Data Input'!N113)</f>
        <v/>
      </c>
      <c r="P113" t="str">
        <f>IF(ISBLANK('Data Input'!O113),"",'Data Input'!O113)</f>
        <v/>
      </c>
      <c r="Q113" t="str">
        <f>IF(ISBLANK('Data Input'!P113),"",'Data Input'!P113)</f>
        <v/>
      </c>
      <c r="R113" t="b">
        <f>IF(ISBLANK('Data Input'!Q113),"",'Data Input'!Q113)</f>
        <v>1</v>
      </c>
      <c r="T113" s="2">
        <f t="shared" si="6"/>
        <v>43272</v>
      </c>
      <c r="U113" s="12">
        <f t="shared" si="7"/>
        <v>4.2361111111111106E-2</v>
      </c>
      <c r="V113" s="2">
        <f t="shared" si="8"/>
        <v>43272</v>
      </c>
      <c r="W113" s="12">
        <f t="shared" si="9"/>
        <v>0.90902777777777777</v>
      </c>
    </row>
    <row r="114" spans="1:23">
      <c r="A114">
        <f>IF(ISBLANK('Data Input'!A114),"",'Data Input'!A114)</f>
        <v>29</v>
      </c>
      <c r="B114" t="str">
        <f>IF(ISBLANK('Data Input'!B114),"",'Data Input'!B114)</f>
        <v>AC029</v>
      </c>
      <c r="C114" t="str">
        <f>IF(ISBLANK('Data Input'!C114),"",'Data Input'!C114)</f>
        <v>6/21/18 0101</v>
      </c>
      <c r="E114" t="str">
        <f>IF(ISBLANK('Data Input'!D114),"",'Data Input'!D114)</f>
        <v>6/21/18 2149</v>
      </c>
      <c r="G114">
        <f>IF(ISBLANK('Data Input'!E114),"",'Data Input'!E114)</f>
        <v>38</v>
      </c>
      <c r="H114" t="str">
        <f>IF(ISBLANK('Data Input'!F114),"",'Data Input'!F114)</f>
        <v>Black</v>
      </c>
      <c r="I114" t="str">
        <f>IF(ISBLANK('Data Input'!G114),"",'Data Input'!G114)</f>
        <v>Caesarean</v>
      </c>
      <c r="J114" t="str">
        <f>IF(ISBLANK('Data Input'!I114),"",'Data Input'!I114)</f>
        <v>6/21/18 2149</v>
      </c>
      <c r="K114" t="str">
        <f>IF(ISBLANK('Data Input'!J114),"",'Data Input'!J114)</f>
        <v>rr - Percocet</v>
      </c>
      <c r="L114">
        <f>IF(ISBLANK('Data Input'!K114),"",'Data Input'!K114)</f>
        <v>1</v>
      </c>
      <c r="M114">
        <f>IF(ISBLANK('Data Input'!L114),"",'Data Input'!L114)</f>
        <v>6</v>
      </c>
      <c r="N114">
        <f>IF(ISBLANK('Data Input'!M114),"",'Data Input'!M114)</f>
        <v>0</v>
      </c>
      <c r="O114" t="str">
        <f>IF(ISBLANK('Data Input'!N114),"",'Data Input'!N114)</f>
        <v/>
      </c>
      <c r="P114" t="str">
        <f>IF(ISBLANK('Data Input'!O114),"",'Data Input'!O114)</f>
        <v/>
      </c>
      <c r="Q114" t="str">
        <f>IF(ISBLANK('Data Input'!P114),"",'Data Input'!P114)</f>
        <v/>
      </c>
      <c r="R114" t="b">
        <f>IF(ISBLANK('Data Input'!Q114),"",'Data Input'!Q114)</f>
        <v>1</v>
      </c>
      <c r="T114" s="2">
        <f t="shared" si="6"/>
        <v>43272</v>
      </c>
      <c r="U114" s="12">
        <f t="shared" si="7"/>
        <v>4.2361111111111106E-2</v>
      </c>
      <c r="V114" s="2">
        <f t="shared" si="8"/>
        <v>43272</v>
      </c>
      <c r="W114" s="12">
        <f t="shared" si="9"/>
        <v>0.90902777777777777</v>
      </c>
    </row>
    <row r="115" spans="1:23">
      <c r="A115">
        <f>IF(ISBLANK('Data Input'!A115),"",'Data Input'!A115)</f>
        <v>30</v>
      </c>
      <c r="B115" t="str">
        <f>IF(ISBLANK('Data Input'!B115),"",'Data Input'!B115)</f>
        <v>AR030</v>
      </c>
      <c r="C115" t="str">
        <f>IF(ISBLANK('Data Input'!C115),"",'Data Input'!C115)</f>
        <v>6/21/18 1245</v>
      </c>
      <c r="E115" t="str">
        <f>IF(ISBLANK('Data Input'!D115),"",'Data Input'!D115)</f>
        <v>6/22/18 1229</v>
      </c>
      <c r="G115">
        <f>IF(ISBLANK('Data Input'!E115),"",'Data Input'!E115)</f>
        <v>20</v>
      </c>
      <c r="H115" t="str">
        <f>IF(ISBLANK('Data Input'!F115),"",'Data Input'!F115)</f>
        <v>BW - Black/White</v>
      </c>
      <c r="I115" t="str">
        <f>IF(ISBLANK('Data Input'!G115),"",'Data Input'!G115)</f>
        <v>SVD</v>
      </c>
      <c r="J115" t="str">
        <f>IF(ISBLANK('Data Input'!I115),"",'Data Input'!I115)</f>
        <v>6/21/18 1422</v>
      </c>
      <c r="K115" t="str">
        <f>IF(ISBLANK('Data Input'!J115),"",'Data Input'!J115)</f>
        <v>rr - Percocet</v>
      </c>
      <c r="L115">
        <f>IF(ISBLANK('Data Input'!K115),"",'Data Input'!K115)</f>
        <v>1</v>
      </c>
      <c r="M115">
        <f>IF(ISBLANK('Data Input'!L115),"",'Data Input'!L115)</f>
        <v>7</v>
      </c>
      <c r="N115">
        <f>IF(ISBLANK('Data Input'!M115),"",'Data Input'!M115)</f>
        <v>0</v>
      </c>
      <c r="O115" t="str">
        <f>IF(ISBLANK('Data Input'!N115),"",'Data Input'!N115)</f>
        <v/>
      </c>
      <c r="P115" t="str">
        <f>IF(ISBLANK('Data Input'!O115),"",'Data Input'!O115)</f>
        <v/>
      </c>
      <c r="Q115" t="str">
        <f>IF(ISBLANK('Data Input'!P115),"",'Data Input'!P115)</f>
        <v/>
      </c>
      <c r="R115" t="b">
        <f>IF(ISBLANK('Data Input'!Q115),"",'Data Input'!Q115)</f>
        <v>0</v>
      </c>
      <c r="T115" s="2">
        <f t="shared" si="6"/>
        <v>43272</v>
      </c>
      <c r="U115" s="12">
        <f t="shared" si="7"/>
        <v>0.53125</v>
      </c>
      <c r="V115" s="2">
        <f t="shared" si="8"/>
        <v>43273</v>
      </c>
      <c r="W115" s="12">
        <f t="shared" si="9"/>
        <v>0.52013888888888882</v>
      </c>
    </row>
    <row r="116" spans="1:23">
      <c r="A116">
        <f>IF(ISBLANK('Data Input'!A116),"",'Data Input'!A116)</f>
        <v>30</v>
      </c>
      <c r="B116" t="str">
        <f>IF(ISBLANK('Data Input'!B116),"",'Data Input'!B116)</f>
        <v>AR030</v>
      </c>
      <c r="C116" t="str">
        <f>IF(ISBLANK('Data Input'!C116),"",'Data Input'!C116)</f>
        <v>6/21/18 1245</v>
      </c>
      <c r="E116" t="str">
        <f>IF(ISBLANK('Data Input'!D116),"",'Data Input'!D116)</f>
        <v>6/22/18 1229</v>
      </c>
      <c r="G116">
        <f>IF(ISBLANK('Data Input'!E116),"",'Data Input'!E116)</f>
        <v>20</v>
      </c>
      <c r="H116" t="str">
        <f>IF(ISBLANK('Data Input'!F116),"",'Data Input'!F116)</f>
        <v>BW - Black/White</v>
      </c>
      <c r="I116" t="str">
        <f>IF(ISBLANK('Data Input'!G116),"",'Data Input'!G116)</f>
        <v>SVD</v>
      </c>
      <c r="J116" t="str">
        <f>IF(ISBLANK('Data Input'!I116),"",'Data Input'!I116)</f>
        <v>6/21/18 2144</v>
      </c>
      <c r="K116" t="str">
        <f>IF(ISBLANK('Data Input'!J116),"",'Data Input'!J116)</f>
        <v>bb - Ibuprofen</v>
      </c>
      <c r="L116">
        <f>IF(ISBLANK('Data Input'!K116),"",'Data Input'!K116)</f>
        <v>800</v>
      </c>
      <c r="M116">
        <f>IF(ISBLANK('Data Input'!L116),"",'Data Input'!L116)</f>
        <v>1</v>
      </c>
      <c r="N116">
        <f>IF(ISBLANK('Data Input'!M116),"",'Data Input'!M116)</f>
        <v>0</v>
      </c>
      <c r="O116" t="str">
        <f>IF(ISBLANK('Data Input'!N116),"",'Data Input'!N116)</f>
        <v/>
      </c>
      <c r="P116" t="str">
        <f>IF(ISBLANK('Data Input'!O116),"",'Data Input'!O116)</f>
        <v/>
      </c>
      <c r="Q116" t="str">
        <f>IF(ISBLANK('Data Input'!P116),"",'Data Input'!P116)</f>
        <v/>
      </c>
      <c r="R116" t="b">
        <f>IF(ISBLANK('Data Input'!Q116),"",'Data Input'!Q116)</f>
        <v>0</v>
      </c>
      <c r="T116" s="2">
        <f t="shared" si="6"/>
        <v>43272</v>
      </c>
      <c r="U116" s="12">
        <f t="shared" si="7"/>
        <v>0.53125</v>
      </c>
      <c r="V116" s="2">
        <f t="shared" si="8"/>
        <v>43273</v>
      </c>
      <c r="W116" s="12">
        <f t="shared" si="9"/>
        <v>0.52013888888888882</v>
      </c>
    </row>
    <row r="117" spans="1:23">
      <c r="A117">
        <f>IF(ISBLANK('Data Input'!A117),"",'Data Input'!A117)</f>
        <v>30</v>
      </c>
      <c r="B117" t="str">
        <f>IF(ISBLANK('Data Input'!B117),"",'Data Input'!B117)</f>
        <v>AR030</v>
      </c>
      <c r="C117" t="str">
        <f>IF(ISBLANK('Data Input'!C117),"",'Data Input'!C117)</f>
        <v>6/21/18 1245</v>
      </c>
      <c r="E117" t="str">
        <f>IF(ISBLANK('Data Input'!D117),"",'Data Input'!D117)</f>
        <v>6/22/18 1229</v>
      </c>
      <c r="G117">
        <f>IF(ISBLANK('Data Input'!E117),"",'Data Input'!E117)</f>
        <v>20</v>
      </c>
      <c r="H117" t="str">
        <f>IF(ISBLANK('Data Input'!F117),"",'Data Input'!F117)</f>
        <v>BW - Black/White</v>
      </c>
      <c r="I117" t="str">
        <f>IF(ISBLANK('Data Input'!G117),"",'Data Input'!G117)</f>
        <v>SVD</v>
      </c>
      <c r="J117" t="str">
        <f>IF(ISBLANK('Data Input'!I117),"",'Data Input'!I117)</f>
        <v>6/22/18 1229</v>
      </c>
      <c r="K117" t="str">
        <f>IF(ISBLANK('Data Input'!J117),"",'Data Input'!J117)</f>
        <v>bb - Ibuprofen</v>
      </c>
      <c r="L117">
        <f>IF(ISBLANK('Data Input'!K117),"",'Data Input'!K117)</f>
        <v>800</v>
      </c>
      <c r="M117">
        <f>IF(ISBLANK('Data Input'!L117),"",'Data Input'!L117)</f>
        <v>0</v>
      </c>
      <c r="N117">
        <f>IF(ISBLANK('Data Input'!M117),"",'Data Input'!M117)</f>
        <v>0</v>
      </c>
      <c r="O117" t="str">
        <f>IF(ISBLANK('Data Input'!N117),"",'Data Input'!N117)</f>
        <v/>
      </c>
      <c r="P117" t="str">
        <f>IF(ISBLANK('Data Input'!O117),"",'Data Input'!O117)</f>
        <v/>
      </c>
      <c r="Q117" t="str">
        <f>IF(ISBLANK('Data Input'!P117),"",'Data Input'!P117)</f>
        <v/>
      </c>
      <c r="R117" t="b">
        <f>IF(ISBLANK('Data Input'!Q117),"",'Data Input'!Q117)</f>
        <v>0</v>
      </c>
      <c r="T117" s="2">
        <f t="shared" si="6"/>
        <v>43272</v>
      </c>
      <c r="U117" s="12">
        <f t="shared" si="7"/>
        <v>0.53125</v>
      </c>
      <c r="V117" s="2">
        <f t="shared" si="8"/>
        <v>43273</v>
      </c>
      <c r="W117" s="12">
        <f t="shared" si="9"/>
        <v>0.52013888888888882</v>
      </c>
    </row>
    <row r="118" spans="1:23">
      <c r="A118">
        <f>IF(ISBLANK('Data Input'!A118),"",'Data Input'!A118)</f>
        <v>31</v>
      </c>
      <c r="B118" t="str">
        <f>IF(ISBLANK('Data Input'!B118),"",'Data Input'!B118)</f>
        <v>SS031</v>
      </c>
      <c r="C118" t="str">
        <f>IF(ISBLANK('Data Input'!C118),"",'Data Input'!C118)</f>
        <v>6/22/18 0510</v>
      </c>
      <c r="E118" t="str">
        <f>IF(ISBLANK('Data Input'!D118),"",'Data Input'!D118)</f>
        <v>6/23/18 0138</v>
      </c>
      <c r="G118">
        <f>IF(ISBLANK('Data Input'!E118),"",'Data Input'!E118)</f>
        <v>30</v>
      </c>
      <c r="H118" t="str">
        <f>IF(ISBLANK('Data Input'!F118),"",'Data Input'!F118)</f>
        <v>BW - Black/White</v>
      </c>
      <c r="I118" t="str">
        <f>IF(ISBLANK('Data Input'!G118),"",'Data Input'!G118)</f>
        <v>Caesarean</v>
      </c>
      <c r="J118" t="str">
        <f>IF(ISBLANK('Data Input'!I118),"",'Data Input'!I118)</f>
        <v>6/22/18 0614</v>
      </c>
      <c r="K118" t="str">
        <f>IF(ISBLANK('Data Input'!J118),"",'Data Input'!J118)</f>
        <v>te - Tylenol</v>
      </c>
      <c r="L118">
        <f>IF(ISBLANK('Data Input'!K118),"",'Data Input'!K118)</f>
        <v>1000</v>
      </c>
      <c r="M118">
        <f>IF(ISBLANK('Data Input'!L118),"",'Data Input'!L118)</f>
        <v>3</v>
      </c>
      <c r="N118">
        <f>IF(ISBLANK('Data Input'!M118),"",'Data Input'!M118)</f>
        <v>0</v>
      </c>
      <c r="O118" t="str">
        <f>IF(ISBLANK('Data Input'!N118),"",'Data Input'!N118)</f>
        <v/>
      </c>
      <c r="P118" t="str">
        <f>IF(ISBLANK('Data Input'!O118),"",'Data Input'!O118)</f>
        <v/>
      </c>
      <c r="Q118" t="str">
        <f>IF(ISBLANK('Data Input'!P118),"",'Data Input'!P118)</f>
        <v/>
      </c>
      <c r="R118" t="b">
        <f>IF(ISBLANK('Data Input'!Q118),"",'Data Input'!Q118)</f>
        <v>1</v>
      </c>
      <c r="T118" s="2">
        <f t="shared" si="6"/>
        <v>43273</v>
      </c>
      <c r="U118" s="12">
        <f t="shared" si="7"/>
        <v>0.21527777777777779</v>
      </c>
      <c r="V118" s="2">
        <f t="shared" si="8"/>
        <v>43274</v>
      </c>
      <c r="W118" s="12">
        <f t="shared" si="9"/>
        <v>6.805555555555555E-2</v>
      </c>
    </row>
    <row r="119" spans="1:23">
      <c r="A119">
        <f>IF(ISBLANK('Data Input'!A119),"",'Data Input'!A119)</f>
        <v>31</v>
      </c>
      <c r="B119" t="str">
        <f>IF(ISBLANK('Data Input'!B119),"",'Data Input'!B119)</f>
        <v>SS031</v>
      </c>
      <c r="C119" t="str">
        <f>IF(ISBLANK('Data Input'!C119),"",'Data Input'!C119)</f>
        <v>6/22/18 0510</v>
      </c>
      <c r="E119" t="str">
        <f>IF(ISBLANK('Data Input'!D119),"",'Data Input'!D119)</f>
        <v>6/23/18 0138</v>
      </c>
      <c r="G119">
        <f>IF(ISBLANK('Data Input'!E119),"",'Data Input'!E119)</f>
        <v>30</v>
      </c>
      <c r="H119" t="str">
        <f>IF(ISBLANK('Data Input'!F119),"",'Data Input'!F119)</f>
        <v>BW - Black/White</v>
      </c>
      <c r="I119" t="str">
        <f>IF(ISBLANK('Data Input'!G119),"",'Data Input'!G119)</f>
        <v>Caesarean</v>
      </c>
      <c r="J119" t="str">
        <f>IF(ISBLANK('Data Input'!I119),"",'Data Input'!I119)</f>
        <v>6/22/18 1225</v>
      </c>
      <c r="K119" t="str">
        <f>IF(ISBLANK('Data Input'!J119),"",'Data Input'!J119)</f>
        <v>te - Tylenol</v>
      </c>
      <c r="L119">
        <f>IF(ISBLANK('Data Input'!K119),"",'Data Input'!K119)</f>
        <v>1000</v>
      </c>
      <c r="M119">
        <f>IF(ISBLANK('Data Input'!L119),"",'Data Input'!L119)</f>
        <v>5</v>
      </c>
      <c r="N119">
        <f>IF(ISBLANK('Data Input'!M119),"",'Data Input'!M119)</f>
        <v>0</v>
      </c>
      <c r="O119" t="str">
        <f>IF(ISBLANK('Data Input'!N119),"",'Data Input'!N119)</f>
        <v/>
      </c>
      <c r="P119" t="str">
        <f>IF(ISBLANK('Data Input'!O119),"",'Data Input'!O119)</f>
        <v/>
      </c>
      <c r="Q119" t="str">
        <f>IF(ISBLANK('Data Input'!P119),"",'Data Input'!P119)</f>
        <v/>
      </c>
      <c r="R119" t="b">
        <f>IF(ISBLANK('Data Input'!Q119),"",'Data Input'!Q119)</f>
        <v>1</v>
      </c>
      <c r="T119" s="2">
        <f t="shared" si="6"/>
        <v>43273</v>
      </c>
      <c r="U119" s="12">
        <f t="shared" si="7"/>
        <v>0.21527777777777779</v>
      </c>
      <c r="V119" s="2">
        <f t="shared" si="8"/>
        <v>43274</v>
      </c>
      <c r="W119" s="12">
        <f t="shared" si="9"/>
        <v>6.805555555555555E-2</v>
      </c>
    </row>
    <row r="120" spans="1:23">
      <c r="A120">
        <f>IF(ISBLANK('Data Input'!A120),"",'Data Input'!A120)</f>
        <v>31</v>
      </c>
      <c r="B120" t="str">
        <f>IF(ISBLANK('Data Input'!B120),"",'Data Input'!B120)</f>
        <v>SS031</v>
      </c>
      <c r="C120" t="str">
        <f>IF(ISBLANK('Data Input'!C120),"",'Data Input'!C120)</f>
        <v>6/22/18 0510</v>
      </c>
      <c r="E120" t="str">
        <f>IF(ISBLANK('Data Input'!D120),"",'Data Input'!D120)</f>
        <v>6/23/18 0138</v>
      </c>
      <c r="G120">
        <f>IF(ISBLANK('Data Input'!E120),"",'Data Input'!E120)</f>
        <v>30</v>
      </c>
      <c r="H120" t="str">
        <f>IF(ISBLANK('Data Input'!F120),"",'Data Input'!F120)</f>
        <v>BW - Black/White</v>
      </c>
      <c r="I120" t="str">
        <f>IF(ISBLANK('Data Input'!G120),"",'Data Input'!G120)</f>
        <v>Caesarean</v>
      </c>
      <c r="J120" t="str">
        <f>IF(ISBLANK('Data Input'!I120),"",'Data Input'!I120)</f>
        <v>6/22/18 1836</v>
      </c>
      <c r="K120" t="str">
        <f>IF(ISBLANK('Data Input'!J120),"",'Data Input'!J120)</f>
        <v>bb - Ibuprofen</v>
      </c>
      <c r="L120">
        <f>IF(ISBLANK('Data Input'!K120),"",'Data Input'!K120)</f>
        <v>800</v>
      </c>
      <c r="M120">
        <f>IF(ISBLANK('Data Input'!L120),"",'Data Input'!L120)</f>
        <v>2</v>
      </c>
      <c r="N120">
        <f>IF(ISBLANK('Data Input'!M120),"",'Data Input'!M120)</f>
        <v>0</v>
      </c>
      <c r="O120" t="str">
        <f>IF(ISBLANK('Data Input'!N120),"",'Data Input'!N120)</f>
        <v/>
      </c>
      <c r="P120" t="str">
        <f>IF(ISBLANK('Data Input'!O120),"",'Data Input'!O120)</f>
        <v/>
      </c>
      <c r="Q120" t="str">
        <f>IF(ISBLANK('Data Input'!P120),"",'Data Input'!P120)</f>
        <v/>
      </c>
      <c r="R120" t="b">
        <f>IF(ISBLANK('Data Input'!Q120),"",'Data Input'!Q120)</f>
        <v>1</v>
      </c>
      <c r="T120" s="2">
        <f t="shared" si="6"/>
        <v>43273</v>
      </c>
      <c r="U120" s="12">
        <f t="shared" si="7"/>
        <v>0.21527777777777779</v>
      </c>
      <c r="V120" s="2">
        <f t="shared" si="8"/>
        <v>43274</v>
      </c>
      <c r="W120" s="12">
        <f t="shared" si="9"/>
        <v>6.805555555555555E-2</v>
      </c>
    </row>
    <row r="121" spans="1:23">
      <c r="A121">
        <f>IF(ISBLANK('Data Input'!A121),"",'Data Input'!A121)</f>
        <v>31</v>
      </c>
      <c r="B121" t="str">
        <f>IF(ISBLANK('Data Input'!B121),"",'Data Input'!B121)</f>
        <v>SS031</v>
      </c>
      <c r="C121" t="str">
        <f>IF(ISBLANK('Data Input'!C121),"",'Data Input'!C121)</f>
        <v>6/22/18 0510</v>
      </c>
      <c r="E121" t="str">
        <f>IF(ISBLANK('Data Input'!D121),"",'Data Input'!D121)</f>
        <v>6/23/18 0138</v>
      </c>
      <c r="G121">
        <f>IF(ISBLANK('Data Input'!E121),"",'Data Input'!E121)</f>
        <v>30</v>
      </c>
      <c r="H121" t="str">
        <f>IF(ISBLANK('Data Input'!F121),"",'Data Input'!F121)</f>
        <v>BW - Black/White</v>
      </c>
      <c r="I121" t="str">
        <f>IF(ISBLANK('Data Input'!G121),"",'Data Input'!G121)</f>
        <v>Caesarean</v>
      </c>
      <c r="J121" t="str">
        <f>IF(ISBLANK('Data Input'!I121),"",'Data Input'!I121)</f>
        <v>6/23/18 0138</v>
      </c>
      <c r="K121" t="str">
        <f>IF(ISBLANK('Data Input'!J121),"",'Data Input'!J121)</f>
        <v>bb - Ibuprofen</v>
      </c>
      <c r="L121">
        <f>IF(ISBLANK('Data Input'!K121),"",'Data Input'!K121)</f>
        <v>800</v>
      </c>
      <c r="M121">
        <f>IF(ISBLANK('Data Input'!L121),"",'Data Input'!L121)</f>
        <v>2</v>
      </c>
      <c r="N121">
        <f>IF(ISBLANK('Data Input'!M121),"",'Data Input'!M121)</f>
        <v>2</v>
      </c>
      <c r="O121" t="str">
        <f>IF(ISBLANK('Data Input'!N121),"",'Data Input'!N121)</f>
        <v/>
      </c>
      <c r="P121" t="str">
        <f>IF(ISBLANK('Data Input'!O121),"",'Data Input'!O121)</f>
        <v/>
      </c>
      <c r="Q121" t="str">
        <f>IF(ISBLANK('Data Input'!P121),"",'Data Input'!P121)</f>
        <v/>
      </c>
      <c r="R121" t="b">
        <f>IF(ISBLANK('Data Input'!Q121),"",'Data Input'!Q121)</f>
        <v>1</v>
      </c>
      <c r="T121" s="2">
        <f t="shared" si="6"/>
        <v>43273</v>
      </c>
      <c r="U121" s="12">
        <f t="shared" si="7"/>
        <v>0.21527777777777779</v>
      </c>
      <c r="V121" s="2">
        <f t="shared" si="8"/>
        <v>43274</v>
      </c>
      <c r="W121" s="12">
        <f t="shared" si="9"/>
        <v>6.805555555555555E-2</v>
      </c>
    </row>
    <row r="122" spans="1:23">
      <c r="A122">
        <f>IF(ISBLANK('Data Input'!A122),"",'Data Input'!A122)</f>
        <v>32</v>
      </c>
      <c r="B122" t="str">
        <f>IF(ISBLANK('Data Input'!B122),"",'Data Input'!B122)</f>
        <v>LT032</v>
      </c>
      <c r="C122" t="str">
        <f>IF(ISBLANK('Data Input'!C122),"",'Data Input'!C122)</f>
        <v>6/21/18 0330</v>
      </c>
      <c r="E122" t="str">
        <f>IF(ISBLANK('Data Input'!D122),"",'Data Input'!D122)</f>
        <v>6/22/18 0117</v>
      </c>
      <c r="G122">
        <f>IF(ISBLANK('Data Input'!E122),"",'Data Input'!E122)</f>
        <v>32</v>
      </c>
      <c r="H122" t="str">
        <f>IF(ISBLANK('Data Input'!F122),"",'Data Input'!F122)</f>
        <v>Black</v>
      </c>
      <c r="I122" t="str">
        <f>IF(ISBLANK('Data Input'!G122),"",'Data Input'!G122)</f>
        <v>Caesarean</v>
      </c>
      <c r="J122" t="str">
        <f>IF(ISBLANK('Data Input'!I122),"",'Data Input'!I122)</f>
        <v>6/21/18 0453</v>
      </c>
      <c r="K122" t="str">
        <f>IF(ISBLANK('Data Input'!J122),"",'Data Input'!J122)</f>
        <v>tr - Toradol</v>
      </c>
      <c r="L122">
        <f>IF(ISBLANK('Data Input'!K122),"",'Data Input'!K122)</f>
        <v>30</v>
      </c>
      <c r="M122">
        <f>IF(ISBLANK('Data Input'!L122),"",'Data Input'!L122)</f>
        <v>5</v>
      </c>
      <c r="N122">
        <f>IF(ISBLANK('Data Input'!M122),"",'Data Input'!M122)</f>
        <v>2</v>
      </c>
      <c r="O122" t="str">
        <f>IF(ISBLANK('Data Input'!N122),"",'Data Input'!N122)</f>
        <v/>
      </c>
      <c r="P122" t="str">
        <f>IF(ISBLANK('Data Input'!O122),"",'Data Input'!O122)</f>
        <v/>
      </c>
      <c r="Q122" t="str">
        <f>IF(ISBLANK('Data Input'!P122),"",'Data Input'!P122)</f>
        <v/>
      </c>
      <c r="R122" t="b">
        <f>IF(ISBLANK('Data Input'!Q122),"",'Data Input'!Q122)</f>
        <v>0</v>
      </c>
      <c r="T122" s="2">
        <f t="shared" si="6"/>
        <v>43272</v>
      </c>
      <c r="U122" s="12">
        <f t="shared" si="7"/>
        <v>0.14583333333333334</v>
      </c>
      <c r="V122" s="2">
        <f t="shared" si="8"/>
        <v>43273</v>
      </c>
      <c r="W122" s="12">
        <f t="shared" si="9"/>
        <v>5.347222222222222E-2</v>
      </c>
    </row>
    <row r="123" spans="1:23">
      <c r="A123">
        <f>IF(ISBLANK('Data Input'!A123),"",'Data Input'!A123)</f>
        <v>32</v>
      </c>
      <c r="B123" t="str">
        <f>IF(ISBLANK('Data Input'!B123),"",'Data Input'!B123)</f>
        <v>LT032</v>
      </c>
      <c r="C123" t="str">
        <f>IF(ISBLANK('Data Input'!C123),"",'Data Input'!C123)</f>
        <v>6/21/18 0330</v>
      </c>
      <c r="E123" t="str">
        <f>IF(ISBLANK('Data Input'!D123),"",'Data Input'!D123)</f>
        <v>6/22/18 0117</v>
      </c>
      <c r="G123">
        <f>IF(ISBLANK('Data Input'!E123),"",'Data Input'!E123)</f>
        <v>32</v>
      </c>
      <c r="H123" t="str">
        <f>IF(ISBLANK('Data Input'!F123),"",'Data Input'!F123)</f>
        <v>Black</v>
      </c>
      <c r="I123" t="str">
        <f>IF(ISBLANK('Data Input'!G123),"",'Data Input'!G123)</f>
        <v>Caesarean</v>
      </c>
      <c r="J123" t="str">
        <f>IF(ISBLANK('Data Input'!I123),"",'Data Input'!I123)</f>
        <v>6/21/18 1333</v>
      </c>
      <c r="K123" t="str">
        <f>IF(ISBLANK('Data Input'!J123),"",'Data Input'!J123)</f>
        <v>tr - Toradol</v>
      </c>
      <c r="L123">
        <f>IF(ISBLANK('Data Input'!K123),"",'Data Input'!K123)</f>
        <v>30</v>
      </c>
      <c r="M123">
        <f>IF(ISBLANK('Data Input'!L123),"",'Data Input'!L123)</f>
        <v>6</v>
      </c>
      <c r="N123">
        <f>IF(ISBLANK('Data Input'!M123),"",'Data Input'!M123)</f>
        <v>0</v>
      </c>
      <c r="O123" t="str">
        <f>IF(ISBLANK('Data Input'!N123),"",'Data Input'!N123)</f>
        <v/>
      </c>
      <c r="P123" t="str">
        <f>IF(ISBLANK('Data Input'!O123),"",'Data Input'!O123)</f>
        <v/>
      </c>
      <c r="Q123" t="str">
        <f>IF(ISBLANK('Data Input'!P123),"",'Data Input'!P123)</f>
        <v/>
      </c>
      <c r="R123" t="b">
        <f>IF(ISBLANK('Data Input'!Q123),"",'Data Input'!Q123)</f>
        <v>0</v>
      </c>
      <c r="T123" s="2">
        <f t="shared" si="6"/>
        <v>43272</v>
      </c>
      <c r="U123" s="12">
        <f t="shared" si="7"/>
        <v>0.14583333333333334</v>
      </c>
      <c r="V123" s="2">
        <f t="shared" si="8"/>
        <v>43273</v>
      </c>
      <c r="W123" s="12">
        <f t="shared" si="9"/>
        <v>5.347222222222222E-2</v>
      </c>
    </row>
    <row r="124" spans="1:23">
      <c r="A124">
        <f>IF(ISBLANK('Data Input'!A124),"",'Data Input'!A124)</f>
        <v>32</v>
      </c>
      <c r="B124" t="str">
        <f>IF(ISBLANK('Data Input'!B124),"",'Data Input'!B124)</f>
        <v>LT032</v>
      </c>
      <c r="C124" t="str">
        <f>IF(ISBLANK('Data Input'!C124),"",'Data Input'!C124)</f>
        <v>6/21/18 0330</v>
      </c>
      <c r="E124" t="str">
        <f>IF(ISBLANK('Data Input'!D124),"",'Data Input'!D124)</f>
        <v>6/22/18 0117</v>
      </c>
      <c r="G124">
        <f>IF(ISBLANK('Data Input'!E124),"",'Data Input'!E124)</f>
        <v>32</v>
      </c>
      <c r="H124" t="str">
        <f>IF(ISBLANK('Data Input'!F124),"",'Data Input'!F124)</f>
        <v>Black</v>
      </c>
      <c r="I124" t="str">
        <f>IF(ISBLANK('Data Input'!G124),"",'Data Input'!G124)</f>
        <v>Caesarean</v>
      </c>
      <c r="J124" t="str">
        <f>IF(ISBLANK('Data Input'!I124),"",'Data Input'!I124)</f>
        <v>6/21/18 2059</v>
      </c>
      <c r="K124" t="str">
        <f>IF(ISBLANK('Data Input'!J124),"",'Data Input'!J124)</f>
        <v>tr - Toradol</v>
      </c>
      <c r="L124">
        <f>IF(ISBLANK('Data Input'!K124),"",'Data Input'!K124)</f>
        <v>30</v>
      </c>
      <c r="M124">
        <f>IF(ISBLANK('Data Input'!L124),"",'Data Input'!L124)</f>
        <v>8</v>
      </c>
      <c r="N124">
        <f>IF(ISBLANK('Data Input'!M124),"",'Data Input'!M124)</f>
        <v>4</v>
      </c>
      <c r="O124" t="str">
        <f>IF(ISBLANK('Data Input'!N124),"",'Data Input'!N124)</f>
        <v/>
      </c>
      <c r="P124" t="str">
        <f>IF(ISBLANK('Data Input'!O124),"",'Data Input'!O124)</f>
        <v/>
      </c>
      <c r="Q124" t="str">
        <f>IF(ISBLANK('Data Input'!P124),"",'Data Input'!P124)</f>
        <v/>
      </c>
      <c r="R124" t="b">
        <f>IF(ISBLANK('Data Input'!Q124),"",'Data Input'!Q124)</f>
        <v>0</v>
      </c>
      <c r="T124" s="2">
        <f t="shared" si="6"/>
        <v>43272</v>
      </c>
      <c r="U124" s="12">
        <f t="shared" si="7"/>
        <v>0.14583333333333334</v>
      </c>
      <c r="V124" s="2">
        <f t="shared" si="8"/>
        <v>43273</v>
      </c>
      <c r="W124" s="12">
        <f t="shared" si="9"/>
        <v>5.347222222222222E-2</v>
      </c>
    </row>
    <row r="125" spans="1:23">
      <c r="A125">
        <f>IF(ISBLANK('Data Input'!A125),"",'Data Input'!A125)</f>
        <v>32</v>
      </c>
      <c r="B125" t="str">
        <f>IF(ISBLANK('Data Input'!B125),"",'Data Input'!B125)</f>
        <v>LT032</v>
      </c>
      <c r="C125" t="str">
        <f>IF(ISBLANK('Data Input'!C125),"",'Data Input'!C125)</f>
        <v>6/21/18 0330</v>
      </c>
      <c r="E125" t="str">
        <f>IF(ISBLANK('Data Input'!D125),"",'Data Input'!D125)</f>
        <v>6/22/18 0117</v>
      </c>
      <c r="G125">
        <f>IF(ISBLANK('Data Input'!E125),"",'Data Input'!E125)</f>
        <v>32</v>
      </c>
      <c r="H125" t="str">
        <f>IF(ISBLANK('Data Input'!F125),"",'Data Input'!F125)</f>
        <v>Black</v>
      </c>
      <c r="I125" t="str">
        <f>IF(ISBLANK('Data Input'!G125),"",'Data Input'!G125)</f>
        <v>Caesarean</v>
      </c>
      <c r="J125" t="str">
        <f>IF(ISBLANK('Data Input'!I125),"",'Data Input'!I125)</f>
        <v>6/22/18 0017</v>
      </c>
      <c r="K125" t="str">
        <f>IF(ISBLANK('Data Input'!J125),"",'Data Input'!J125)</f>
        <v>te - Tylenol</v>
      </c>
      <c r="L125">
        <f>IF(ISBLANK('Data Input'!K125),"",'Data Input'!K125)</f>
        <v>1000</v>
      </c>
      <c r="M125" t="str">
        <f>IF(ISBLANK('Data Input'!L125),"",'Data Input'!L125)</f>
        <v>dd - Missing Data</v>
      </c>
      <c r="N125">
        <f>IF(ISBLANK('Data Input'!M125),"",'Data Input'!M125)</f>
        <v>3</v>
      </c>
      <c r="O125" t="str">
        <f>IF(ISBLANK('Data Input'!N125),"",'Data Input'!N125)</f>
        <v/>
      </c>
      <c r="P125" t="str">
        <f>IF(ISBLANK('Data Input'!O125),"",'Data Input'!O125)</f>
        <v/>
      </c>
      <c r="Q125" t="str">
        <f>IF(ISBLANK('Data Input'!P125),"",'Data Input'!P125)</f>
        <v/>
      </c>
      <c r="R125" t="b">
        <f>IF(ISBLANK('Data Input'!Q125),"",'Data Input'!Q125)</f>
        <v>0</v>
      </c>
      <c r="T125" s="2">
        <f t="shared" si="6"/>
        <v>43272</v>
      </c>
      <c r="U125" s="12">
        <f t="shared" si="7"/>
        <v>0.14583333333333334</v>
      </c>
      <c r="V125" s="2">
        <f t="shared" si="8"/>
        <v>43273</v>
      </c>
      <c r="W125" s="12">
        <f t="shared" si="9"/>
        <v>5.347222222222222E-2</v>
      </c>
    </row>
    <row r="126" spans="1:23">
      <c r="A126">
        <f>IF(ISBLANK('Data Input'!A126),"",'Data Input'!A126)</f>
        <v>33</v>
      </c>
      <c r="B126" t="str">
        <f>IF(ISBLANK('Data Input'!B126),"",'Data Input'!B126)</f>
        <v>LY033</v>
      </c>
      <c r="C126" t="str">
        <f>IF(ISBLANK('Data Input'!C126),"",'Data Input'!C126)</f>
        <v>6/21/18 0300</v>
      </c>
      <c r="E126" t="str">
        <f>IF(ISBLANK('Data Input'!D126),"",'Data Input'!D126)</f>
        <v>6/21/18 2211</v>
      </c>
      <c r="G126">
        <f>IF(ISBLANK('Data Input'!E126),"",'Data Input'!E126)</f>
        <v>31</v>
      </c>
      <c r="H126" t="str">
        <f>IF(ISBLANK('Data Input'!F126),"",'Data Input'!F126)</f>
        <v>White</v>
      </c>
      <c r="I126" t="str">
        <f>IF(ISBLANK('Data Input'!G126),"",'Data Input'!G126)</f>
        <v>SVD</v>
      </c>
      <c r="J126" t="str">
        <f>IF(ISBLANK('Data Input'!I126),"",'Data Input'!I126)</f>
        <v>6/21/18 1009</v>
      </c>
      <c r="K126" t="str">
        <f>IF(ISBLANK('Data Input'!J126),"",'Data Input'!J126)</f>
        <v>bb - Ibuprofen</v>
      </c>
      <c r="L126">
        <f>IF(ISBLANK('Data Input'!K126),"",'Data Input'!K126)</f>
        <v>800</v>
      </c>
      <c r="M126">
        <f>IF(ISBLANK('Data Input'!L126),"",'Data Input'!L126)</f>
        <v>3</v>
      </c>
      <c r="N126">
        <f>IF(ISBLANK('Data Input'!M126),"",'Data Input'!M126)</f>
        <v>3</v>
      </c>
      <c r="O126" t="str">
        <f>IF(ISBLANK('Data Input'!N126),"",'Data Input'!N126)</f>
        <v/>
      </c>
      <c r="P126" t="str">
        <f>IF(ISBLANK('Data Input'!O126),"",'Data Input'!O126)</f>
        <v/>
      </c>
      <c r="Q126" t="str">
        <f>IF(ISBLANK('Data Input'!P126),"",'Data Input'!P126)</f>
        <v/>
      </c>
      <c r="R126" t="b">
        <f>IF(ISBLANK('Data Input'!Q126),"",'Data Input'!Q126)</f>
        <v>1</v>
      </c>
      <c r="T126" s="2">
        <f t="shared" si="6"/>
        <v>43272</v>
      </c>
      <c r="U126" s="12">
        <f t="shared" si="7"/>
        <v>0.125</v>
      </c>
      <c r="V126" s="2">
        <f t="shared" si="8"/>
        <v>43272</v>
      </c>
      <c r="W126" s="12">
        <f t="shared" si="9"/>
        <v>0.9243055555555556</v>
      </c>
    </row>
    <row r="127" spans="1:23">
      <c r="A127">
        <f>IF(ISBLANK('Data Input'!A127),"",'Data Input'!A127)</f>
        <v>33</v>
      </c>
      <c r="B127" t="str">
        <f>IF(ISBLANK('Data Input'!B127),"",'Data Input'!B127)</f>
        <v>LY033</v>
      </c>
      <c r="C127" t="str">
        <f>IF(ISBLANK('Data Input'!C127),"",'Data Input'!C127)</f>
        <v>6/21/18 0300</v>
      </c>
      <c r="E127" t="str">
        <f>IF(ISBLANK('Data Input'!D127),"",'Data Input'!D127)</f>
        <v>6/21/18 2211</v>
      </c>
      <c r="G127">
        <f>IF(ISBLANK('Data Input'!E127),"",'Data Input'!E127)</f>
        <v>31</v>
      </c>
      <c r="H127" t="str">
        <f>IF(ISBLANK('Data Input'!F127),"",'Data Input'!F127)</f>
        <v>White</v>
      </c>
      <c r="I127" t="str">
        <f>IF(ISBLANK('Data Input'!G127),"",'Data Input'!G127)</f>
        <v>SVD</v>
      </c>
      <c r="J127" t="str">
        <f>IF(ISBLANK('Data Input'!I127),"",'Data Input'!I127)</f>
        <v>6/21/18 1556</v>
      </c>
      <c r="K127" t="str">
        <f>IF(ISBLANK('Data Input'!J127),"",'Data Input'!J127)</f>
        <v>bb - Ibuprofen</v>
      </c>
      <c r="L127">
        <f>IF(ISBLANK('Data Input'!K127),"",'Data Input'!K127)</f>
        <v>800</v>
      </c>
      <c r="M127">
        <f>IF(ISBLANK('Data Input'!L127),"",'Data Input'!L127)</f>
        <v>4</v>
      </c>
      <c r="N127">
        <f>IF(ISBLANK('Data Input'!M127),"",'Data Input'!M127)</f>
        <v>3</v>
      </c>
      <c r="O127" t="str">
        <f>IF(ISBLANK('Data Input'!N127),"",'Data Input'!N127)</f>
        <v/>
      </c>
      <c r="P127" t="str">
        <f>IF(ISBLANK('Data Input'!O127),"",'Data Input'!O127)</f>
        <v/>
      </c>
      <c r="Q127" t="str">
        <f>IF(ISBLANK('Data Input'!P127),"",'Data Input'!P127)</f>
        <v/>
      </c>
      <c r="R127" t="b">
        <f>IF(ISBLANK('Data Input'!Q127),"",'Data Input'!Q127)</f>
        <v>1</v>
      </c>
      <c r="T127" s="2">
        <f t="shared" si="6"/>
        <v>43272</v>
      </c>
      <c r="U127" s="12">
        <f t="shared" si="7"/>
        <v>0.125</v>
      </c>
      <c r="V127" s="2">
        <f t="shared" si="8"/>
        <v>43272</v>
      </c>
      <c r="W127" s="12">
        <f t="shared" si="9"/>
        <v>0.9243055555555556</v>
      </c>
    </row>
    <row r="128" spans="1:23">
      <c r="A128">
        <f>IF(ISBLANK('Data Input'!A128),"",'Data Input'!A128)</f>
        <v>33</v>
      </c>
      <c r="B128" t="str">
        <f>IF(ISBLANK('Data Input'!B128),"",'Data Input'!B128)</f>
        <v>LY033</v>
      </c>
      <c r="C128" t="str">
        <f>IF(ISBLANK('Data Input'!C128),"",'Data Input'!C128)</f>
        <v>6/21/18 0300</v>
      </c>
      <c r="E128" t="str">
        <f>IF(ISBLANK('Data Input'!D128),"",'Data Input'!D128)</f>
        <v>6/21/18 2211</v>
      </c>
      <c r="G128">
        <f>IF(ISBLANK('Data Input'!E128),"",'Data Input'!E128)</f>
        <v>31</v>
      </c>
      <c r="H128" t="str">
        <f>IF(ISBLANK('Data Input'!F128),"",'Data Input'!F128)</f>
        <v>White</v>
      </c>
      <c r="I128" t="str">
        <f>IF(ISBLANK('Data Input'!G128),"",'Data Input'!G128)</f>
        <v>SVD</v>
      </c>
      <c r="J128" t="str">
        <f>IF(ISBLANK('Data Input'!I128),"",'Data Input'!I128)</f>
        <v>6/21/18 2211</v>
      </c>
      <c r="K128" t="str">
        <f>IF(ISBLANK('Data Input'!J128),"",'Data Input'!J128)</f>
        <v>bb - Ibuprofen</v>
      </c>
      <c r="L128">
        <f>IF(ISBLANK('Data Input'!K128),"",'Data Input'!K128)</f>
        <v>800</v>
      </c>
      <c r="M128">
        <f>IF(ISBLANK('Data Input'!L128),"",'Data Input'!L128)</f>
        <v>4</v>
      </c>
      <c r="N128">
        <f>IF(ISBLANK('Data Input'!M128),"",'Data Input'!M128)</f>
        <v>0</v>
      </c>
      <c r="O128" t="str">
        <f>IF(ISBLANK('Data Input'!N128),"",'Data Input'!N128)</f>
        <v/>
      </c>
      <c r="P128" t="str">
        <f>IF(ISBLANK('Data Input'!O128),"",'Data Input'!O128)</f>
        <v/>
      </c>
      <c r="Q128" t="str">
        <f>IF(ISBLANK('Data Input'!P128),"",'Data Input'!P128)</f>
        <v/>
      </c>
      <c r="R128" t="b">
        <f>IF(ISBLANK('Data Input'!Q128),"",'Data Input'!Q128)</f>
        <v>1</v>
      </c>
      <c r="T128" s="2">
        <f t="shared" si="6"/>
        <v>43272</v>
      </c>
      <c r="U128" s="12">
        <f t="shared" si="7"/>
        <v>0.125</v>
      </c>
      <c r="V128" s="2">
        <f t="shared" si="8"/>
        <v>43272</v>
      </c>
      <c r="W128" s="12">
        <f t="shared" si="9"/>
        <v>0.9243055555555556</v>
      </c>
    </row>
    <row r="129" spans="1:23">
      <c r="A129">
        <f>IF(ISBLANK('Data Input'!A129),"",'Data Input'!A129)</f>
        <v>34</v>
      </c>
      <c r="B129" t="str">
        <f>IF(ISBLANK('Data Input'!B129),"",'Data Input'!B129)</f>
        <v>AM034</v>
      </c>
      <c r="C129" t="str">
        <f>IF(ISBLANK('Data Input'!C129),"",'Data Input'!C129)</f>
        <v>6/22/18 0205</v>
      </c>
      <c r="E129" t="str">
        <f>IF(ISBLANK('Data Input'!D129),"",'Data Input'!D129)</f>
        <v>6/22/18 2211</v>
      </c>
      <c r="G129">
        <f>IF(ISBLANK('Data Input'!E129),"",'Data Input'!E129)</f>
        <v>25</v>
      </c>
      <c r="H129" t="str">
        <f>IF(ISBLANK('Data Input'!F129),"",'Data Input'!F129)</f>
        <v>White</v>
      </c>
      <c r="I129" t="str">
        <f>IF(ISBLANK('Data Input'!G129),"",'Data Input'!G129)</f>
        <v>SVD</v>
      </c>
      <c r="J129" t="str">
        <f>IF(ISBLANK('Data Input'!I129),"",'Data Input'!I129)</f>
        <v>6/22/18 1618</v>
      </c>
      <c r="K129" t="str">
        <f>IF(ISBLANK('Data Input'!J129),"",'Data Input'!J129)</f>
        <v>bb - Ibuprofen</v>
      </c>
      <c r="L129">
        <f>IF(ISBLANK('Data Input'!K129),"",'Data Input'!K129)</f>
        <v>800</v>
      </c>
      <c r="M129">
        <f>IF(ISBLANK('Data Input'!L129),"",'Data Input'!L129)</f>
        <v>6</v>
      </c>
      <c r="N129">
        <f>IF(ISBLANK('Data Input'!M129),"",'Data Input'!M129)</f>
        <v>3</v>
      </c>
      <c r="O129" t="str">
        <f>IF(ISBLANK('Data Input'!N129),"",'Data Input'!N129)</f>
        <v/>
      </c>
      <c r="P129" t="str">
        <f>IF(ISBLANK('Data Input'!O129),"",'Data Input'!O129)</f>
        <v/>
      </c>
      <c r="Q129" t="str">
        <f>IF(ISBLANK('Data Input'!P129),"",'Data Input'!P129)</f>
        <v/>
      </c>
      <c r="R129" t="b">
        <f>IF(ISBLANK('Data Input'!Q129),"",'Data Input'!Q129)</f>
        <v>0</v>
      </c>
      <c r="T129" s="2">
        <f t="shared" si="6"/>
        <v>43273</v>
      </c>
      <c r="U129" s="12">
        <f t="shared" si="7"/>
        <v>8.6805555555555566E-2</v>
      </c>
      <c r="V129" s="2">
        <f t="shared" si="8"/>
        <v>43273</v>
      </c>
      <c r="W129" s="12">
        <f t="shared" si="9"/>
        <v>0.9243055555555556</v>
      </c>
    </row>
    <row r="130" spans="1:23">
      <c r="A130">
        <f>IF(ISBLANK('Data Input'!A130),"",'Data Input'!A130)</f>
        <v>34</v>
      </c>
      <c r="B130" t="str">
        <f>IF(ISBLANK('Data Input'!B130),"",'Data Input'!B130)</f>
        <v>AM034</v>
      </c>
      <c r="C130" t="str">
        <f>IF(ISBLANK('Data Input'!C130),"",'Data Input'!C130)</f>
        <v>6/22/18 0205</v>
      </c>
      <c r="E130" t="str">
        <f>IF(ISBLANK('Data Input'!D130),"",'Data Input'!D130)</f>
        <v>6/22/18 2211</v>
      </c>
      <c r="G130">
        <f>IF(ISBLANK('Data Input'!E130),"",'Data Input'!E130)</f>
        <v>25</v>
      </c>
      <c r="H130" t="str">
        <f>IF(ISBLANK('Data Input'!F130),"",'Data Input'!F130)</f>
        <v>White</v>
      </c>
      <c r="I130" t="str">
        <f>IF(ISBLANK('Data Input'!G130),"",'Data Input'!G130)</f>
        <v>SVD</v>
      </c>
      <c r="J130" t="str">
        <f>IF(ISBLANK('Data Input'!I130),"",'Data Input'!I130)</f>
        <v>6/22/18 2211</v>
      </c>
      <c r="K130" t="str">
        <f>IF(ISBLANK('Data Input'!J130),"",'Data Input'!J130)</f>
        <v>rr - Percocet</v>
      </c>
      <c r="L130">
        <f>IF(ISBLANK('Data Input'!K130),"",'Data Input'!K130)</f>
        <v>1</v>
      </c>
      <c r="M130">
        <f>IF(ISBLANK('Data Input'!L130),"",'Data Input'!L130)</f>
        <v>6</v>
      </c>
      <c r="N130">
        <f>IF(ISBLANK('Data Input'!M130),"",'Data Input'!M130)</f>
        <v>3</v>
      </c>
      <c r="O130" t="str">
        <f>IF(ISBLANK('Data Input'!N130),"",'Data Input'!N130)</f>
        <v/>
      </c>
      <c r="P130" t="str">
        <f>IF(ISBLANK('Data Input'!O130),"",'Data Input'!O130)</f>
        <v/>
      </c>
      <c r="Q130" t="str">
        <f>IF(ISBLANK('Data Input'!P130),"",'Data Input'!P130)</f>
        <v/>
      </c>
      <c r="R130" t="b">
        <f>IF(ISBLANK('Data Input'!Q130),"",'Data Input'!Q130)</f>
        <v>0</v>
      </c>
      <c r="T130" s="2">
        <f t="shared" si="6"/>
        <v>43273</v>
      </c>
      <c r="U130" s="12">
        <f t="shared" si="7"/>
        <v>8.6805555555555566E-2</v>
      </c>
      <c r="V130" s="2">
        <f t="shared" si="8"/>
        <v>43273</v>
      </c>
      <c r="W130" s="12">
        <f t="shared" si="9"/>
        <v>0.9243055555555556</v>
      </c>
    </row>
    <row r="131" spans="1:23">
      <c r="A131">
        <f>IF(ISBLANK('Data Input'!A131),"",'Data Input'!A131)</f>
        <v>34</v>
      </c>
      <c r="B131" t="str">
        <f>IF(ISBLANK('Data Input'!B131),"",'Data Input'!B131)</f>
        <v>AM034</v>
      </c>
      <c r="C131" t="str">
        <f>IF(ISBLANK('Data Input'!C131),"",'Data Input'!C131)</f>
        <v>6/22/18 0205</v>
      </c>
      <c r="E131" t="str">
        <f>IF(ISBLANK('Data Input'!D131),"",'Data Input'!D131)</f>
        <v>6/22/18 2211</v>
      </c>
      <c r="G131">
        <f>IF(ISBLANK('Data Input'!E131),"",'Data Input'!E131)</f>
        <v>25</v>
      </c>
      <c r="H131" t="str">
        <f>IF(ISBLANK('Data Input'!F131),"",'Data Input'!F131)</f>
        <v>White</v>
      </c>
      <c r="I131" t="str">
        <f>IF(ISBLANK('Data Input'!G131),"",'Data Input'!G131)</f>
        <v>SVD</v>
      </c>
      <c r="J131" t="str">
        <f>IF(ISBLANK('Data Input'!I131),"",'Data Input'!I131)</f>
        <v>6/22/18 2211</v>
      </c>
      <c r="K131" t="str">
        <f>IF(ISBLANK('Data Input'!J131),"",'Data Input'!J131)</f>
        <v>bb - Ibuprofen</v>
      </c>
      <c r="L131">
        <f>IF(ISBLANK('Data Input'!K131),"",'Data Input'!K131)</f>
        <v>800</v>
      </c>
      <c r="M131">
        <f>IF(ISBLANK('Data Input'!L131),"",'Data Input'!L131)</f>
        <v>5</v>
      </c>
      <c r="N131">
        <f>IF(ISBLANK('Data Input'!M131),"",'Data Input'!M131)</f>
        <v>3</v>
      </c>
      <c r="O131" t="str">
        <f>IF(ISBLANK('Data Input'!N131),"",'Data Input'!N131)</f>
        <v/>
      </c>
      <c r="P131" t="str">
        <f>IF(ISBLANK('Data Input'!O131),"",'Data Input'!O131)</f>
        <v/>
      </c>
      <c r="Q131" t="str">
        <f>IF(ISBLANK('Data Input'!P131),"",'Data Input'!P131)</f>
        <v/>
      </c>
      <c r="R131" t="b">
        <f>IF(ISBLANK('Data Input'!Q131),"",'Data Input'!Q131)</f>
        <v>0</v>
      </c>
      <c r="T131" s="2">
        <f t="shared" ref="T131:T194" si="10">DATEVALUE(LEFT(C131,FIND(" ",C131)))</f>
        <v>43273</v>
      </c>
      <c r="U131" s="12">
        <f t="shared" ref="U131:U194" si="11">TIMEVALUE(CONCATENATE(MID(C131,FIND(" ",C131)+1,2),":",RIGHT(C131,LEN(C131)-FIND(" ",C131)-2)))</f>
        <v>8.6805555555555566E-2</v>
      </c>
      <c r="V131" s="2">
        <f t="shared" si="8"/>
        <v>43273</v>
      </c>
      <c r="W131" s="12">
        <f t="shared" si="9"/>
        <v>0.9243055555555556</v>
      </c>
    </row>
    <row r="132" spans="1:23">
      <c r="A132">
        <f>IF(ISBLANK('Data Input'!A132),"",'Data Input'!A132)</f>
        <v>34</v>
      </c>
      <c r="B132" t="str">
        <f>IF(ISBLANK('Data Input'!B132),"",'Data Input'!B132)</f>
        <v>AM034</v>
      </c>
      <c r="C132" t="str">
        <f>IF(ISBLANK('Data Input'!C132),"",'Data Input'!C132)</f>
        <v>6/22/18 0205</v>
      </c>
      <c r="E132" t="str">
        <f>IF(ISBLANK('Data Input'!D132),"",'Data Input'!D132)</f>
        <v>6/22/18 2211</v>
      </c>
      <c r="G132">
        <f>IF(ISBLANK('Data Input'!E132),"",'Data Input'!E132)</f>
        <v>25</v>
      </c>
      <c r="H132" t="str">
        <f>IF(ISBLANK('Data Input'!F132),"",'Data Input'!F132)</f>
        <v>White</v>
      </c>
      <c r="I132" t="str">
        <f>IF(ISBLANK('Data Input'!G132),"",'Data Input'!G132)</f>
        <v>SVD</v>
      </c>
      <c r="J132" t="str">
        <f>IF(ISBLANK('Data Input'!I132),"",'Data Input'!I132)</f>
        <v>6/22/18 2211</v>
      </c>
      <c r="K132" t="str">
        <f>IF(ISBLANK('Data Input'!J132),"",'Data Input'!J132)</f>
        <v>rr - Percocet</v>
      </c>
      <c r="L132">
        <f>IF(ISBLANK('Data Input'!K132),"",'Data Input'!K132)</f>
        <v>1</v>
      </c>
      <c r="M132">
        <f>IF(ISBLANK('Data Input'!L132),"",'Data Input'!L132)</f>
        <v>5</v>
      </c>
      <c r="N132">
        <f>IF(ISBLANK('Data Input'!M132),"",'Data Input'!M132)</f>
        <v>3</v>
      </c>
      <c r="O132" t="str">
        <f>IF(ISBLANK('Data Input'!N132),"",'Data Input'!N132)</f>
        <v/>
      </c>
      <c r="P132" t="str">
        <f>IF(ISBLANK('Data Input'!O132),"",'Data Input'!O132)</f>
        <v/>
      </c>
      <c r="Q132" t="str">
        <f>IF(ISBLANK('Data Input'!P132),"",'Data Input'!P132)</f>
        <v/>
      </c>
      <c r="R132" t="b">
        <f>IF(ISBLANK('Data Input'!Q132),"",'Data Input'!Q132)</f>
        <v>0</v>
      </c>
      <c r="T132" s="2">
        <f t="shared" si="10"/>
        <v>43273</v>
      </c>
      <c r="U132" s="12">
        <f t="shared" si="11"/>
        <v>8.6805555555555566E-2</v>
      </c>
      <c r="V132" s="2">
        <f t="shared" si="8"/>
        <v>43273</v>
      </c>
      <c r="W132" s="12">
        <f t="shared" si="9"/>
        <v>0.9243055555555556</v>
      </c>
    </row>
    <row r="133" spans="1:23">
      <c r="A133">
        <f>IF(ISBLANK('Data Input'!A133),"",'Data Input'!A133)</f>
        <v>35</v>
      </c>
      <c r="B133" t="str">
        <f>IF(ISBLANK('Data Input'!B133),"",'Data Input'!B133)</f>
        <v>SW035</v>
      </c>
      <c r="C133" t="str">
        <f>IF(ISBLANK('Data Input'!C133),"",'Data Input'!C133)</f>
        <v>6/20/18 1035</v>
      </c>
      <c r="E133" t="str">
        <f>IF(ISBLANK('Data Input'!D133),"",'Data Input'!D133)</f>
        <v>6/21/18 1035</v>
      </c>
      <c r="G133">
        <f>IF(ISBLANK('Data Input'!E133),"",'Data Input'!E133)</f>
        <v>34</v>
      </c>
      <c r="H133" t="str">
        <f>IF(ISBLANK('Data Input'!F133),"",'Data Input'!F133)</f>
        <v>Black</v>
      </c>
      <c r="I133" t="str">
        <f>IF(ISBLANK('Data Input'!G133),"",'Data Input'!G133)</f>
        <v>SVD</v>
      </c>
      <c r="J133" t="str">
        <f>IF(ISBLANK('Data Input'!I133),"",'Data Input'!I133)</f>
        <v>NA</v>
      </c>
      <c r="K133" t="str">
        <f>IF(ISBLANK('Data Input'!J133),"",'Data Input'!J133)</f>
        <v>NA</v>
      </c>
      <c r="L133" t="str">
        <f>IF(ISBLANK('Data Input'!K133),"",'Data Input'!K133)</f>
        <v>NA</v>
      </c>
      <c r="M133" t="str">
        <f>IF(ISBLANK('Data Input'!L133),"",'Data Input'!L133)</f>
        <v>NA</v>
      </c>
      <c r="N133" t="str">
        <f>IF(ISBLANK('Data Input'!M133),"",'Data Input'!M133)</f>
        <v>NA</v>
      </c>
      <c r="O133" t="str">
        <f>IF(ISBLANK('Data Input'!N133),"",'Data Input'!N133)</f>
        <v>NA</v>
      </c>
      <c r="P133" t="str">
        <f>IF(ISBLANK('Data Input'!O133),"",'Data Input'!O133)</f>
        <v/>
      </c>
      <c r="Q133" t="str">
        <f>IF(ISBLANK('Data Input'!P133),"",'Data Input'!P133)</f>
        <v/>
      </c>
      <c r="R133" t="b">
        <f>IF(ISBLANK('Data Input'!Q133),"",'Data Input'!Q133)</f>
        <v>1</v>
      </c>
      <c r="T133" s="2">
        <f t="shared" si="10"/>
        <v>43271</v>
      </c>
      <c r="U133" s="12">
        <f t="shared" si="11"/>
        <v>0.44097222222222227</v>
      </c>
      <c r="V133" s="2">
        <f t="shared" si="8"/>
        <v>43272</v>
      </c>
      <c r="W133" s="12">
        <f t="shared" si="9"/>
        <v>0.44097222222222227</v>
      </c>
    </row>
    <row r="134" spans="1:23">
      <c r="A134">
        <f>IF(ISBLANK('Data Input'!A134),"",'Data Input'!A134)</f>
        <v>36</v>
      </c>
      <c r="B134" t="str">
        <f>IF(ISBLANK('Data Input'!B134),"",'Data Input'!B134)</f>
        <v>LS036</v>
      </c>
      <c r="C134" t="str">
        <f>IF(ISBLANK('Data Input'!C134),"",'Data Input'!C134)</f>
        <v>6/21/18 0750</v>
      </c>
      <c r="E134" t="str">
        <f>IF(ISBLANK('Data Input'!D134),"",'Data Input'!D134)</f>
        <v>6/22/18 0450</v>
      </c>
      <c r="G134">
        <f>IF(ISBLANK('Data Input'!E134),"",'Data Input'!E134)</f>
        <v>31</v>
      </c>
      <c r="H134" t="str">
        <f>IF(ISBLANK('Data Input'!F134),"",'Data Input'!F134)</f>
        <v>Black</v>
      </c>
      <c r="I134" t="str">
        <f>IF(ISBLANK('Data Input'!G134),"",'Data Input'!G134)</f>
        <v>Caesarean</v>
      </c>
      <c r="J134" t="str">
        <f>IF(ISBLANK('Data Input'!I134),"",'Data Input'!I134)</f>
        <v>6/21/18 1310</v>
      </c>
      <c r="K134" t="str">
        <f>IF(ISBLANK('Data Input'!J134),"",'Data Input'!J134)</f>
        <v>tr - Toradol</v>
      </c>
      <c r="L134">
        <f>IF(ISBLANK('Data Input'!K134),"",'Data Input'!K134)</f>
        <v>30</v>
      </c>
      <c r="M134">
        <f>IF(ISBLANK('Data Input'!L134),"",'Data Input'!L134)</f>
        <v>5</v>
      </c>
      <c r="N134">
        <f>IF(ISBLANK('Data Input'!M134),"",'Data Input'!M134)</f>
        <v>3</v>
      </c>
      <c r="O134" t="str">
        <f>IF(ISBLANK('Data Input'!N134),"",'Data Input'!N134)</f>
        <v/>
      </c>
      <c r="P134" t="str">
        <f>IF(ISBLANK('Data Input'!O134),"",'Data Input'!O134)</f>
        <v/>
      </c>
      <c r="Q134" t="str">
        <f>IF(ISBLANK('Data Input'!P134),"",'Data Input'!P134)</f>
        <v/>
      </c>
      <c r="R134" t="b">
        <f>IF(ISBLANK('Data Input'!Q134),"",'Data Input'!Q134)</f>
        <v>0</v>
      </c>
      <c r="T134" s="2">
        <f t="shared" si="10"/>
        <v>43272</v>
      </c>
      <c r="U134" s="12">
        <f t="shared" si="11"/>
        <v>0.3263888888888889</v>
      </c>
      <c r="V134" s="2">
        <f t="shared" si="8"/>
        <v>43273</v>
      </c>
      <c r="W134" s="12">
        <f t="shared" si="9"/>
        <v>0.20138888888888887</v>
      </c>
    </row>
    <row r="135" spans="1:23">
      <c r="A135">
        <f>IF(ISBLANK('Data Input'!A135),"",'Data Input'!A135)</f>
        <v>36</v>
      </c>
      <c r="B135" t="str">
        <f>IF(ISBLANK('Data Input'!B135),"",'Data Input'!B135)</f>
        <v>LS036</v>
      </c>
      <c r="C135" t="str">
        <f>IF(ISBLANK('Data Input'!C135),"",'Data Input'!C135)</f>
        <v>6/21/18 0750</v>
      </c>
      <c r="E135" t="str">
        <f>IF(ISBLANK('Data Input'!D135),"",'Data Input'!D135)</f>
        <v>6/22/18 0450</v>
      </c>
      <c r="G135">
        <f>IF(ISBLANK('Data Input'!E135),"",'Data Input'!E135)</f>
        <v>31</v>
      </c>
      <c r="H135" t="str">
        <f>IF(ISBLANK('Data Input'!F135),"",'Data Input'!F135)</f>
        <v>Black</v>
      </c>
      <c r="I135" t="str">
        <f>IF(ISBLANK('Data Input'!G135),"",'Data Input'!G135)</f>
        <v>Caesarean</v>
      </c>
      <c r="J135" t="str">
        <f>IF(ISBLANK('Data Input'!I135),"",'Data Input'!I135)</f>
        <v>6/21/18 1918</v>
      </c>
      <c r="K135" t="str">
        <f>IF(ISBLANK('Data Input'!J135),"",'Data Input'!J135)</f>
        <v>tr - Toradol</v>
      </c>
      <c r="L135">
        <f>IF(ISBLANK('Data Input'!K135),"",'Data Input'!K135)</f>
        <v>30</v>
      </c>
      <c r="M135">
        <f>IF(ISBLANK('Data Input'!L135),"",'Data Input'!L135)</f>
        <v>3</v>
      </c>
      <c r="N135">
        <f>IF(ISBLANK('Data Input'!M135),"",'Data Input'!M135)</f>
        <v>2</v>
      </c>
      <c r="O135" t="str">
        <f>IF(ISBLANK('Data Input'!N135),"",'Data Input'!N135)</f>
        <v/>
      </c>
      <c r="P135" t="str">
        <f>IF(ISBLANK('Data Input'!O135),"",'Data Input'!O135)</f>
        <v/>
      </c>
      <c r="Q135" t="str">
        <f>IF(ISBLANK('Data Input'!P135),"",'Data Input'!P135)</f>
        <v/>
      </c>
      <c r="R135" t="b">
        <f>IF(ISBLANK('Data Input'!Q135),"",'Data Input'!Q135)</f>
        <v>0</v>
      </c>
      <c r="T135" s="2">
        <f t="shared" si="10"/>
        <v>43272</v>
      </c>
      <c r="U135" s="12">
        <f t="shared" si="11"/>
        <v>0.3263888888888889</v>
      </c>
      <c r="V135" s="2">
        <f t="shared" ref="V135:V198" si="12">IFERROR(DATEVALUE(LEFT(E135,FIND(" ",E135))),E135)</f>
        <v>43273</v>
      </c>
      <c r="W135" s="12">
        <f t="shared" ref="W135:W198" si="13">IFERROR(TIMEVALUE(CONCATENATE(MID(E135,FIND(" ",E135)+1,2),":",RIGHT(E135,LEN(E135)-FIND(" ",E135)-2))),E135)</f>
        <v>0.20138888888888887</v>
      </c>
    </row>
    <row r="136" spans="1:23">
      <c r="A136">
        <f>IF(ISBLANK('Data Input'!A136),"",'Data Input'!A136)</f>
        <v>36</v>
      </c>
      <c r="B136" t="str">
        <f>IF(ISBLANK('Data Input'!B136),"",'Data Input'!B136)</f>
        <v>LS036</v>
      </c>
      <c r="C136" t="str">
        <f>IF(ISBLANK('Data Input'!C136),"",'Data Input'!C136)</f>
        <v>6/21/18 0750</v>
      </c>
      <c r="E136" t="str">
        <f>IF(ISBLANK('Data Input'!D136),"",'Data Input'!D136)</f>
        <v>6/22/18 0450</v>
      </c>
      <c r="G136">
        <f>IF(ISBLANK('Data Input'!E136),"",'Data Input'!E136)</f>
        <v>31</v>
      </c>
      <c r="H136" t="str">
        <f>IF(ISBLANK('Data Input'!F136),"",'Data Input'!F136)</f>
        <v>Black</v>
      </c>
      <c r="I136" t="str">
        <f>IF(ISBLANK('Data Input'!G136),"",'Data Input'!G136)</f>
        <v>Caesarean</v>
      </c>
      <c r="J136" t="str">
        <f>IF(ISBLANK('Data Input'!I136),"",'Data Input'!I136)</f>
        <v>6/22/18 0450</v>
      </c>
      <c r="K136" t="str">
        <f>IF(ISBLANK('Data Input'!J136),"",'Data Input'!J136)</f>
        <v>tr - Toradol</v>
      </c>
      <c r="L136">
        <f>IF(ISBLANK('Data Input'!K136),"",'Data Input'!K136)</f>
        <v>30</v>
      </c>
      <c r="M136">
        <f>IF(ISBLANK('Data Input'!L136),"",'Data Input'!L136)</f>
        <v>6</v>
      </c>
      <c r="N136">
        <f>IF(ISBLANK('Data Input'!M136),"",'Data Input'!M136)</f>
        <v>2</v>
      </c>
      <c r="O136" t="str">
        <f>IF(ISBLANK('Data Input'!N136),"",'Data Input'!N136)</f>
        <v/>
      </c>
      <c r="P136" t="str">
        <f>IF(ISBLANK('Data Input'!O136),"",'Data Input'!O136)</f>
        <v/>
      </c>
      <c r="Q136" t="str">
        <f>IF(ISBLANK('Data Input'!P136),"",'Data Input'!P136)</f>
        <v/>
      </c>
      <c r="R136" t="b">
        <f>IF(ISBLANK('Data Input'!Q136),"",'Data Input'!Q136)</f>
        <v>0</v>
      </c>
      <c r="T136" s="2">
        <f t="shared" si="10"/>
        <v>43272</v>
      </c>
      <c r="U136" s="12">
        <f t="shared" si="11"/>
        <v>0.3263888888888889</v>
      </c>
      <c r="V136" s="2">
        <f t="shared" si="12"/>
        <v>43273</v>
      </c>
      <c r="W136" s="12">
        <f t="shared" si="13"/>
        <v>0.20138888888888887</v>
      </c>
    </row>
    <row r="137" spans="1:23">
      <c r="A137">
        <f>IF(ISBLANK('Data Input'!A137),"",'Data Input'!A137)</f>
        <v>37</v>
      </c>
      <c r="B137" t="str">
        <f>IF(ISBLANK('Data Input'!B137),"",'Data Input'!B137)</f>
        <v>KH037</v>
      </c>
      <c r="C137" t="str">
        <f>IF(ISBLANK('Data Input'!C137),"",'Data Input'!C137)</f>
        <v>6/21/18 1655</v>
      </c>
      <c r="E137" t="str">
        <f>IF(ISBLANK('Data Input'!D137),"",'Data Input'!D137)</f>
        <v>dd - Missing Data</v>
      </c>
      <c r="G137">
        <f>IF(ISBLANK('Data Input'!E137),"",'Data Input'!E137)</f>
        <v>39</v>
      </c>
      <c r="H137" t="str">
        <f>IF(ISBLANK('Data Input'!F137),"",'Data Input'!F137)</f>
        <v>White</v>
      </c>
      <c r="I137" t="str">
        <f>IF(ISBLANK('Data Input'!G137),"",'Data Input'!G137)</f>
        <v>Caesarean</v>
      </c>
      <c r="J137" t="str">
        <f>IF(ISBLANK('Data Input'!I137),"",'Data Input'!I137)</f>
        <v>6/21/18 1657</v>
      </c>
      <c r="K137" t="str">
        <f>IF(ISBLANK('Data Input'!J137),"",'Data Input'!J137)</f>
        <v>bb - Ibuprofen</v>
      </c>
      <c r="L137">
        <f>IF(ISBLANK('Data Input'!K137),"",'Data Input'!K137)</f>
        <v>800</v>
      </c>
      <c r="M137" t="str">
        <f>IF(ISBLANK('Data Input'!L137),"",'Data Input'!L137)</f>
        <v>DD - Missing Data</v>
      </c>
      <c r="N137" t="str">
        <f>IF(ISBLANK('Data Input'!M137),"",'Data Input'!M137)</f>
        <v>DD - Missing Data</v>
      </c>
      <c r="O137" t="str">
        <f>IF(ISBLANK('Data Input'!N137),"",'Data Input'!N137)</f>
        <v/>
      </c>
      <c r="P137" t="str">
        <f>IF(ISBLANK('Data Input'!O137),"",'Data Input'!O137)</f>
        <v/>
      </c>
      <c r="Q137" t="str">
        <f>IF(ISBLANK('Data Input'!P137),"",'Data Input'!P137)</f>
        <v/>
      </c>
      <c r="R137" t="b">
        <f>IF(ISBLANK('Data Input'!Q137),"",'Data Input'!Q137)</f>
        <v>1</v>
      </c>
      <c r="T137" s="2">
        <f t="shared" si="10"/>
        <v>43272</v>
      </c>
      <c r="U137" s="12">
        <f t="shared" si="11"/>
        <v>0.70486111111111116</v>
      </c>
      <c r="V137" s="2" t="str">
        <f t="shared" si="12"/>
        <v>dd - Missing Data</v>
      </c>
      <c r="W137" s="12" t="str">
        <f t="shared" si="13"/>
        <v>dd - Missing Data</v>
      </c>
    </row>
    <row r="138" spans="1:23">
      <c r="A138">
        <f>IF(ISBLANK('Data Input'!A138),"",'Data Input'!A138)</f>
        <v>37</v>
      </c>
      <c r="B138" t="str">
        <f>IF(ISBLANK('Data Input'!B138),"",'Data Input'!B138)</f>
        <v>KH037</v>
      </c>
      <c r="C138" t="str">
        <f>IF(ISBLANK('Data Input'!C138),"",'Data Input'!C138)</f>
        <v>6/21/18 1655</v>
      </c>
      <c r="E138" t="str">
        <f>IF(ISBLANK('Data Input'!D138),"",'Data Input'!D138)</f>
        <v>dd - Missing Data</v>
      </c>
      <c r="G138">
        <f>IF(ISBLANK('Data Input'!E138),"",'Data Input'!E138)</f>
        <v>39</v>
      </c>
      <c r="H138" t="str">
        <f>IF(ISBLANK('Data Input'!F138),"",'Data Input'!F138)</f>
        <v>White</v>
      </c>
      <c r="I138" t="str">
        <f>IF(ISBLANK('Data Input'!G138),"",'Data Input'!G138)</f>
        <v>Caesarean</v>
      </c>
      <c r="J138" t="str">
        <f>IF(ISBLANK('Data Input'!I138),"",'Data Input'!I138)</f>
        <v>6/21/18 2037</v>
      </c>
      <c r="K138" t="str">
        <f>IF(ISBLANK('Data Input'!J138),"",'Data Input'!J138)</f>
        <v>rr - Percocet</v>
      </c>
      <c r="L138">
        <f>IF(ISBLANK('Data Input'!K138),"",'Data Input'!K138)</f>
        <v>1</v>
      </c>
      <c r="M138">
        <f>IF(ISBLANK('Data Input'!L138),"",'Data Input'!L138)</f>
        <v>2</v>
      </c>
      <c r="N138">
        <f>IF(ISBLANK('Data Input'!M138),"",'Data Input'!M138)</f>
        <v>1</v>
      </c>
      <c r="O138" t="str">
        <f>IF(ISBLANK('Data Input'!N138),"",'Data Input'!N138)</f>
        <v/>
      </c>
      <c r="P138" t="str">
        <f>IF(ISBLANK('Data Input'!O138),"",'Data Input'!O138)</f>
        <v/>
      </c>
      <c r="Q138" t="str">
        <f>IF(ISBLANK('Data Input'!P138),"",'Data Input'!P138)</f>
        <v/>
      </c>
      <c r="R138" t="b">
        <f>IF(ISBLANK('Data Input'!Q138),"",'Data Input'!Q138)</f>
        <v>1</v>
      </c>
      <c r="T138" s="2">
        <f t="shared" si="10"/>
        <v>43272</v>
      </c>
      <c r="U138" s="12">
        <f t="shared" si="11"/>
        <v>0.70486111111111116</v>
      </c>
      <c r="V138" s="2" t="str">
        <f t="shared" si="12"/>
        <v>dd - Missing Data</v>
      </c>
      <c r="W138" s="12" t="str">
        <f t="shared" si="13"/>
        <v>dd - Missing Data</v>
      </c>
    </row>
    <row r="139" spans="1:23">
      <c r="A139">
        <f>IF(ISBLANK('Data Input'!A139),"",'Data Input'!A139)</f>
        <v>37</v>
      </c>
      <c r="B139" t="str">
        <f>IF(ISBLANK('Data Input'!B139),"",'Data Input'!B139)</f>
        <v>KH037</v>
      </c>
      <c r="C139" t="str">
        <f>IF(ISBLANK('Data Input'!C139),"",'Data Input'!C139)</f>
        <v>6/21/18 1655</v>
      </c>
      <c r="E139" t="str">
        <f>IF(ISBLANK('Data Input'!D139),"",'Data Input'!D139)</f>
        <v>dd - Missing Data</v>
      </c>
      <c r="G139">
        <f>IF(ISBLANK('Data Input'!E139),"",'Data Input'!E139)</f>
        <v>39</v>
      </c>
      <c r="H139" t="str">
        <f>IF(ISBLANK('Data Input'!F139),"",'Data Input'!F139)</f>
        <v>White</v>
      </c>
      <c r="I139" t="str">
        <f>IF(ISBLANK('Data Input'!G139),"",'Data Input'!G139)</f>
        <v>Caesarean</v>
      </c>
      <c r="J139" t="str">
        <f>IF(ISBLANK('Data Input'!I139),"",'Data Input'!I139)</f>
        <v>6/22/18 0952</v>
      </c>
      <c r="K139" t="str">
        <f>IF(ISBLANK('Data Input'!J139),"",'Data Input'!J139)</f>
        <v>bb - Ibuprofen</v>
      </c>
      <c r="L139">
        <f>IF(ISBLANK('Data Input'!K139),"",'Data Input'!K139)</f>
        <v>800</v>
      </c>
      <c r="M139">
        <f>IF(ISBLANK('Data Input'!L139),"",'Data Input'!L139)</f>
        <v>1</v>
      </c>
      <c r="N139">
        <f>IF(ISBLANK('Data Input'!M139),"",'Data Input'!M139)</f>
        <v>1</v>
      </c>
      <c r="O139" t="str">
        <f>IF(ISBLANK('Data Input'!N139),"",'Data Input'!N139)</f>
        <v/>
      </c>
      <c r="P139" t="str">
        <f>IF(ISBLANK('Data Input'!O139),"",'Data Input'!O139)</f>
        <v/>
      </c>
      <c r="Q139" t="str">
        <f>IF(ISBLANK('Data Input'!P139),"",'Data Input'!P139)</f>
        <v/>
      </c>
      <c r="R139" t="b">
        <f>IF(ISBLANK('Data Input'!Q139),"",'Data Input'!Q139)</f>
        <v>1</v>
      </c>
      <c r="T139" s="2">
        <f t="shared" si="10"/>
        <v>43272</v>
      </c>
      <c r="U139" s="12">
        <f t="shared" si="11"/>
        <v>0.70486111111111116</v>
      </c>
      <c r="V139" s="2" t="str">
        <f t="shared" si="12"/>
        <v>dd - Missing Data</v>
      </c>
      <c r="W139" s="12" t="str">
        <f t="shared" si="13"/>
        <v>dd - Missing Data</v>
      </c>
    </row>
    <row r="140" spans="1:23">
      <c r="A140">
        <f>IF(ISBLANK('Data Input'!A140),"",'Data Input'!A140)</f>
        <v>38</v>
      </c>
      <c r="B140" t="str">
        <f>IF(ISBLANK('Data Input'!B140),"",'Data Input'!B140)</f>
        <v>AH038</v>
      </c>
      <c r="C140" t="str">
        <f>IF(ISBLANK('Data Input'!C140),"",'Data Input'!C140)</f>
        <v>6/22/18 0420</v>
      </c>
      <c r="E140" t="str">
        <f>IF(ISBLANK('Data Input'!D140),"",'Data Input'!D140)</f>
        <v>6/22/18 2139</v>
      </c>
      <c r="G140">
        <f>IF(ISBLANK('Data Input'!E140),"",'Data Input'!E140)</f>
        <v>23</v>
      </c>
      <c r="H140" t="str">
        <f>IF(ISBLANK('Data Input'!F140),"",'Data Input'!F140)</f>
        <v>White</v>
      </c>
      <c r="I140" t="str">
        <f>IF(ISBLANK('Data Input'!G140),"",'Data Input'!G140)</f>
        <v>SVD</v>
      </c>
      <c r="J140" t="str">
        <f>IF(ISBLANK('Data Input'!I140),"",'Data Input'!I140)</f>
        <v>6/22/18 0857</v>
      </c>
      <c r="K140" t="str">
        <f>IF(ISBLANK('Data Input'!J140),"",'Data Input'!J140)</f>
        <v>bb - Ibuprofen</v>
      </c>
      <c r="L140">
        <f>IF(ISBLANK('Data Input'!K140),"",'Data Input'!K140)</f>
        <v>800</v>
      </c>
      <c r="M140" t="str">
        <f>IF(ISBLANK('Data Input'!L140),"",'Data Input'!L140)</f>
        <v>DD - Missing Data</v>
      </c>
      <c r="N140" t="str">
        <f>IF(ISBLANK('Data Input'!M140),"",'Data Input'!M140)</f>
        <v>DD - Missing Data</v>
      </c>
      <c r="O140" t="str">
        <f>IF(ISBLANK('Data Input'!N140),"",'Data Input'!N140)</f>
        <v/>
      </c>
      <c r="P140" t="str">
        <f>IF(ISBLANK('Data Input'!O140),"",'Data Input'!O140)</f>
        <v/>
      </c>
      <c r="Q140" t="str">
        <f>IF(ISBLANK('Data Input'!P140),"",'Data Input'!P140)</f>
        <v/>
      </c>
      <c r="R140" t="b">
        <f>IF(ISBLANK('Data Input'!Q140),"",'Data Input'!Q140)</f>
        <v>0</v>
      </c>
      <c r="T140" s="2">
        <f t="shared" si="10"/>
        <v>43273</v>
      </c>
      <c r="U140" s="12">
        <f t="shared" si="11"/>
        <v>0.18055555555555555</v>
      </c>
      <c r="V140" s="2">
        <f t="shared" si="12"/>
        <v>43273</v>
      </c>
      <c r="W140" s="12">
        <f t="shared" si="13"/>
        <v>0.90208333333333324</v>
      </c>
    </row>
    <row r="141" spans="1:23">
      <c r="A141">
        <f>IF(ISBLANK('Data Input'!A141),"",'Data Input'!A141)</f>
        <v>38</v>
      </c>
      <c r="B141" t="str">
        <f>IF(ISBLANK('Data Input'!B141),"",'Data Input'!B141)</f>
        <v>AH038</v>
      </c>
      <c r="C141" t="str">
        <f>IF(ISBLANK('Data Input'!C141),"",'Data Input'!C141)</f>
        <v>6/22/18 0420</v>
      </c>
      <c r="E141" t="str">
        <f>IF(ISBLANK('Data Input'!D141),"",'Data Input'!D141)</f>
        <v>6/22/18 2139</v>
      </c>
      <c r="G141">
        <f>IF(ISBLANK('Data Input'!E141),"",'Data Input'!E141)</f>
        <v>23</v>
      </c>
      <c r="H141" t="str">
        <f>IF(ISBLANK('Data Input'!F141),"",'Data Input'!F141)</f>
        <v>White</v>
      </c>
      <c r="I141" t="str">
        <f>IF(ISBLANK('Data Input'!G141),"",'Data Input'!G141)</f>
        <v>SVD</v>
      </c>
      <c r="J141" t="str">
        <f>IF(ISBLANK('Data Input'!I141),"",'Data Input'!I141)</f>
        <v>6/22/18 1534</v>
      </c>
      <c r="K141" t="str">
        <f>IF(ISBLANK('Data Input'!J141),"",'Data Input'!J141)</f>
        <v>bb - Ibuprofen</v>
      </c>
      <c r="L141">
        <f>IF(ISBLANK('Data Input'!K141),"",'Data Input'!K141)</f>
        <v>800</v>
      </c>
      <c r="M141" t="str">
        <f>IF(ISBLANK('Data Input'!L141),"",'Data Input'!L141)</f>
        <v>DD - Missing Data</v>
      </c>
      <c r="N141" t="str">
        <f>IF(ISBLANK('Data Input'!M141),"",'Data Input'!M141)</f>
        <v>DD - Missing Data</v>
      </c>
      <c r="O141" t="str">
        <f>IF(ISBLANK('Data Input'!N141),"",'Data Input'!N141)</f>
        <v/>
      </c>
      <c r="P141" t="str">
        <f>IF(ISBLANK('Data Input'!O141),"",'Data Input'!O141)</f>
        <v/>
      </c>
      <c r="Q141" t="str">
        <f>IF(ISBLANK('Data Input'!P141),"",'Data Input'!P141)</f>
        <v/>
      </c>
      <c r="R141" t="b">
        <f>IF(ISBLANK('Data Input'!Q141),"",'Data Input'!Q141)</f>
        <v>0</v>
      </c>
      <c r="T141" s="2">
        <f t="shared" si="10"/>
        <v>43273</v>
      </c>
      <c r="U141" s="12">
        <f t="shared" si="11"/>
        <v>0.18055555555555555</v>
      </c>
      <c r="V141" s="2">
        <f t="shared" si="12"/>
        <v>43273</v>
      </c>
      <c r="W141" s="12">
        <f t="shared" si="13"/>
        <v>0.90208333333333324</v>
      </c>
    </row>
    <row r="142" spans="1:23">
      <c r="A142">
        <f>IF(ISBLANK('Data Input'!A142),"",'Data Input'!A142)</f>
        <v>38</v>
      </c>
      <c r="B142" t="str">
        <f>IF(ISBLANK('Data Input'!B142),"",'Data Input'!B142)</f>
        <v>AH038</v>
      </c>
      <c r="C142" t="str">
        <f>IF(ISBLANK('Data Input'!C142),"",'Data Input'!C142)</f>
        <v>6/22/18 0420</v>
      </c>
      <c r="E142" t="str">
        <f>IF(ISBLANK('Data Input'!D142),"",'Data Input'!D142)</f>
        <v>6/22/18 2139</v>
      </c>
      <c r="G142">
        <f>IF(ISBLANK('Data Input'!E142),"",'Data Input'!E142)</f>
        <v>23</v>
      </c>
      <c r="H142" t="str">
        <f>IF(ISBLANK('Data Input'!F142),"",'Data Input'!F142)</f>
        <v>White</v>
      </c>
      <c r="I142" t="str">
        <f>IF(ISBLANK('Data Input'!G142),"",'Data Input'!G142)</f>
        <v>SVD</v>
      </c>
      <c r="J142" t="str">
        <f>IF(ISBLANK('Data Input'!I142),"",'Data Input'!I142)</f>
        <v>6/22/18 2139</v>
      </c>
      <c r="K142" t="str">
        <f>IF(ISBLANK('Data Input'!J142),"",'Data Input'!J142)</f>
        <v>bb - Ibuprofen</v>
      </c>
      <c r="L142">
        <f>IF(ISBLANK('Data Input'!K142),"",'Data Input'!K142)</f>
        <v>800</v>
      </c>
      <c r="M142" t="str">
        <f>IF(ISBLANK('Data Input'!L142),"",'Data Input'!L142)</f>
        <v>DD - Missing Data</v>
      </c>
      <c r="N142" t="str">
        <f>IF(ISBLANK('Data Input'!M142),"",'Data Input'!M142)</f>
        <v>DD - Missing Data</v>
      </c>
      <c r="O142" t="str">
        <f>IF(ISBLANK('Data Input'!N142),"",'Data Input'!N142)</f>
        <v/>
      </c>
      <c r="P142" t="str">
        <f>IF(ISBLANK('Data Input'!O142),"",'Data Input'!O142)</f>
        <v/>
      </c>
      <c r="Q142" t="str">
        <f>IF(ISBLANK('Data Input'!P142),"",'Data Input'!P142)</f>
        <v/>
      </c>
      <c r="R142" t="b">
        <f>IF(ISBLANK('Data Input'!Q142),"",'Data Input'!Q142)</f>
        <v>0</v>
      </c>
      <c r="T142" s="2">
        <f t="shared" si="10"/>
        <v>43273</v>
      </c>
      <c r="U142" s="12">
        <f t="shared" si="11"/>
        <v>0.18055555555555555</v>
      </c>
      <c r="V142" s="2">
        <f t="shared" si="12"/>
        <v>43273</v>
      </c>
      <c r="W142" s="12">
        <f t="shared" si="13"/>
        <v>0.90208333333333324</v>
      </c>
    </row>
    <row r="143" spans="1:23">
      <c r="A143">
        <f>IF(ISBLANK('Data Input'!A143),"",'Data Input'!A143)</f>
        <v>39</v>
      </c>
      <c r="B143" t="str">
        <f>IF(ISBLANK('Data Input'!B143),"",'Data Input'!B143)</f>
        <v>NL039</v>
      </c>
      <c r="C143" t="str">
        <f>IF(ISBLANK('Data Input'!C143),"",'Data Input'!C143)</f>
        <v>6/22/18 0530</v>
      </c>
      <c r="E143" t="str">
        <f>IF(ISBLANK('Data Input'!D143),"",'Data Input'!D143)</f>
        <v>6/22/18 1820</v>
      </c>
      <c r="G143">
        <f>IF(ISBLANK('Data Input'!E143),"",'Data Input'!E143)</f>
        <v>25</v>
      </c>
      <c r="H143" t="str">
        <f>IF(ISBLANK('Data Input'!F143),"",'Data Input'!F143)</f>
        <v>bb - Black</v>
      </c>
      <c r="I143" t="str">
        <f>IF(ISBLANK('Data Input'!G143),"",'Data Input'!G143)</f>
        <v>SVD</v>
      </c>
      <c r="J143" t="str">
        <f>IF(ISBLANK('Data Input'!I143),"",'Data Input'!I143)</f>
        <v>6/22/18 1820</v>
      </c>
      <c r="K143" t="str">
        <f>IF(ISBLANK('Data Input'!J143),"",'Data Input'!J143)</f>
        <v>bb - Ibuprofen</v>
      </c>
      <c r="L143">
        <f>IF(ISBLANK('Data Input'!K143),"",'Data Input'!K143)</f>
        <v>800</v>
      </c>
      <c r="M143">
        <f>IF(ISBLANK('Data Input'!L143),"",'Data Input'!L143)</f>
        <v>7</v>
      </c>
      <c r="N143">
        <f>IF(ISBLANK('Data Input'!M143),"",'Data Input'!M143)</f>
        <v>7</v>
      </c>
      <c r="O143" t="str">
        <f>IF(ISBLANK('Data Input'!N143),"",'Data Input'!N143)</f>
        <v/>
      </c>
      <c r="P143" t="str">
        <f>IF(ISBLANK('Data Input'!O143),"",'Data Input'!O143)</f>
        <v/>
      </c>
      <c r="Q143" t="str">
        <f>IF(ISBLANK('Data Input'!P143),"",'Data Input'!P143)</f>
        <v/>
      </c>
      <c r="R143" t="b">
        <f>IF(ISBLANK('Data Input'!Q143),"",'Data Input'!Q143)</f>
        <v>1</v>
      </c>
      <c r="T143" s="2">
        <f t="shared" si="10"/>
        <v>43273</v>
      </c>
      <c r="U143" s="12">
        <f t="shared" si="11"/>
        <v>0.22916666666666666</v>
      </c>
      <c r="V143" s="2">
        <f t="shared" si="12"/>
        <v>43273</v>
      </c>
      <c r="W143" s="12">
        <f t="shared" si="13"/>
        <v>0.76388888888888884</v>
      </c>
    </row>
    <row r="144" spans="1:23">
      <c r="A144">
        <f>IF(ISBLANK('Data Input'!A144),"",'Data Input'!A144)</f>
        <v>40</v>
      </c>
      <c r="B144" t="str">
        <f>IF(ISBLANK('Data Input'!B144),"",'Data Input'!B144)</f>
        <v>VF040</v>
      </c>
      <c r="C144" t="str">
        <f>IF(ISBLANK('Data Input'!C144),"",'Data Input'!C144)</f>
        <v>6/21/18 1200</v>
      </c>
      <c r="E144" t="str">
        <f>IF(ISBLANK('Data Input'!D144),"",'Data Input'!D144)</f>
        <v>6/22/18 1200</v>
      </c>
      <c r="G144">
        <f>IF(ISBLANK('Data Input'!E144),"",'Data Input'!E144)</f>
        <v>29</v>
      </c>
      <c r="H144" t="str">
        <f>IF(ISBLANK('Data Input'!F144),"",'Data Input'!F144)</f>
        <v>bb - Black</v>
      </c>
      <c r="I144" t="str">
        <f>IF(ISBLANK('Data Input'!G144),"",'Data Input'!G144)</f>
        <v>SVD</v>
      </c>
      <c r="J144" t="str">
        <f>IF(ISBLANK('Data Input'!I144),"",'Data Input'!I144)</f>
        <v>NA</v>
      </c>
      <c r="K144" t="str">
        <f>IF(ISBLANK('Data Input'!J144),"",'Data Input'!J144)</f>
        <v>NA</v>
      </c>
      <c r="L144" t="str">
        <f>IF(ISBLANK('Data Input'!K144),"",'Data Input'!K144)</f>
        <v>NA</v>
      </c>
      <c r="M144" t="str">
        <f>IF(ISBLANK('Data Input'!L144),"",'Data Input'!L144)</f>
        <v>NA</v>
      </c>
      <c r="N144" t="str">
        <f>IF(ISBLANK('Data Input'!M144),"",'Data Input'!M144)</f>
        <v>NA</v>
      </c>
      <c r="O144" t="str">
        <f>IF(ISBLANK('Data Input'!N144),"",'Data Input'!N144)</f>
        <v>NA</v>
      </c>
      <c r="P144" t="str">
        <f>IF(ISBLANK('Data Input'!O144),"",'Data Input'!O144)</f>
        <v/>
      </c>
      <c r="Q144" t="str">
        <f>IF(ISBLANK('Data Input'!P144),"",'Data Input'!P144)</f>
        <v/>
      </c>
      <c r="R144" t="b">
        <f>IF(ISBLANK('Data Input'!Q144),"",'Data Input'!Q144)</f>
        <v>0</v>
      </c>
      <c r="T144" s="2">
        <f t="shared" si="10"/>
        <v>43272</v>
      </c>
      <c r="U144" s="12">
        <f t="shared" si="11"/>
        <v>0.5</v>
      </c>
      <c r="V144" s="2">
        <f t="shared" si="12"/>
        <v>43273</v>
      </c>
      <c r="W144" s="12">
        <f t="shared" si="13"/>
        <v>0.5</v>
      </c>
    </row>
    <row r="145" spans="1:23">
      <c r="A145">
        <f>IF(ISBLANK('Data Input'!A145),"",'Data Input'!A145)</f>
        <v>41</v>
      </c>
      <c r="B145" t="str">
        <f>IF(ISBLANK('Data Input'!B145),"",'Data Input'!B145)</f>
        <v>AN041</v>
      </c>
      <c r="C145" t="str">
        <f>IF(ISBLANK('Data Input'!C145),"",'Data Input'!C145)</f>
        <v>6/21/18 0820</v>
      </c>
      <c r="E145" t="str">
        <f>IF(ISBLANK('Data Input'!D145),"",'Data Input'!D145)</f>
        <v>6/22/18 0817</v>
      </c>
      <c r="G145">
        <f>IF(ISBLANK('Data Input'!E145),"",'Data Input'!E145)</f>
        <v>33</v>
      </c>
      <c r="H145" t="str">
        <f>IF(ISBLANK('Data Input'!F145),"",'Data Input'!F145)</f>
        <v>Asian</v>
      </c>
      <c r="I145" t="str">
        <f>IF(ISBLANK('Data Input'!G145),"",'Data Input'!G145)</f>
        <v>Caesarean</v>
      </c>
      <c r="J145" t="str">
        <f>IF(ISBLANK('Data Input'!I145),"",'Data Input'!I145)</f>
        <v>6=21=18 0922</v>
      </c>
      <c r="K145" t="str">
        <f>IF(ISBLANK('Data Input'!J145),"",'Data Input'!J145)</f>
        <v>tr - Toradol</v>
      </c>
      <c r="L145">
        <f>IF(ISBLANK('Data Input'!K145),"",'Data Input'!K145)</f>
        <v>30</v>
      </c>
      <c r="M145">
        <f>IF(ISBLANK('Data Input'!L145),"",'Data Input'!L145)</f>
        <v>5</v>
      </c>
      <c r="N145">
        <f>IF(ISBLANK('Data Input'!M145),"",'Data Input'!M145)</f>
        <v>0</v>
      </c>
      <c r="O145" t="str">
        <f>IF(ISBLANK('Data Input'!N145),"",'Data Input'!N145)</f>
        <v/>
      </c>
      <c r="P145" t="str">
        <f>IF(ISBLANK('Data Input'!O145),"",'Data Input'!O145)</f>
        <v/>
      </c>
      <c r="Q145" t="str">
        <f>IF(ISBLANK('Data Input'!P145),"",'Data Input'!P145)</f>
        <v/>
      </c>
      <c r="R145" t="b">
        <f>IF(ISBLANK('Data Input'!Q145),"",'Data Input'!Q145)</f>
        <v>1</v>
      </c>
      <c r="T145" s="2">
        <f t="shared" si="10"/>
        <v>43272</v>
      </c>
      <c r="U145" s="12">
        <f t="shared" si="11"/>
        <v>0.34722222222222227</v>
      </c>
      <c r="V145" s="2">
        <f t="shared" si="12"/>
        <v>43273</v>
      </c>
      <c r="W145" s="12">
        <f t="shared" si="13"/>
        <v>0.34513888888888888</v>
      </c>
    </row>
    <row r="146" spans="1:23">
      <c r="A146">
        <f>IF(ISBLANK('Data Input'!A146),"",'Data Input'!A146)</f>
        <v>41</v>
      </c>
      <c r="B146" t="str">
        <f>IF(ISBLANK('Data Input'!B146),"",'Data Input'!B146)</f>
        <v>AN041</v>
      </c>
      <c r="C146" t="str">
        <f>IF(ISBLANK('Data Input'!C146),"",'Data Input'!C146)</f>
        <v>6/21/18 0820</v>
      </c>
      <c r="E146" t="str">
        <f>IF(ISBLANK('Data Input'!D146),"",'Data Input'!D146)</f>
        <v>6/22/18 0817</v>
      </c>
      <c r="G146">
        <f>IF(ISBLANK('Data Input'!E146),"",'Data Input'!E146)</f>
        <v>33</v>
      </c>
      <c r="H146" t="str">
        <f>IF(ISBLANK('Data Input'!F146),"",'Data Input'!F146)</f>
        <v>Asian</v>
      </c>
      <c r="I146" t="str">
        <f>IF(ISBLANK('Data Input'!G146),"",'Data Input'!G146)</f>
        <v>Caesarean</v>
      </c>
      <c r="J146" t="str">
        <f>IF(ISBLANK('Data Input'!I146),"",'Data Input'!I146)</f>
        <v>6=21=18 1513</v>
      </c>
      <c r="K146" t="str">
        <f>IF(ISBLANK('Data Input'!J146),"",'Data Input'!J146)</f>
        <v>tr - Toradol</v>
      </c>
      <c r="L146">
        <f>IF(ISBLANK('Data Input'!K146),"",'Data Input'!K146)</f>
        <v>30</v>
      </c>
      <c r="M146">
        <f>IF(ISBLANK('Data Input'!L146),"",'Data Input'!L146)</f>
        <v>7</v>
      </c>
      <c r="N146">
        <f>IF(ISBLANK('Data Input'!M146),"",'Data Input'!M146)</f>
        <v>0</v>
      </c>
      <c r="O146" t="str">
        <f>IF(ISBLANK('Data Input'!N146),"",'Data Input'!N146)</f>
        <v/>
      </c>
      <c r="P146" t="str">
        <f>IF(ISBLANK('Data Input'!O146),"",'Data Input'!O146)</f>
        <v/>
      </c>
      <c r="Q146" t="str">
        <f>IF(ISBLANK('Data Input'!P146),"",'Data Input'!P146)</f>
        <v/>
      </c>
      <c r="R146" t="b">
        <f>IF(ISBLANK('Data Input'!Q146),"",'Data Input'!Q146)</f>
        <v>1</v>
      </c>
      <c r="T146" s="2">
        <f t="shared" si="10"/>
        <v>43272</v>
      </c>
      <c r="U146" s="12">
        <f t="shared" si="11"/>
        <v>0.34722222222222227</v>
      </c>
      <c r="V146" s="2">
        <f t="shared" si="12"/>
        <v>43273</v>
      </c>
      <c r="W146" s="12">
        <f t="shared" si="13"/>
        <v>0.34513888888888888</v>
      </c>
    </row>
    <row r="147" spans="1:23">
      <c r="A147">
        <f>IF(ISBLANK('Data Input'!A147),"",'Data Input'!A147)</f>
        <v>41</v>
      </c>
      <c r="B147" t="str">
        <f>IF(ISBLANK('Data Input'!B147),"",'Data Input'!B147)</f>
        <v>AN041</v>
      </c>
      <c r="C147" t="str">
        <f>IF(ISBLANK('Data Input'!C147),"",'Data Input'!C147)</f>
        <v>6/21/18 0820</v>
      </c>
      <c r="E147" t="str">
        <f>IF(ISBLANK('Data Input'!D147),"",'Data Input'!D147)</f>
        <v>6/22/18 0817</v>
      </c>
      <c r="G147">
        <f>IF(ISBLANK('Data Input'!E147),"",'Data Input'!E147)</f>
        <v>33</v>
      </c>
      <c r="H147" t="str">
        <f>IF(ISBLANK('Data Input'!F147),"",'Data Input'!F147)</f>
        <v>Asian</v>
      </c>
      <c r="I147" t="str">
        <f>IF(ISBLANK('Data Input'!G147),"",'Data Input'!G147)</f>
        <v>Caesarean</v>
      </c>
      <c r="J147" t="str">
        <f>IF(ISBLANK('Data Input'!I147),"",'Data Input'!I147)</f>
        <v>6=21=18 2144</v>
      </c>
      <c r="K147" t="str">
        <f>IF(ISBLANK('Data Input'!J147),"",'Data Input'!J147)</f>
        <v>tr - Toradol</v>
      </c>
      <c r="L147">
        <f>IF(ISBLANK('Data Input'!K147),"",'Data Input'!K147)</f>
        <v>30</v>
      </c>
      <c r="M147">
        <f>IF(ISBLANK('Data Input'!L147),"",'Data Input'!L147)</f>
        <v>0</v>
      </c>
      <c r="N147">
        <f>IF(ISBLANK('Data Input'!M147),"",'Data Input'!M147)</f>
        <v>0</v>
      </c>
      <c r="O147" t="str">
        <f>IF(ISBLANK('Data Input'!N147),"",'Data Input'!N147)</f>
        <v/>
      </c>
      <c r="P147" t="str">
        <f>IF(ISBLANK('Data Input'!O147),"",'Data Input'!O147)</f>
        <v/>
      </c>
      <c r="Q147" t="str">
        <f>IF(ISBLANK('Data Input'!P147),"",'Data Input'!P147)</f>
        <v/>
      </c>
      <c r="R147" t="b">
        <f>IF(ISBLANK('Data Input'!Q147),"",'Data Input'!Q147)</f>
        <v>1</v>
      </c>
      <c r="T147" s="2">
        <f t="shared" si="10"/>
        <v>43272</v>
      </c>
      <c r="U147" s="12">
        <f t="shared" si="11"/>
        <v>0.34722222222222227</v>
      </c>
      <c r="V147" s="2">
        <f t="shared" si="12"/>
        <v>43273</v>
      </c>
      <c r="W147" s="12">
        <f t="shared" si="13"/>
        <v>0.34513888888888888</v>
      </c>
    </row>
    <row r="148" spans="1:23">
      <c r="A148">
        <f>IF(ISBLANK('Data Input'!A148),"",'Data Input'!A148)</f>
        <v>41</v>
      </c>
      <c r="B148" t="str">
        <f>IF(ISBLANK('Data Input'!B148),"",'Data Input'!B148)</f>
        <v>AN041</v>
      </c>
      <c r="C148" t="str">
        <f>IF(ISBLANK('Data Input'!C148),"",'Data Input'!C148)</f>
        <v>6/21/18 0820</v>
      </c>
      <c r="E148" t="str">
        <f>IF(ISBLANK('Data Input'!D148),"",'Data Input'!D148)</f>
        <v>6/22/18 0817</v>
      </c>
      <c r="G148">
        <f>IF(ISBLANK('Data Input'!E148),"",'Data Input'!E148)</f>
        <v>33</v>
      </c>
      <c r="H148" t="str">
        <f>IF(ISBLANK('Data Input'!F148),"",'Data Input'!F148)</f>
        <v>Asian</v>
      </c>
      <c r="I148" t="str">
        <f>IF(ISBLANK('Data Input'!G148),"",'Data Input'!G148)</f>
        <v>Caesarean</v>
      </c>
      <c r="J148" t="str">
        <f>IF(ISBLANK('Data Input'!I148),"",'Data Input'!I148)</f>
        <v>6=22=18 0130</v>
      </c>
      <c r="K148" t="str">
        <f>IF(ISBLANK('Data Input'!J148),"",'Data Input'!J148)</f>
        <v>tr - Toradol</v>
      </c>
      <c r="L148">
        <f>IF(ISBLANK('Data Input'!K148),"",'Data Input'!K148)</f>
        <v>30</v>
      </c>
      <c r="M148">
        <f>IF(ISBLANK('Data Input'!L148),"",'Data Input'!L148)</f>
        <v>2</v>
      </c>
      <c r="N148">
        <f>IF(ISBLANK('Data Input'!M148),"",'Data Input'!M148)</f>
        <v>0</v>
      </c>
      <c r="O148" t="str">
        <f>IF(ISBLANK('Data Input'!N148),"",'Data Input'!N148)</f>
        <v/>
      </c>
      <c r="P148" t="str">
        <f>IF(ISBLANK('Data Input'!O148),"",'Data Input'!O148)</f>
        <v/>
      </c>
      <c r="Q148" t="str">
        <f>IF(ISBLANK('Data Input'!P148),"",'Data Input'!P148)</f>
        <v/>
      </c>
      <c r="R148" t="b">
        <f>IF(ISBLANK('Data Input'!Q148),"",'Data Input'!Q148)</f>
        <v>1</v>
      </c>
      <c r="T148" s="2">
        <f t="shared" si="10"/>
        <v>43272</v>
      </c>
      <c r="U148" s="12">
        <f t="shared" si="11"/>
        <v>0.34722222222222227</v>
      </c>
      <c r="V148" s="2">
        <f t="shared" si="12"/>
        <v>43273</v>
      </c>
      <c r="W148" s="12">
        <f t="shared" si="13"/>
        <v>0.34513888888888888</v>
      </c>
    </row>
    <row r="149" spans="1:23">
      <c r="A149">
        <f>IF(ISBLANK('Data Input'!A149),"",'Data Input'!A149)</f>
        <v>41</v>
      </c>
      <c r="B149" t="str">
        <f>IF(ISBLANK('Data Input'!B149),"",'Data Input'!B149)</f>
        <v>AN041</v>
      </c>
      <c r="C149" t="str">
        <f>IF(ISBLANK('Data Input'!C149),"",'Data Input'!C149)</f>
        <v>6/21/18 0820</v>
      </c>
      <c r="E149" t="str">
        <f>IF(ISBLANK('Data Input'!D149),"",'Data Input'!D149)</f>
        <v>6/22/18 0817</v>
      </c>
      <c r="G149">
        <f>IF(ISBLANK('Data Input'!E149),"",'Data Input'!E149)</f>
        <v>33</v>
      </c>
      <c r="H149" t="str">
        <f>IF(ISBLANK('Data Input'!F149),"",'Data Input'!F149)</f>
        <v>Asian</v>
      </c>
      <c r="I149" t="str">
        <f>IF(ISBLANK('Data Input'!G149),"",'Data Input'!G149)</f>
        <v>Caesarean</v>
      </c>
      <c r="J149" t="str">
        <f>IF(ISBLANK('Data Input'!I149),"",'Data Input'!I149)</f>
        <v>6=22=18 0817</v>
      </c>
      <c r="K149" t="str">
        <f>IF(ISBLANK('Data Input'!J149),"",'Data Input'!J149)</f>
        <v>tr - Toradol</v>
      </c>
      <c r="L149">
        <f>IF(ISBLANK('Data Input'!K149),"",'Data Input'!K149)</f>
        <v>30</v>
      </c>
      <c r="M149" t="str">
        <f>IF(ISBLANK('Data Input'!L149),"",'Data Input'!L149)</f>
        <v>DD - Missing Data</v>
      </c>
      <c r="N149" t="str">
        <f>IF(ISBLANK('Data Input'!M149),"",'Data Input'!M149)</f>
        <v>DD - Missing Data</v>
      </c>
      <c r="O149" t="str">
        <f>IF(ISBLANK('Data Input'!N149),"",'Data Input'!N149)</f>
        <v/>
      </c>
      <c r="P149" t="str">
        <f>IF(ISBLANK('Data Input'!O149),"",'Data Input'!O149)</f>
        <v/>
      </c>
      <c r="Q149" t="str">
        <f>IF(ISBLANK('Data Input'!P149),"",'Data Input'!P149)</f>
        <v/>
      </c>
      <c r="R149" t="b">
        <f>IF(ISBLANK('Data Input'!Q149),"",'Data Input'!Q149)</f>
        <v>1</v>
      </c>
      <c r="T149" s="2">
        <f t="shared" si="10"/>
        <v>43272</v>
      </c>
      <c r="U149" s="12">
        <f t="shared" si="11"/>
        <v>0.34722222222222227</v>
      </c>
      <c r="V149" s="2">
        <f t="shared" si="12"/>
        <v>43273</v>
      </c>
      <c r="W149" s="12">
        <f t="shared" si="13"/>
        <v>0.34513888888888888</v>
      </c>
    </row>
    <row r="150" spans="1:23">
      <c r="A150">
        <f>IF(ISBLANK('Data Input'!A150),"",'Data Input'!A150)</f>
        <v>42</v>
      </c>
      <c r="B150" t="str">
        <f>IF(ISBLANK('Data Input'!B150),"",'Data Input'!B150)</f>
        <v>JV0424</v>
      </c>
      <c r="C150" t="str">
        <f>IF(ISBLANK('Data Input'!C150),"",'Data Input'!C150)</f>
        <v>6/20/18 1911</v>
      </c>
      <c r="E150" t="str">
        <f>IF(ISBLANK('Data Input'!D150),"",'Data Input'!D150)</f>
        <v>6/21/18 1234</v>
      </c>
      <c r="G150">
        <f>IF(ISBLANK('Data Input'!E150),"",'Data Input'!E150)</f>
        <v>33</v>
      </c>
      <c r="H150" t="str">
        <f>IF(ISBLANK('Data Input'!F150),"",'Data Input'!F150)</f>
        <v>bb - Black</v>
      </c>
      <c r="I150" t="str">
        <f>IF(ISBLANK('Data Input'!G150),"",'Data Input'!G150)</f>
        <v>SVD</v>
      </c>
      <c r="J150" t="str">
        <f>IF(ISBLANK('Data Input'!I150),"",'Data Input'!I150)</f>
        <v>6=20=18 2221</v>
      </c>
      <c r="K150" t="str">
        <f>IF(ISBLANK('Data Input'!J150),"",'Data Input'!J150)</f>
        <v>rr - Percocet</v>
      </c>
      <c r="L150">
        <f>IF(ISBLANK('Data Input'!K150),"",'Data Input'!K150)</f>
        <v>1</v>
      </c>
      <c r="M150">
        <f>IF(ISBLANK('Data Input'!L150),"",'Data Input'!L150)</f>
        <v>10</v>
      </c>
      <c r="N150">
        <f>IF(ISBLANK('Data Input'!M150),"",'Data Input'!M150)</f>
        <v>3</v>
      </c>
      <c r="O150" t="str">
        <f>IF(ISBLANK('Data Input'!N150),"",'Data Input'!N150)</f>
        <v/>
      </c>
      <c r="P150" t="str">
        <f>IF(ISBLANK('Data Input'!O150),"",'Data Input'!O150)</f>
        <v/>
      </c>
      <c r="Q150" t="str">
        <f>IF(ISBLANK('Data Input'!P150),"",'Data Input'!P150)</f>
        <v/>
      </c>
      <c r="R150" t="b">
        <f>IF(ISBLANK('Data Input'!Q150),"",'Data Input'!Q150)</f>
        <v>0</v>
      </c>
      <c r="T150" s="2">
        <f t="shared" si="10"/>
        <v>43271</v>
      </c>
      <c r="U150" s="12">
        <f t="shared" si="11"/>
        <v>0.7993055555555556</v>
      </c>
      <c r="V150" s="2">
        <f t="shared" si="12"/>
        <v>43272</v>
      </c>
      <c r="W150" s="12">
        <f t="shared" si="13"/>
        <v>0.52361111111111114</v>
      </c>
    </row>
    <row r="151" spans="1:23">
      <c r="A151">
        <f>IF(ISBLANK('Data Input'!A151),"",'Data Input'!A151)</f>
        <v>42</v>
      </c>
      <c r="B151" t="str">
        <f>IF(ISBLANK('Data Input'!B151),"",'Data Input'!B151)</f>
        <v>JV0424</v>
      </c>
      <c r="C151" t="str">
        <f>IF(ISBLANK('Data Input'!C151),"",'Data Input'!C151)</f>
        <v>6/20/18 1911</v>
      </c>
      <c r="E151" t="str">
        <f>IF(ISBLANK('Data Input'!D151),"",'Data Input'!D151)</f>
        <v>6/21/18 1234</v>
      </c>
      <c r="G151">
        <f>IF(ISBLANK('Data Input'!E151),"",'Data Input'!E151)</f>
        <v>33</v>
      </c>
      <c r="H151" t="str">
        <f>IF(ISBLANK('Data Input'!F151),"",'Data Input'!F151)</f>
        <v>bb - Black</v>
      </c>
      <c r="I151" t="str">
        <f>IF(ISBLANK('Data Input'!G151),"",'Data Input'!G151)</f>
        <v>SVD</v>
      </c>
      <c r="J151" t="str">
        <f>IF(ISBLANK('Data Input'!I151),"",'Data Input'!I151)</f>
        <v>6=21=18 0209</v>
      </c>
      <c r="K151" t="str">
        <f>IF(ISBLANK('Data Input'!J151),"",'Data Input'!J151)</f>
        <v>rr - Percocet</v>
      </c>
      <c r="L151">
        <f>IF(ISBLANK('Data Input'!K151),"",'Data Input'!K151)</f>
        <v>2</v>
      </c>
      <c r="M151">
        <f>IF(ISBLANK('Data Input'!L151),"",'Data Input'!L151)</f>
        <v>10</v>
      </c>
      <c r="N151">
        <f>IF(ISBLANK('Data Input'!M151),"",'Data Input'!M151)</f>
        <v>3</v>
      </c>
      <c r="O151" t="str">
        <f>IF(ISBLANK('Data Input'!N151),"",'Data Input'!N151)</f>
        <v/>
      </c>
      <c r="P151" t="str">
        <f>IF(ISBLANK('Data Input'!O151),"",'Data Input'!O151)</f>
        <v/>
      </c>
      <c r="Q151" t="str">
        <f>IF(ISBLANK('Data Input'!P151),"",'Data Input'!P151)</f>
        <v/>
      </c>
      <c r="R151" t="b">
        <f>IF(ISBLANK('Data Input'!Q151),"",'Data Input'!Q151)</f>
        <v>0</v>
      </c>
      <c r="T151" s="2">
        <f t="shared" si="10"/>
        <v>43271</v>
      </c>
      <c r="U151" s="12">
        <f t="shared" si="11"/>
        <v>0.7993055555555556</v>
      </c>
      <c r="V151" s="2">
        <f t="shared" si="12"/>
        <v>43272</v>
      </c>
      <c r="W151" s="12">
        <f t="shared" si="13"/>
        <v>0.52361111111111114</v>
      </c>
    </row>
    <row r="152" spans="1:23">
      <c r="A152">
        <f>IF(ISBLANK('Data Input'!A152),"",'Data Input'!A152)</f>
        <v>42</v>
      </c>
      <c r="B152" t="str">
        <f>IF(ISBLANK('Data Input'!B152),"",'Data Input'!B152)</f>
        <v>JV0424</v>
      </c>
      <c r="C152" t="str">
        <f>IF(ISBLANK('Data Input'!C152),"",'Data Input'!C152)</f>
        <v>6/20/18 1911</v>
      </c>
      <c r="E152" t="str">
        <f>IF(ISBLANK('Data Input'!D152),"",'Data Input'!D152)</f>
        <v>6/21/18 1234</v>
      </c>
      <c r="G152">
        <f>IF(ISBLANK('Data Input'!E152),"",'Data Input'!E152)</f>
        <v>33</v>
      </c>
      <c r="H152" t="str">
        <f>IF(ISBLANK('Data Input'!F152),"",'Data Input'!F152)</f>
        <v>bb - Black</v>
      </c>
      <c r="I152" t="str">
        <f>IF(ISBLANK('Data Input'!G152),"",'Data Input'!G152)</f>
        <v>SVD</v>
      </c>
      <c r="J152" t="str">
        <f>IF(ISBLANK('Data Input'!I152),"",'Data Input'!I152)</f>
        <v>6=21=18 0751</v>
      </c>
      <c r="K152" t="str">
        <f>IF(ISBLANK('Data Input'!J152),"",'Data Input'!J152)</f>
        <v>rr - Percocet</v>
      </c>
      <c r="L152">
        <f>IF(ISBLANK('Data Input'!K152),"",'Data Input'!K152)</f>
        <v>2</v>
      </c>
      <c r="M152">
        <f>IF(ISBLANK('Data Input'!L152),"",'Data Input'!L152)</f>
        <v>10</v>
      </c>
      <c r="N152">
        <f>IF(ISBLANK('Data Input'!M152),"",'Data Input'!M152)</f>
        <v>10</v>
      </c>
      <c r="O152" t="str">
        <f>IF(ISBLANK('Data Input'!N152),"",'Data Input'!N152)</f>
        <v/>
      </c>
      <c r="P152" t="str">
        <f>IF(ISBLANK('Data Input'!O152),"",'Data Input'!O152)</f>
        <v/>
      </c>
      <c r="Q152" t="str">
        <f>IF(ISBLANK('Data Input'!P152),"",'Data Input'!P152)</f>
        <v/>
      </c>
      <c r="R152" t="b">
        <f>IF(ISBLANK('Data Input'!Q152),"",'Data Input'!Q152)</f>
        <v>0</v>
      </c>
      <c r="T152" s="2">
        <f t="shared" si="10"/>
        <v>43271</v>
      </c>
      <c r="U152" s="12">
        <f t="shared" si="11"/>
        <v>0.7993055555555556</v>
      </c>
      <c r="V152" s="2">
        <f t="shared" si="12"/>
        <v>43272</v>
      </c>
      <c r="W152" s="12">
        <f t="shared" si="13"/>
        <v>0.52361111111111114</v>
      </c>
    </row>
    <row r="153" spans="1:23">
      <c r="A153">
        <f>IF(ISBLANK('Data Input'!A153),"",'Data Input'!A153)</f>
        <v>42</v>
      </c>
      <c r="B153" t="str">
        <f>IF(ISBLANK('Data Input'!B153),"",'Data Input'!B153)</f>
        <v>JV0424</v>
      </c>
      <c r="C153" t="str">
        <f>IF(ISBLANK('Data Input'!C153),"",'Data Input'!C153)</f>
        <v>6/20/18 1911</v>
      </c>
      <c r="E153" t="str">
        <f>IF(ISBLANK('Data Input'!D153),"",'Data Input'!D153)</f>
        <v>6/21/18 1234</v>
      </c>
      <c r="G153">
        <f>IF(ISBLANK('Data Input'!E153),"",'Data Input'!E153)</f>
        <v>33</v>
      </c>
      <c r="H153" t="str">
        <f>IF(ISBLANK('Data Input'!F153),"",'Data Input'!F153)</f>
        <v>bb - Black</v>
      </c>
      <c r="I153" t="str">
        <f>IF(ISBLANK('Data Input'!G153),"",'Data Input'!G153)</f>
        <v>SVD</v>
      </c>
      <c r="J153" t="str">
        <f>IF(ISBLANK('Data Input'!I153),"",'Data Input'!I153)</f>
        <v>6=21=18 0818</v>
      </c>
      <c r="K153" t="str">
        <f>IF(ISBLANK('Data Input'!J153),"",'Data Input'!J153)</f>
        <v>bb - Ibuprofen</v>
      </c>
      <c r="L153">
        <f>IF(ISBLANK('Data Input'!K153),"",'Data Input'!K153)</f>
        <v>800</v>
      </c>
      <c r="M153">
        <f>IF(ISBLANK('Data Input'!L153),"",'Data Input'!L153)</f>
        <v>10</v>
      </c>
      <c r="N153">
        <f>IF(ISBLANK('Data Input'!M153),"",'Data Input'!M153)</f>
        <v>5</v>
      </c>
      <c r="O153" t="str">
        <f>IF(ISBLANK('Data Input'!N153),"",'Data Input'!N153)</f>
        <v/>
      </c>
      <c r="P153" t="str">
        <f>IF(ISBLANK('Data Input'!O153),"",'Data Input'!O153)</f>
        <v/>
      </c>
      <c r="Q153" t="str">
        <f>IF(ISBLANK('Data Input'!P153),"",'Data Input'!P153)</f>
        <v/>
      </c>
      <c r="R153" t="b">
        <f>IF(ISBLANK('Data Input'!Q153),"",'Data Input'!Q153)</f>
        <v>0</v>
      </c>
      <c r="T153" s="2">
        <f t="shared" si="10"/>
        <v>43271</v>
      </c>
      <c r="U153" s="12">
        <f t="shared" si="11"/>
        <v>0.7993055555555556</v>
      </c>
      <c r="V153" s="2">
        <f t="shared" si="12"/>
        <v>43272</v>
      </c>
      <c r="W153" s="12">
        <f t="shared" si="13"/>
        <v>0.52361111111111114</v>
      </c>
    </row>
    <row r="154" spans="1:23">
      <c r="A154">
        <f>IF(ISBLANK('Data Input'!A154),"",'Data Input'!A154)</f>
        <v>42</v>
      </c>
      <c r="B154" t="str">
        <f>IF(ISBLANK('Data Input'!B154),"",'Data Input'!B154)</f>
        <v>JV0424</v>
      </c>
      <c r="C154" t="str">
        <f>IF(ISBLANK('Data Input'!C154),"",'Data Input'!C154)</f>
        <v>6/20/18 1911</v>
      </c>
      <c r="E154" t="str">
        <f>IF(ISBLANK('Data Input'!D154),"",'Data Input'!D154)</f>
        <v>6/21/18 1234</v>
      </c>
      <c r="G154">
        <f>IF(ISBLANK('Data Input'!E154),"",'Data Input'!E154)</f>
        <v>33</v>
      </c>
      <c r="H154" t="str">
        <f>IF(ISBLANK('Data Input'!F154),"",'Data Input'!F154)</f>
        <v>bb - Black</v>
      </c>
      <c r="I154" t="str">
        <f>IF(ISBLANK('Data Input'!G154),"",'Data Input'!G154)</f>
        <v>SVD</v>
      </c>
      <c r="J154" t="str">
        <f>IF(ISBLANK('Data Input'!I154),"",'Data Input'!I154)</f>
        <v>6=21=18 1234</v>
      </c>
      <c r="K154" t="str">
        <f>IF(ISBLANK('Data Input'!J154),"",'Data Input'!J154)</f>
        <v>rr - Percocet</v>
      </c>
      <c r="L154">
        <f>IF(ISBLANK('Data Input'!K154),"",'Data Input'!K154)</f>
        <v>2</v>
      </c>
      <c r="M154">
        <f>IF(ISBLANK('Data Input'!L154),"",'Data Input'!L154)</f>
        <v>10</v>
      </c>
      <c r="N154">
        <f>IF(ISBLANK('Data Input'!M154),"",'Data Input'!M154)</f>
        <v>5</v>
      </c>
      <c r="O154" t="str">
        <f>IF(ISBLANK('Data Input'!N154),"",'Data Input'!N154)</f>
        <v/>
      </c>
      <c r="P154" t="str">
        <f>IF(ISBLANK('Data Input'!O154),"",'Data Input'!O154)</f>
        <v/>
      </c>
      <c r="Q154" t="str">
        <f>IF(ISBLANK('Data Input'!P154),"",'Data Input'!P154)</f>
        <v/>
      </c>
      <c r="R154" t="b">
        <f>IF(ISBLANK('Data Input'!Q154),"",'Data Input'!Q154)</f>
        <v>0</v>
      </c>
      <c r="T154" s="2">
        <f t="shared" si="10"/>
        <v>43271</v>
      </c>
      <c r="U154" s="12">
        <f t="shared" si="11"/>
        <v>0.7993055555555556</v>
      </c>
      <c r="V154" s="2">
        <f t="shared" si="12"/>
        <v>43272</v>
      </c>
      <c r="W154" s="12">
        <f t="shared" si="13"/>
        <v>0.52361111111111114</v>
      </c>
    </row>
    <row r="155" spans="1:23">
      <c r="A155">
        <f>IF(ISBLANK('Data Input'!A155),"",'Data Input'!A155)</f>
        <v>43</v>
      </c>
      <c r="B155" t="str">
        <f>IF(ISBLANK('Data Input'!B155),"",'Data Input'!B155)</f>
        <v>KK043</v>
      </c>
      <c r="C155" t="str">
        <f>IF(ISBLANK('Data Input'!C155),"",'Data Input'!C155)</f>
        <v>6/22/18 0440</v>
      </c>
      <c r="E155" t="str">
        <f>IF(ISBLANK('Data Input'!D155),"",'Data Input'!D155)</f>
        <v>6/23/18 0248</v>
      </c>
      <c r="G155">
        <f>IF(ISBLANK('Data Input'!E155),"",'Data Input'!E155)</f>
        <v>37</v>
      </c>
      <c r="H155" t="str">
        <f>IF(ISBLANK('Data Input'!F155),"",'Data Input'!F155)</f>
        <v>White</v>
      </c>
      <c r="I155" t="str">
        <f>IF(ISBLANK('Data Input'!G155),"",'Data Input'!G155)</f>
        <v>SVD</v>
      </c>
      <c r="J155" t="str">
        <f>IF(ISBLANK('Data Input'!I155),"",'Data Input'!I155)</f>
        <v>6=22=18 1234</v>
      </c>
      <c r="K155" t="str">
        <f>IF(ISBLANK('Data Input'!J155),"",'Data Input'!J155)</f>
        <v>bb - Ibuprofen</v>
      </c>
      <c r="L155">
        <f>IF(ISBLANK('Data Input'!K155),"",'Data Input'!K155)</f>
        <v>800</v>
      </c>
      <c r="M155">
        <f>IF(ISBLANK('Data Input'!L155),"",'Data Input'!L155)</f>
        <v>3</v>
      </c>
      <c r="N155">
        <f>IF(ISBLANK('Data Input'!M155),"",'Data Input'!M155)</f>
        <v>0</v>
      </c>
      <c r="O155" t="str">
        <f>IF(ISBLANK('Data Input'!N155),"",'Data Input'!N155)</f>
        <v/>
      </c>
      <c r="P155" t="str">
        <f>IF(ISBLANK('Data Input'!O155),"",'Data Input'!O155)</f>
        <v/>
      </c>
      <c r="Q155" t="str">
        <f>IF(ISBLANK('Data Input'!P155),"",'Data Input'!P155)</f>
        <v/>
      </c>
      <c r="R155" t="b">
        <f>IF(ISBLANK('Data Input'!Q155),"",'Data Input'!Q155)</f>
        <v>1</v>
      </c>
      <c r="T155" s="2">
        <f t="shared" si="10"/>
        <v>43273</v>
      </c>
      <c r="U155" s="12">
        <f t="shared" si="11"/>
        <v>0.19444444444444445</v>
      </c>
      <c r="V155" s="2">
        <f t="shared" si="12"/>
        <v>43274</v>
      </c>
      <c r="W155" s="12">
        <f t="shared" si="13"/>
        <v>0.11666666666666665</v>
      </c>
    </row>
    <row r="156" spans="1:23">
      <c r="A156">
        <f>IF(ISBLANK('Data Input'!A156),"",'Data Input'!A156)</f>
        <v>43</v>
      </c>
      <c r="B156" t="str">
        <f>IF(ISBLANK('Data Input'!B156),"",'Data Input'!B156)</f>
        <v>KK043</v>
      </c>
      <c r="C156" t="str">
        <f>IF(ISBLANK('Data Input'!C156),"",'Data Input'!C156)</f>
        <v>6/22/18 0440</v>
      </c>
      <c r="E156" t="str">
        <f>IF(ISBLANK('Data Input'!D156),"",'Data Input'!D156)</f>
        <v>6/23/18 0248</v>
      </c>
      <c r="G156">
        <f>IF(ISBLANK('Data Input'!E156),"",'Data Input'!E156)</f>
        <v>37</v>
      </c>
      <c r="H156" t="str">
        <f>IF(ISBLANK('Data Input'!F156),"",'Data Input'!F156)</f>
        <v>White</v>
      </c>
      <c r="I156" t="str">
        <f>IF(ISBLANK('Data Input'!G156),"",'Data Input'!G156)</f>
        <v>SVD</v>
      </c>
      <c r="J156" t="str">
        <f>IF(ISBLANK('Data Input'!I156),"",'Data Input'!I156)</f>
        <v>6=22=18 2031</v>
      </c>
      <c r="K156" t="str">
        <f>IF(ISBLANK('Data Input'!J156),"",'Data Input'!J156)</f>
        <v>bb - Ibuprofen</v>
      </c>
      <c r="L156">
        <f>IF(ISBLANK('Data Input'!K156),"",'Data Input'!K156)</f>
        <v>800</v>
      </c>
      <c r="M156">
        <f>IF(ISBLANK('Data Input'!L156),"",'Data Input'!L156)</f>
        <v>3</v>
      </c>
      <c r="N156">
        <f>IF(ISBLANK('Data Input'!M156),"",'Data Input'!M156)</f>
        <v>0</v>
      </c>
      <c r="O156" t="str">
        <f>IF(ISBLANK('Data Input'!N156),"",'Data Input'!N156)</f>
        <v/>
      </c>
      <c r="P156" t="str">
        <f>IF(ISBLANK('Data Input'!O156),"",'Data Input'!O156)</f>
        <v/>
      </c>
      <c r="Q156" t="str">
        <f>IF(ISBLANK('Data Input'!P156),"",'Data Input'!P156)</f>
        <v/>
      </c>
      <c r="R156" t="b">
        <f>IF(ISBLANK('Data Input'!Q156),"",'Data Input'!Q156)</f>
        <v>1</v>
      </c>
      <c r="T156" s="2">
        <f t="shared" si="10"/>
        <v>43273</v>
      </c>
      <c r="U156" s="12">
        <f t="shared" si="11"/>
        <v>0.19444444444444445</v>
      </c>
      <c r="V156" s="2">
        <f t="shared" si="12"/>
        <v>43274</v>
      </c>
      <c r="W156" s="12">
        <f t="shared" si="13"/>
        <v>0.11666666666666665</v>
      </c>
    </row>
    <row r="157" spans="1:23">
      <c r="A157">
        <f>IF(ISBLANK('Data Input'!A157),"",'Data Input'!A157)</f>
        <v>43</v>
      </c>
      <c r="B157" t="str">
        <f>IF(ISBLANK('Data Input'!B157),"",'Data Input'!B157)</f>
        <v>KK043</v>
      </c>
      <c r="C157" t="str">
        <f>IF(ISBLANK('Data Input'!C157),"",'Data Input'!C157)</f>
        <v>6/22/18 0440</v>
      </c>
      <c r="E157" t="str">
        <f>IF(ISBLANK('Data Input'!D157),"",'Data Input'!D157)</f>
        <v>6/23/18 0248</v>
      </c>
      <c r="G157">
        <f>IF(ISBLANK('Data Input'!E157),"",'Data Input'!E157)</f>
        <v>37</v>
      </c>
      <c r="H157" t="str">
        <f>IF(ISBLANK('Data Input'!F157),"",'Data Input'!F157)</f>
        <v>White</v>
      </c>
      <c r="I157" t="str">
        <f>IF(ISBLANK('Data Input'!G157),"",'Data Input'!G157)</f>
        <v>SVD</v>
      </c>
      <c r="J157" t="str">
        <f>IF(ISBLANK('Data Input'!I157),"",'Data Input'!I157)</f>
        <v>6=23=18 0248</v>
      </c>
      <c r="K157" t="str">
        <f>IF(ISBLANK('Data Input'!J157),"",'Data Input'!J157)</f>
        <v>bb - Ibuprofen</v>
      </c>
      <c r="L157">
        <f>IF(ISBLANK('Data Input'!K157),"",'Data Input'!K157)</f>
        <v>800</v>
      </c>
      <c r="M157">
        <f>IF(ISBLANK('Data Input'!L157),"",'Data Input'!L157)</f>
        <v>4</v>
      </c>
      <c r="N157">
        <f>IF(ISBLANK('Data Input'!M157),"",'Data Input'!M157)</f>
        <v>1</v>
      </c>
      <c r="O157" t="str">
        <f>IF(ISBLANK('Data Input'!N157),"",'Data Input'!N157)</f>
        <v/>
      </c>
      <c r="P157" t="str">
        <f>IF(ISBLANK('Data Input'!O157),"",'Data Input'!O157)</f>
        <v/>
      </c>
      <c r="Q157" t="str">
        <f>IF(ISBLANK('Data Input'!P157),"",'Data Input'!P157)</f>
        <v/>
      </c>
      <c r="R157" t="b">
        <f>IF(ISBLANK('Data Input'!Q157),"",'Data Input'!Q157)</f>
        <v>1</v>
      </c>
      <c r="T157" s="2">
        <f t="shared" si="10"/>
        <v>43273</v>
      </c>
      <c r="U157" s="12">
        <f t="shared" si="11"/>
        <v>0.19444444444444445</v>
      </c>
      <c r="V157" s="2">
        <f t="shared" si="12"/>
        <v>43274</v>
      </c>
      <c r="W157" s="12">
        <f t="shared" si="13"/>
        <v>0.11666666666666665</v>
      </c>
    </row>
    <row r="158" spans="1:23">
      <c r="A158">
        <f>IF(ISBLANK('Data Input'!A158),"",'Data Input'!A158)</f>
        <v>43</v>
      </c>
      <c r="B158" t="str">
        <f>IF(ISBLANK('Data Input'!B158),"",'Data Input'!B158)</f>
        <v>KK043</v>
      </c>
      <c r="C158" t="str">
        <f>IF(ISBLANK('Data Input'!C158),"",'Data Input'!C158)</f>
        <v>6/22/18 0440</v>
      </c>
      <c r="E158" t="str">
        <f>IF(ISBLANK('Data Input'!D158),"",'Data Input'!D158)</f>
        <v>6/23/18 0248</v>
      </c>
      <c r="G158">
        <f>IF(ISBLANK('Data Input'!E158),"",'Data Input'!E158)</f>
        <v>37</v>
      </c>
      <c r="H158" t="str">
        <f>IF(ISBLANK('Data Input'!F158),"",'Data Input'!F158)</f>
        <v>White</v>
      </c>
      <c r="I158" t="str">
        <f>IF(ISBLANK('Data Input'!G158),"",'Data Input'!G158)</f>
        <v>SVD</v>
      </c>
      <c r="J158" t="str">
        <f>IF(ISBLANK('Data Input'!I158),"",'Data Input'!I158)</f>
        <v>6=23=18 0248</v>
      </c>
      <c r="K158" t="str">
        <f>IF(ISBLANK('Data Input'!J158),"",'Data Input'!J158)</f>
        <v>tt - Tylenol</v>
      </c>
      <c r="L158">
        <f>IF(ISBLANK('Data Input'!K158),"",'Data Input'!K158)</f>
        <v>650</v>
      </c>
      <c r="M158">
        <f>IF(ISBLANK('Data Input'!L158),"",'Data Input'!L158)</f>
        <v>4</v>
      </c>
      <c r="N158">
        <f>IF(ISBLANK('Data Input'!M158),"",'Data Input'!M158)</f>
        <v>1</v>
      </c>
      <c r="O158" t="str">
        <f>IF(ISBLANK('Data Input'!N158),"",'Data Input'!N158)</f>
        <v/>
      </c>
      <c r="P158" t="str">
        <f>IF(ISBLANK('Data Input'!O158),"",'Data Input'!O158)</f>
        <v/>
      </c>
      <c r="Q158" t="str">
        <f>IF(ISBLANK('Data Input'!P158),"",'Data Input'!P158)</f>
        <v/>
      </c>
      <c r="R158" t="b">
        <f>IF(ISBLANK('Data Input'!Q158),"",'Data Input'!Q158)</f>
        <v>1</v>
      </c>
      <c r="T158" s="2">
        <f t="shared" si="10"/>
        <v>43273</v>
      </c>
      <c r="U158" s="12">
        <f t="shared" si="11"/>
        <v>0.19444444444444445</v>
      </c>
      <c r="V158" s="2">
        <f t="shared" si="12"/>
        <v>43274</v>
      </c>
      <c r="W158" s="12">
        <f t="shared" si="13"/>
        <v>0.11666666666666665</v>
      </c>
    </row>
    <row r="159" spans="1:23">
      <c r="A159">
        <f>IF(ISBLANK('Data Input'!A159),"",'Data Input'!A159)</f>
        <v>44</v>
      </c>
      <c r="B159" t="str">
        <f>IF(ISBLANK('Data Input'!B159),"",'Data Input'!B159)</f>
        <v>AS044</v>
      </c>
      <c r="C159" t="str">
        <f>IF(ISBLANK('Data Input'!C159),"",'Data Input'!C159)</f>
        <v>6/22/18 0615</v>
      </c>
      <c r="E159" t="str">
        <f>IF(ISBLANK('Data Input'!D159),"",'Data Input'!D159)</f>
        <v>6/23/18 0024</v>
      </c>
      <c r="G159">
        <f>IF(ISBLANK('Data Input'!E159),"",'Data Input'!E159)</f>
        <v>35</v>
      </c>
      <c r="H159" t="str">
        <f>IF(ISBLANK('Data Input'!F159),"",'Data Input'!F159)</f>
        <v>White</v>
      </c>
      <c r="I159" t="str">
        <f>IF(ISBLANK('Data Input'!G159),"",'Data Input'!G159)</f>
        <v>SVD</v>
      </c>
      <c r="J159" t="str">
        <f>IF(ISBLANK('Data Input'!I159),"",'Data Input'!I159)</f>
        <v>6=22=18 1005</v>
      </c>
      <c r="K159" t="str">
        <f>IF(ISBLANK('Data Input'!J159),"",'Data Input'!J159)</f>
        <v>bb - Ibuprofen</v>
      </c>
      <c r="L159">
        <f>IF(ISBLANK('Data Input'!K159),"",'Data Input'!K159)</f>
        <v>800</v>
      </c>
      <c r="M159" t="str">
        <f>IF(ISBLANK('Data Input'!L159),"",'Data Input'!L159)</f>
        <v>dd - Missing Data</v>
      </c>
      <c r="N159" t="str">
        <f>IF(ISBLANK('Data Input'!M159),"",'Data Input'!M159)</f>
        <v>dd - Missing Data</v>
      </c>
      <c r="O159" t="str">
        <f>IF(ISBLANK('Data Input'!N159),"",'Data Input'!N159)</f>
        <v/>
      </c>
      <c r="P159" t="str">
        <f>IF(ISBLANK('Data Input'!O159),"",'Data Input'!O159)</f>
        <v/>
      </c>
      <c r="Q159" t="str">
        <f>IF(ISBLANK('Data Input'!P159),"",'Data Input'!P159)</f>
        <v/>
      </c>
      <c r="R159" t="b">
        <f>IF(ISBLANK('Data Input'!Q159),"",'Data Input'!Q159)</f>
        <v>0</v>
      </c>
      <c r="T159" s="2">
        <f t="shared" si="10"/>
        <v>43273</v>
      </c>
      <c r="U159" s="12">
        <f t="shared" si="11"/>
        <v>0.26041666666666669</v>
      </c>
      <c r="V159" s="2">
        <f t="shared" si="12"/>
        <v>43274</v>
      </c>
      <c r="W159" s="12">
        <f t="shared" si="13"/>
        <v>1.6666666666666666E-2</v>
      </c>
    </row>
    <row r="160" spans="1:23">
      <c r="A160">
        <f>IF(ISBLANK('Data Input'!A160),"",'Data Input'!A160)</f>
        <v>44</v>
      </c>
      <c r="B160" t="str">
        <f>IF(ISBLANK('Data Input'!B160),"",'Data Input'!B160)</f>
        <v>AS044</v>
      </c>
      <c r="C160" t="str">
        <f>IF(ISBLANK('Data Input'!C160),"",'Data Input'!C160)</f>
        <v>6/22/18 0615</v>
      </c>
      <c r="E160" t="str">
        <f>IF(ISBLANK('Data Input'!D160),"",'Data Input'!D160)</f>
        <v>6/23/18 0024</v>
      </c>
      <c r="G160">
        <f>IF(ISBLANK('Data Input'!E160),"",'Data Input'!E160)</f>
        <v>35</v>
      </c>
      <c r="H160" t="str">
        <f>IF(ISBLANK('Data Input'!F160),"",'Data Input'!F160)</f>
        <v>White</v>
      </c>
      <c r="I160" t="str">
        <f>IF(ISBLANK('Data Input'!G160),"",'Data Input'!G160)</f>
        <v>SVD</v>
      </c>
      <c r="J160" t="str">
        <f>IF(ISBLANK('Data Input'!I160),"",'Data Input'!I160)</f>
        <v>6=22=18 1743</v>
      </c>
      <c r="K160" t="str">
        <f>IF(ISBLANK('Data Input'!J160),"",'Data Input'!J160)</f>
        <v>bb - Ibuprofen</v>
      </c>
      <c r="L160">
        <f>IF(ISBLANK('Data Input'!K160),"",'Data Input'!K160)</f>
        <v>800</v>
      </c>
      <c r="M160" t="str">
        <f>IF(ISBLANK('Data Input'!L160),"",'Data Input'!L160)</f>
        <v>dd - Missing Data</v>
      </c>
      <c r="N160" t="str">
        <f>IF(ISBLANK('Data Input'!M160),"",'Data Input'!M160)</f>
        <v>dd - Missing Data</v>
      </c>
      <c r="O160" t="str">
        <f>IF(ISBLANK('Data Input'!N160),"",'Data Input'!N160)</f>
        <v/>
      </c>
      <c r="P160" t="str">
        <f>IF(ISBLANK('Data Input'!O160),"",'Data Input'!O160)</f>
        <v/>
      </c>
      <c r="Q160" t="str">
        <f>IF(ISBLANK('Data Input'!P160),"",'Data Input'!P160)</f>
        <v/>
      </c>
      <c r="R160" t="b">
        <f>IF(ISBLANK('Data Input'!Q160),"",'Data Input'!Q160)</f>
        <v>0</v>
      </c>
      <c r="T160" s="2">
        <f t="shared" si="10"/>
        <v>43273</v>
      </c>
      <c r="U160" s="12">
        <f t="shared" si="11"/>
        <v>0.26041666666666669</v>
      </c>
      <c r="V160" s="2">
        <f t="shared" si="12"/>
        <v>43274</v>
      </c>
      <c r="W160" s="12">
        <f t="shared" si="13"/>
        <v>1.6666666666666666E-2</v>
      </c>
    </row>
    <row r="161" spans="1:23">
      <c r="A161">
        <f>IF(ISBLANK('Data Input'!A161),"",'Data Input'!A161)</f>
        <v>44</v>
      </c>
      <c r="B161" t="str">
        <f>IF(ISBLANK('Data Input'!B161),"",'Data Input'!B161)</f>
        <v>AS044</v>
      </c>
      <c r="C161" t="str">
        <f>IF(ISBLANK('Data Input'!C161),"",'Data Input'!C161)</f>
        <v>6/22/18 0615</v>
      </c>
      <c r="E161" t="str">
        <f>IF(ISBLANK('Data Input'!D161),"",'Data Input'!D161)</f>
        <v>6/23/18 0024</v>
      </c>
      <c r="G161">
        <f>IF(ISBLANK('Data Input'!E161),"",'Data Input'!E161)</f>
        <v>35</v>
      </c>
      <c r="H161" t="str">
        <f>IF(ISBLANK('Data Input'!F161),"",'Data Input'!F161)</f>
        <v>White</v>
      </c>
      <c r="I161" t="str">
        <f>IF(ISBLANK('Data Input'!G161),"",'Data Input'!G161)</f>
        <v>SVD</v>
      </c>
      <c r="J161" t="str">
        <f>IF(ISBLANK('Data Input'!I161),"",'Data Input'!I161)</f>
        <v>6=23=18 0024</v>
      </c>
      <c r="K161" t="str">
        <f>IF(ISBLANK('Data Input'!J161),"",'Data Input'!J161)</f>
        <v>bb - Ibuprofen</v>
      </c>
      <c r="L161">
        <f>IF(ISBLANK('Data Input'!K161),"",'Data Input'!K161)</f>
        <v>800</v>
      </c>
      <c r="M161">
        <f>IF(ISBLANK('Data Input'!L161),"",'Data Input'!L161)</f>
        <v>2</v>
      </c>
      <c r="N161">
        <f>IF(ISBLANK('Data Input'!M161),"",'Data Input'!M161)</f>
        <v>1</v>
      </c>
      <c r="O161" t="str">
        <f>IF(ISBLANK('Data Input'!N161),"",'Data Input'!N161)</f>
        <v/>
      </c>
      <c r="P161" t="str">
        <f>IF(ISBLANK('Data Input'!O161),"",'Data Input'!O161)</f>
        <v/>
      </c>
      <c r="Q161" t="str">
        <f>IF(ISBLANK('Data Input'!P161),"",'Data Input'!P161)</f>
        <v/>
      </c>
      <c r="R161" t="b">
        <f>IF(ISBLANK('Data Input'!Q161),"",'Data Input'!Q161)</f>
        <v>0</v>
      </c>
      <c r="T161" s="2">
        <f t="shared" si="10"/>
        <v>43273</v>
      </c>
      <c r="U161" s="12">
        <f t="shared" si="11"/>
        <v>0.26041666666666669</v>
      </c>
      <c r="V161" s="2">
        <f t="shared" si="12"/>
        <v>43274</v>
      </c>
      <c r="W161" s="12">
        <f t="shared" si="13"/>
        <v>1.6666666666666666E-2</v>
      </c>
    </row>
    <row r="162" spans="1:23">
      <c r="A162">
        <f>IF(ISBLANK('Data Input'!A162),"",'Data Input'!A162)</f>
        <v>45</v>
      </c>
      <c r="B162" t="str">
        <f>IF(ISBLANK('Data Input'!B162),"",'Data Input'!B162)</f>
        <v>CW045</v>
      </c>
      <c r="C162" t="str">
        <f>IF(ISBLANK('Data Input'!C162),"",'Data Input'!C162)</f>
        <v>6/22/18 2240</v>
      </c>
      <c r="E162" t="str">
        <f>IF(ISBLANK('Data Input'!D162),"",'Data Input'!D162)</f>
        <v>6/23/18 1521</v>
      </c>
      <c r="G162">
        <f>IF(ISBLANK('Data Input'!E162),"",'Data Input'!E162)</f>
        <v>27</v>
      </c>
      <c r="H162" t="str">
        <f>IF(ISBLANK('Data Input'!F162),"",'Data Input'!F162)</f>
        <v>white</v>
      </c>
      <c r="I162" t="str">
        <f>IF(ISBLANK('Data Input'!G162),"",'Data Input'!G162)</f>
        <v>SVD</v>
      </c>
      <c r="J162" t="str">
        <f>IF(ISBLANK('Data Input'!I162),"",'Data Input'!I162)</f>
        <v>6=23=18 0104</v>
      </c>
      <c r="K162" t="str">
        <f>IF(ISBLANK('Data Input'!J162),"",'Data Input'!J162)</f>
        <v>bb - Ibuprofen</v>
      </c>
      <c r="L162">
        <f>IF(ISBLANK('Data Input'!K162),"",'Data Input'!K162)</f>
        <v>800</v>
      </c>
      <c r="M162" t="str">
        <f>IF(ISBLANK('Data Input'!L162),"",'Data Input'!L162)</f>
        <v>dd - Missing Data</v>
      </c>
      <c r="N162" t="str">
        <f>IF(ISBLANK('Data Input'!M162),"",'Data Input'!M162)</f>
        <v>dd - Missing Data</v>
      </c>
      <c r="O162">
        <f>IF(ISBLANK('Data Input'!N162),"",'Data Input'!N162)</f>
        <v>2</v>
      </c>
      <c r="P162" t="str">
        <f>IF(ISBLANK('Data Input'!O162),"",'Data Input'!O162)</f>
        <v/>
      </c>
      <c r="Q162" t="str">
        <f>IF(ISBLANK('Data Input'!P162),"",'Data Input'!P162)</f>
        <v/>
      </c>
      <c r="R162" t="b">
        <f>IF(ISBLANK('Data Input'!Q162),"",'Data Input'!Q162)</f>
        <v>1</v>
      </c>
      <c r="T162" s="2">
        <f t="shared" si="10"/>
        <v>43273</v>
      </c>
      <c r="U162" s="12">
        <f t="shared" si="11"/>
        <v>0.94444444444444453</v>
      </c>
      <c r="V162" s="2">
        <f t="shared" si="12"/>
        <v>43274</v>
      </c>
      <c r="W162" s="12">
        <f t="shared" si="13"/>
        <v>0.63958333333333328</v>
      </c>
    </row>
    <row r="163" spans="1:23">
      <c r="A163">
        <f>IF(ISBLANK('Data Input'!A163),"",'Data Input'!A163)</f>
        <v>45</v>
      </c>
      <c r="B163" t="str">
        <f>IF(ISBLANK('Data Input'!B163),"",'Data Input'!B163)</f>
        <v>CW045</v>
      </c>
      <c r="C163" t="str">
        <f>IF(ISBLANK('Data Input'!C163),"",'Data Input'!C163)</f>
        <v>6/22/18 2240</v>
      </c>
      <c r="E163" t="str">
        <f>IF(ISBLANK('Data Input'!D163),"",'Data Input'!D163)</f>
        <v>6/23/18 1521</v>
      </c>
      <c r="G163">
        <f>IF(ISBLANK('Data Input'!E163),"",'Data Input'!E163)</f>
        <v>27</v>
      </c>
      <c r="H163" t="str">
        <f>IF(ISBLANK('Data Input'!F163),"",'Data Input'!F163)</f>
        <v>white</v>
      </c>
      <c r="I163" t="str">
        <f>IF(ISBLANK('Data Input'!G163),"",'Data Input'!G163)</f>
        <v>SVD</v>
      </c>
      <c r="J163" t="str">
        <f>IF(ISBLANK('Data Input'!I163),"",'Data Input'!I163)</f>
        <v>6=23=18 1521</v>
      </c>
      <c r="K163" t="str">
        <f>IF(ISBLANK('Data Input'!J163),"",'Data Input'!J163)</f>
        <v>bb - Ibuprofen</v>
      </c>
      <c r="L163">
        <f>IF(ISBLANK('Data Input'!K163),"",'Data Input'!K163)</f>
        <v>800</v>
      </c>
      <c r="M163">
        <f>IF(ISBLANK('Data Input'!L163),"",'Data Input'!L163)</f>
        <v>4</v>
      </c>
      <c r="N163">
        <f>IF(ISBLANK('Data Input'!M163),"",'Data Input'!M163)</f>
        <v>0</v>
      </c>
      <c r="O163">
        <f>IF(ISBLANK('Data Input'!N163),"",'Data Input'!N163)</f>
        <v>2</v>
      </c>
      <c r="P163" t="str">
        <f>IF(ISBLANK('Data Input'!O163),"",'Data Input'!O163)</f>
        <v/>
      </c>
      <c r="Q163" t="str">
        <f>IF(ISBLANK('Data Input'!P163),"",'Data Input'!P163)</f>
        <v/>
      </c>
      <c r="R163" t="b">
        <f>IF(ISBLANK('Data Input'!Q163),"",'Data Input'!Q163)</f>
        <v>1</v>
      </c>
      <c r="T163" s="2">
        <f t="shared" si="10"/>
        <v>43273</v>
      </c>
      <c r="U163" s="12">
        <f t="shared" si="11"/>
        <v>0.94444444444444453</v>
      </c>
      <c r="V163" s="2">
        <f t="shared" si="12"/>
        <v>43274</v>
      </c>
      <c r="W163" s="12">
        <f t="shared" si="13"/>
        <v>0.63958333333333328</v>
      </c>
    </row>
    <row r="164" spans="1:23">
      <c r="A164">
        <f>IF(ISBLANK('Data Input'!A164),"",'Data Input'!A164)</f>
        <v>46</v>
      </c>
      <c r="B164" t="str">
        <f>IF(ISBLANK('Data Input'!B164),"",'Data Input'!B164)</f>
        <v>MF046</v>
      </c>
      <c r="C164" t="str">
        <f>IF(ISBLANK('Data Input'!C164),"",'Data Input'!C164)</f>
        <v>6/22/18 2020</v>
      </c>
      <c r="E164" t="str">
        <f>IF(ISBLANK('Data Input'!D164),"",'Data Input'!D164)</f>
        <v>6/23/18 1943</v>
      </c>
      <c r="G164">
        <f>IF(ISBLANK('Data Input'!E164),"",'Data Input'!E164)</f>
        <v>33</v>
      </c>
      <c r="H164" t="str">
        <f>IF(ISBLANK('Data Input'!F164),"",'Data Input'!F164)</f>
        <v>White</v>
      </c>
      <c r="I164" t="str">
        <f>IF(ISBLANK('Data Input'!G164),"",'Data Input'!G164)</f>
        <v>SVD</v>
      </c>
      <c r="J164" t="str">
        <f>IF(ISBLANK('Data Input'!I164),"",'Data Input'!I164)</f>
        <v>6=22=18 2025</v>
      </c>
      <c r="K164" t="str">
        <f>IF(ISBLANK('Data Input'!J164),"",'Data Input'!J164)</f>
        <v>bb - Ibuprofen</v>
      </c>
      <c r="L164">
        <f>IF(ISBLANK('Data Input'!K164),"",'Data Input'!K164)</f>
        <v>800</v>
      </c>
      <c r="M164">
        <f>IF(ISBLANK('Data Input'!L164),"",'Data Input'!L164)</f>
        <v>5</v>
      </c>
      <c r="N164">
        <f>IF(ISBLANK('Data Input'!M164),"",'Data Input'!M164)</f>
        <v>4</v>
      </c>
      <c r="O164">
        <f>IF(ISBLANK('Data Input'!N164),"",'Data Input'!N164)</f>
        <v>4</v>
      </c>
      <c r="P164" t="str">
        <f>IF(ISBLANK('Data Input'!O164),"",'Data Input'!O164)</f>
        <v/>
      </c>
      <c r="Q164" t="str">
        <f>IF(ISBLANK('Data Input'!P164),"",'Data Input'!P164)</f>
        <v/>
      </c>
      <c r="R164" t="b">
        <f>IF(ISBLANK('Data Input'!Q164),"",'Data Input'!Q164)</f>
        <v>0</v>
      </c>
      <c r="T164" s="2">
        <f t="shared" si="10"/>
        <v>43273</v>
      </c>
      <c r="U164" s="12">
        <f t="shared" si="11"/>
        <v>0.84722222222222221</v>
      </c>
      <c r="V164" s="2">
        <f t="shared" si="12"/>
        <v>43274</v>
      </c>
      <c r="W164" s="12">
        <f t="shared" si="13"/>
        <v>0.82152777777777775</v>
      </c>
    </row>
    <row r="165" spans="1:23">
      <c r="A165">
        <f>IF(ISBLANK('Data Input'!A165),"",'Data Input'!A165)</f>
        <v>46</v>
      </c>
      <c r="B165" t="str">
        <f>IF(ISBLANK('Data Input'!B165),"",'Data Input'!B165)</f>
        <v>MF046</v>
      </c>
      <c r="C165" t="str">
        <f>IF(ISBLANK('Data Input'!C165),"",'Data Input'!C165)</f>
        <v>6/22/18 2020</v>
      </c>
      <c r="E165" t="str">
        <f>IF(ISBLANK('Data Input'!D165),"",'Data Input'!D165)</f>
        <v>6/23/18 1943</v>
      </c>
      <c r="G165">
        <f>IF(ISBLANK('Data Input'!E165),"",'Data Input'!E165)</f>
        <v>33</v>
      </c>
      <c r="H165" t="str">
        <f>IF(ISBLANK('Data Input'!F165),"",'Data Input'!F165)</f>
        <v>White</v>
      </c>
      <c r="I165" t="str">
        <f>IF(ISBLANK('Data Input'!G165),"",'Data Input'!G165)</f>
        <v>SVD</v>
      </c>
      <c r="J165" t="str">
        <f>IF(ISBLANK('Data Input'!I165),"",'Data Input'!I165)</f>
        <v>6=22=18 2025</v>
      </c>
      <c r="K165" t="str">
        <f>IF(ISBLANK('Data Input'!J165),"",'Data Input'!J165)</f>
        <v>rr - Percocet</v>
      </c>
      <c r="L165">
        <f>IF(ISBLANK('Data Input'!K165),"",'Data Input'!K165)</f>
        <v>1</v>
      </c>
      <c r="M165">
        <f>IF(ISBLANK('Data Input'!L165),"",'Data Input'!L165)</f>
        <v>5</v>
      </c>
      <c r="N165">
        <f>IF(ISBLANK('Data Input'!M165),"",'Data Input'!M165)</f>
        <v>4</v>
      </c>
      <c r="O165">
        <f>IF(ISBLANK('Data Input'!N165),"",'Data Input'!N165)</f>
        <v>7</v>
      </c>
      <c r="P165" t="str">
        <f>IF(ISBLANK('Data Input'!O165),"",'Data Input'!O165)</f>
        <v/>
      </c>
      <c r="Q165" t="str">
        <f>IF(ISBLANK('Data Input'!P165),"",'Data Input'!P165)</f>
        <v/>
      </c>
      <c r="R165" t="b">
        <f>IF(ISBLANK('Data Input'!Q165),"",'Data Input'!Q165)</f>
        <v>0</v>
      </c>
      <c r="T165" s="2">
        <f t="shared" si="10"/>
        <v>43273</v>
      </c>
      <c r="U165" s="12">
        <f t="shared" si="11"/>
        <v>0.84722222222222221</v>
      </c>
      <c r="V165" s="2">
        <f t="shared" si="12"/>
        <v>43274</v>
      </c>
      <c r="W165" s="12">
        <f t="shared" si="13"/>
        <v>0.82152777777777775</v>
      </c>
    </row>
    <row r="166" spans="1:23">
      <c r="A166">
        <f>IF(ISBLANK('Data Input'!A166),"",'Data Input'!A166)</f>
        <v>46</v>
      </c>
      <c r="B166" t="str">
        <f>IF(ISBLANK('Data Input'!B166),"",'Data Input'!B166)</f>
        <v>MF046</v>
      </c>
      <c r="C166" t="str">
        <f>IF(ISBLANK('Data Input'!C166),"",'Data Input'!C166)</f>
        <v>6/22/18 2020</v>
      </c>
      <c r="E166" t="str">
        <f>IF(ISBLANK('Data Input'!D166),"",'Data Input'!D166)</f>
        <v>6/23/18 1943</v>
      </c>
      <c r="G166">
        <f>IF(ISBLANK('Data Input'!E166),"",'Data Input'!E166)</f>
        <v>33</v>
      </c>
      <c r="H166" t="str">
        <f>IF(ISBLANK('Data Input'!F166),"",'Data Input'!F166)</f>
        <v>White</v>
      </c>
      <c r="I166" t="str">
        <f>IF(ISBLANK('Data Input'!G166),"",'Data Input'!G166)</f>
        <v>SVD</v>
      </c>
      <c r="J166" t="str">
        <f>IF(ISBLANK('Data Input'!I166),"",'Data Input'!I166)</f>
        <v>6=23=18 0136</v>
      </c>
      <c r="K166" t="str">
        <f>IF(ISBLANK('Data Input'!J166),"",'Data Input'!J166)</f>
        <v>bb - Ibuprofen</v>
      </c>
      <c r="L166">
        <f>IF(ISBLANK('Data Input'!K166),"",'Data Input'!K166)</f>
        <v>800</v>
      </c>
      <c r="M166">
        <f>IF(ISBLANK('Data Input'!L166),"",'Data Input'!L166)</f>
        <v>5</v>
      </c>
      <c r="N166">
        <f>IF(ISBLANK('Data Input'!M166),"",'Data Input'!M166)</f>
        <v>4</v>
      </c>
      <c r="O166">
        <f>IF(ISBLANK('Data Input'!N166),"",'Data Input'!N166)</f>
        <v>4</v>
      </c>
      <c r="P166" t="str">
        <f>IF(ISBLANK('Data Input'!O166),"",'Data Input'!O166)</f>
        <v/>
      </c>
      <c r="Q166" t="str">
        <f>IF(ISBLANK('Data Input'!P166),"",'Data Input'!P166)</f>
        <v/>
      </c>
      <c r="R166" t="b">
        <f>IF(ISBLANK('Data Input'!Q166),"",'Data Input'!Q166)</f>
        <v>0</v>
      </c>
      <c r="T166" s="2">
        <f t="shared" si="10"/>
        <v>43273</v>
      </c>
      <c r="U166" s="12">
        <f t="shared" si="11"/>
        <v>0.84722222222222221</v>
      </c>
      <c r="V166" s="2">
        <f t="shared" si="12"/>
        <v>43274</v>
      </c>
      <c r="W166" s="12">
        <f t="shared" si="13"/>
        <v>0.82152777777777775</v>
      </c>
    </row>
    <row r="167" spans="1:23">
      <c r="A167">
        <f>IF(ISBLANK('Data Input'!A167),"",'Data Input'!A167)</f>
        <v>46</v>
      </c>
      <c r="B167" t="str">
        <f>IF(ISBLANK('Data Input'!B167),"",'Data Input'!B167)</f>
        <v>MF046</v>
      </c>
      <c r="C167" t="str">
        <f>IF(ISBLANK('Data Input'!C167),"",'Data Input'!C167)</f>
        <v>6/22/18 2020</v>
      </c>
      <c r="E167" t="str">
        <f>IF(ISBLANK('Data Input'!D167),"",'Data Input'!D167)</f>
        <v>6/23/18 1943</v>
      </c>
      <c r="G167">
        <f>IF(ISBLANK('Data Input'!E167),"",'Data Input'!E167)</f>
        <v>33</v>
      </c>
      <c r="H167" t="str">
        <f>IF(ISBLANK('Data Input'!F167),"",'Data Input'!F167)</f>
        <v>White</v>
      </c>
      <c r="I167" t="str">
        <f>IF(ISBLANK('Data Input'!G167),"",'Data Input'!G167)</f>
        <v>SVD</v>
      </c>
      <c r="J167" t="str">
        <f>IF(ISBLANK('Data Input'!I167),"",'Data Input'!I167)</f>
        <v>6=23=18 0136</v>
      </c>
      <c r="K167" t="str">
        <f>IF(ISBLANK('Data Input'!J167),"",'Data Input'!J167)</f>
        <v>rr - Percocet</v>
      </c>
      <c r="L167">
        <f>IF(ISBLANK('Data Input'!K167),"",'Data Input'!K167)</f>
        <v>1</v>
      </c>
      <c r="M167">
        <f>IF(ISBLANK('Data Input'!L167),"",'Data Input'!L167)</f>
        <v>5</v>
      </c>
      <c r="N167">
        <f>IF(ISBLANK('Data Input'!M167),"",'Data Input'!M167)</f>
        <v>4</v>
      </c>
      <c r="O167">
        <f>IF(ISBLANK('Data Input'!N167),"",'Data Input'!N167)</f>
        <v>7</v>
      </c>
      <c r="P167" t="str">
        <f>IF(ISBLANK('Data Input'!O167),"",'Data Input'!O167)</f>
        <v/>
      </c>
      <c r="Q167" t="str">
        <f>IF(ISBLANK('Data Input'!P167),"",'Data Input'!P167)</f>
        <v/>
      </c>
      <c r="R167" t="b">
        <f>IF(ISBLANK('Data Input'!Q167),"",'Data Input'!Q167)</f>
        <v>0</v>
      </c>
      <c r="T167" s="2">
        <f t="shared" si="10"/>
        <v>43273</v>
      </c>
      <c r="U167" s="12">
        <f t="shared" si="11"/>
        <v>0.84722222222222221</v>
      </c>
      <c r="V167" s="2">
        <f t="shared" si="12"/>
        <v>43274</v>
      </c>
      <c r="W167" s="12">
        <f t="shared" si="13"/>
        <v>0.82152777777777775</v>
      </c>
    </row>
    <row r="168" spans="1:23">
      <c r="A168">
        <f>IF(ISBLANK('Data Input'!A168),"",'Data Input'!A168)</f>
        <v>46</v>
      </c>
      <c r="B168" t="str">
        <f>IF(ISBLANK('Data Input'!B168),"",'Data Input'!B168)</f>
        <v>MF046</v>
      </c>
      <c r="C168" t="str">
        <f>IF(ISBLANK('Data Input'!C168),"",'Data Input'!C168)</f>
        <v>6/22/18 2020</v>
      </c>
      <c r="E168" t="str">
        <f>IF(ISBLANK('Data Input'!D168),"",'Data Input'!D168)</f>
        <v>6/23/18 1943</v>
      </c>
      <c r="G168">
        <f>IF(ISBLANK('Data Input'!E168),"",'Data Input'!E168)</f>
        <v>33</v>
      </c>
      <c r="H168" t="str">
        <f>IF(ISBLANK('Data Input'!F168),"",'Data Input'!F168)</f>
        <v>White</v>
      </c>
      <c r="I168" t="str">
        <f>IF(ISBLANK('Data Input'!G168),"",'Data Input'!G168)</f>
        <v>SVD</v>
      </c>
      <c r="J168" t="str">
        <f>IF(ISBLANK('Data Input'!I168),"",'Data Input'!I168)</f>
        <v>6=23=18 0546</v>
      </c>
      <c r="K168" t="str">
        <f>IF(ISBLANK('Data Input'!J168),"",'Data Input'!J168)</f>
        <v>rr - Percocet</v>
      </c>
      <c r="L168">
        <f>IF(ISBLANK('Data Input'!K168),"",'Data Input'!K168)</f>
        <v>1</v>
      </c>
      <c r="M168">
        <f>IF(ISBLANK('Data Input'!L168),"",'Data Input'!L168)</f>
        <v>4</v>
      </c>
      <c r="N168">
        <f>IF(ISBLANK('Data Input'!M168),"",'Data Input'!M168)</f>
        <v>0</v>
      </c>
      <c r="O168">
        <f>IF(ISBLANK('Data Input'!N168),"",'Data Input'!N168)</f>
        <v>7</v>
      </c>
      <c r="P168" t="str">
        <f>IF(ISBLANK('Data Input'!O168),"",'Data Input'!O168)</f>
        <v/>
      </c>
      <c r="Q168" t="str">
        <f>IF(ISBLANK('Data Input'!P168),"",'Data Input'!P168)</f>
        <v/>
      </c>
      <c r="R168" t="b">
        <f>IF(ISBLANK('Data Input'!Q168),"",'Data Input'!Q168)</f>
        <v>0</v>
      </c>
      <c r="T168" s="2">
        <f t="shared" si="10"/>
        <v>43273</v>
      </c>
      <c r="U168" s="12">
        <f t="shared" si="11"/>
        <v>0.84722222222222221</v>
      </c>
      <c r="V168" s="2">
        <f t="shared" si="12"/>
        <v>43274</v>
      </c>
      <c r="W168" s="12">
        <f t="shared" si="13"/>
        <v>0.82152777777777775</v>
      </c>
    </row>
    <row r="169" spans="1:23">
      <c r="A169">
        <f>IF(ISBLANK('Data Input'!A169),"",'Data Input'!A169)</f>
        <v>46</v>
      </c>
      <c r="B169" t="str">
        <f>IF(ISBLANK('Data Input'!B169),"",'Data Input'!B169)</f>
        <v>MF046</v>
      </c>
      <c r="C169" t="str">
        <f>IF(ISBLANK('Data Input'!C169),"",'Data Input'!C169)</f>
        <v>6/22/18 2020</v>
      </c>
      <c r="E169" t="str">
        <f>IF(ISBLANK('Data Input'!D169),"",'Data Input'!D169)</f>
        <v>6/23/18 1943</v>
      </c>
      <c r="G169">
        <f>IF(ISBLANK('Data Input'!E169),"",'Data Input'!E169)</f>
        <v>33</v>
      </c>
      <c r="H169" t="str">
        <f>IF(ISBLANK('Data Input'!F169),"",'Data Input'!F169)</f>
        <v>White</v>
      </c>
      <c r="I169" t="str">
        <f>IF(ISBLANK('Data Input'!G169),"",'Data Input'!G169)</f>
        <v>SVD</v>
      </c>
      <c r="J169" t="str">
        <f>IF(ISBLANK('Data Input'!I169),"",'Data Input'!I169)</f>
        <v>6=23=18 0857</v>
      </c>
      <c r="K169" t="str">
        <f>IF(ISBLANK('Data Input'!J169),"",'Data Input'!J169)</f>
        <v>bb - Ibuprofen</v>
      </c>
      <c r="L169">
        <f>IF(ISBLANK('Data Input'!K169),"",'Data Input'!K169)</f>
        <v>800</v>
      </c>
      <c r="M169">
        <f>IF(ISBLANK('Data Input'!L169),"",'Data Input'!L169)</f>
        <v>5</v>
      </c>
      <c r="N169">
        <f>IF(ISBLANK('Data Input'!M169),"",'Data Input'!M169)</f>
        <v>4</v>
      </c>
      <c r="O169">
        <f>IF(ISBLANK('Data Input'!N169),"",'Data Input'!N169)</f>
        <v>4</v>
      </c>
      <c r="P169" t="str">
        <f>IF(ISBLANK('Data Input'!O169),"",'Data Input'!O169)</f>
        <v/>
      </c>
      <c r="Q169" t="str">
        <f>IF(ISBLANK('Data Input'!P169),"",'Data Input'!P169)</f>
        <v/>
      </c>
      <c r="R169" t="b">
        <f>IF(ISBLANK('Data Input'!Q169),"",'Data Input'!Q169)</f>
        <v>0</v>
      </c>
      <c r="T169" s="2">
        <f t="shared" si="10"/>
        <v>43273</v>
      </c>
      <c r="U169" s="12">
        <f t="shared" si="11"/>
        <v>0.84722222222222221</v>
      </c>
      <c r="V169" s="2">
        <f t="shared" si="12"/>
        <v>43274</v>
      </c>
      <c r="W169" s="12">
        <f t="shared" si="13"/>
        <v>0.82152777777777775</v>
      </c>
    </row>
    <row r="170" spans="1:23">
      <c r="A170">
        <f>IF(ISBLANK('Data Input'!A170),"",'Data Input'!A170)</f>
        <v>46</v>
      </c>
      <c r="B170" t="str">
        <f>IF(ISBLANK('Data Input'!B170),"",'Data Input'!B170)</f>
        <v>MF046</v>
      </c>
      <c r="C170" t="str">
        <f>IF(ISBLANK('Data Input'!C170),"",'Data Input'!C170)</f>
        <v>6/22/18 2020</v>
      </c>
      <c r="E170" t="str">
        <f>IF(ISBLANK('Data Input'!D170),"",'Data Input'!D170)</f>
        <v>6/23/18 1943</v>
      </c>
      <c r="G170">
        <f>IF(ISBLANK('Data Input'!E170),"",'Data Input'!E170)</f>
        <v>33</v>
      </c>
      <c r="H170" t="str">
        <f>IF(ISBLANK('Data Input'!F170),"",'Data Input'!F170)</f>
        <v>White</v>
      </c>
      <c r="I170" t="str">
        <f>IF(ISBLANK('Data Input'!G170),"",'Data Input'!G170)</f>
        <v>SVD</v>
      </c>
      <c r="J170" t="str">
        <f>IF(ISBLANK('Data Input'!I170),"",'Data Input'!I170)</f>
        <v>6=23=18 1015</v>
      </c>
      <c r="K170" t="str">
        <f>IF(ISBLANK('Data Input'!J170),"",'Data Input'!J170)</f>
        <v>rr - Percocet</v>
      </c>
      <c r="L170">
        <f>IF(ISBLANK('Data Input'!K170),"",'Data Input'!K170)</f>
        <v>2</v>
      </c>
      <c r="M170">
        <f>IF(ISBLANK('Data Input'!L170),"",'Data Input'!L170)</f>
        <v>2</v>
      </c>
      <c r="N170">
        <f>IF(ISBLANK('Data Input'!M170),"",'Data Input'!M170)</f>
        <v>2</v>
      </c>
      <c r="O170">
        <f>IF(ISBLANK('Data Input'!N170),"",'Data Input'!N170)</f>
        <v>7</v>
      </c>
      <c r="P170" t="str">
        <f>IF(ISBLANK('Data Input'!O170),"",'Data Input'!O170)</f>
        <v/>
      </c>
      <c r="Q170" t="str">
        <f>IF(ISBLANK('Data Input'!P170),"",'Data Input'!P170)</f>
        <v/>
      </c>
      <c r="R170" t="b">
        <f>IF(ISBLANK('Data Input'!Q170),"",'Data Input'!Q170)</f>
        <v>0</v>
      </c>
      <c r="T170" s="2">
        <f t="shared" si="10"/>
        <v>43273</v>
      </c>
      <c r="U170" s="12">
        <f t="shared" si="11"/>
        <v>0.84722222222222221</v>
      </c>
      <c r="V170" s="2">
        <f t="shared" si="12"/>
        <v>43274</v>
      </c>
      <c r="W170" s="12">
        <f t="shared" si="13"/>
        <v>0.82152777777777775</v>
      </c>
    </row>
    <row r="171" spans="1:23">
      <c r="A171">
        <f>IF(ISBLANK('Data Input'!A171),"",'Data Input'!A171)</f>
        <v>46</v>
      </c>
      <c r="B171" t="str">
        <f>IF(ISBLANK('Data Input'!B171),"",'Data Input'!B171)</f>
        <v>MF046</v>
      </c>
      <c r="C171" t="str">
        <f>IF(ISBLANK('Data Input'!C171),"",'Data Input'!C171)</f>
        <v>6/22/18 2020</v>
      </c>
      <c r="E171" t="str">
        <f>IF(ISBLANK('Data Input'!D171),"",'Data Input'!D171)</f>
        <v>6/23/18 1943</v>
      </c>
      <c r="G171">
        <f>IF(ISBLANK('Data Input'!E171),"",'Data Input'!E171)</f>
        <v>33</v>
      </c>
      <c r="H171" t="str">
        <f>IF(ISBLANK('Data Input'!F171),"",'Data Input'!F171)</f>
        <v>White</v>
      </c>
      <c r="I171" t="str">
        <f>IF(ISBLANK('Data Input'!G171),"",'Data Input'!G171)</f>
        <v>SVD</v>
      </c>
      <c r="J171" t="str">
        <f>IF(ISBLANK('Data Input'!I171),"",'Data Input'!I171)</f>
        <v>6=23=18 1547</v>
      </c>
      <c r="K171" t="str">
        <f>IF(ISBLANK('Data Input'!J171),"",'Data Input'!J171)</f>
        <v>bb - Ibuprofen</v>
      </c>
      <c r="L171">
        <f>IF(ISBLANK('Data Input'!K171),"",'Data Input'!K171)</f>
        <v>800</v>
      </c>
      <c r="M171">
        <f>IF(ISBLANK('Data Input'!L171),"",'Data Input'!L171)</f>
        <v>800</v>
      </c>
      <c r="N171">
        <f>IF(ISBLANK('Data Input'!M171),"",'Data Input'!M171)</f>
        <v>2</v>
      </c>
      <c r="O171">
        <f>IF(ISBLANK('Data Input'!N171),"",'Data Input'!N171)</f>
        <v>4</v>
      </c>
      <c r="P171" t="str">
        <f>IF(ISBLANK('Data Input'!O171),"",'Data Input'!O171)</f>
        <v/>
      </c>
      <c r="Q171" t="str">
        <f>IF(ISBLANK('Data Input'!P171),"",'Data Input'!P171)</f>
        <v/>
      </c>
      <c r="R171" t="b">
        <f>IF(ISBLANK('Data Input'!Q171),"",'Data Input'!Q171)</f>
        <v>0</v>
      </c>
      <c r="T171" s="2">
        <f t="shared" si="10"/>
        <v>43273</v>
      </c>
      <c r="U171" s="12">
        <f t="shared" si="11"/>
        <v>0.84722222222222221</v>
      </c>
      <c r="V171" s="2">
        <f t="shared" si="12"/>
        <v>43274</v>
      </c>
      <c r="W171" s="12">
        <f t="shared" si="13"/>
        <v>0.82152777777777775</v>
      </c>
    </row>
    <row r="172" spans="1:23">
      <c r="A172">
        <f>IF(ISBLANK('Data Input'!A172),"",'Data Input'!A172)</f>
        <v>46</v>
      </c>
      <c r="B172" t="str">
        <f>IF(ISBLANK('Data Input'!B172),"",'Data Input'!B172)</f>
        <v>MF046</v>
      </c>
      <c r="C172" t="str">
        <f>IF(ISBLANK('Data Input'!C172),"",'Data Input'!C172)</f>
        <v>6/22/18 2020</v>
      </c>
      <c r="E172" t="str">
        <f>IF(ISBLANK('Data Input'!D172),"",'Data Input'!D172)</f>
        <v>6/23/18 1943</v>
      </c>
      <c r="G172">
        <f>IF(ISBLANK('Data Input'!E172),"",'Data Input'!E172)</f>
        <v>33</v>
      </c>
      <c r="H172" t="str">
        <f>IF(ISBLANK('Data Input'!F172),"",'Data Input'!F172)</f>
        <v>White</v>
      </c>
      <c r="I172" t="str">
        <f>IF(ISBLANK('Data Input'!G172),"",'Data Input'!G172)</f>
        <v>SVD</v>
      </c>
      <c r="J172" t="str">
        <f>IF(ISBLANK('Data Input'!I172),"",'Data Input'!I172)</f>
        <v>6=23=18 1547</v>
      </c>
      <c r="K172" t="str">
        <f>IF(ISBLANK('Data Input'!J172),"",'Data Input'!J172)</f>
        <v>rr - Percocet</v>
      </c>
      <c r="L172">
        <f>IF(ISBLANK('Data Input'!K172),"",'Data Input'!K172)</f>
        <v>1</v>
      </c>
      <c r="M172">
        <f>IF(ISBLANK('Data Input'!L172),"",'Data Input'!L172)</f>
        <v>1</v>
      </c>
      <c r="N172">
        <f>IF(ISBLANK('Data Input'!M172),"",'Data Input'!M172)</f>
        <v>2</v>
      </c>
      <c r="O172">
        <f>IF(ISBLANK('Data Input'!N172),"",'Data Input'!N172)</f>
        <v>7</v>
      </c>
      <c r="P172" t="str">
        <f>IF(ISBLANK('Data Input'!O172),"",'Data Input'!O172)</f>
        <v/>
      </c>
      <c r="Q172" t="str">
        <f>IF(ISBLANK('Data Input'!P172),"",'Data Input'!P172)</f>
        <v/>
      </c>
      <c r="R172" t="b">
        <f>IF(ISBLANK('Data Input'!Q172),"",'Data Input'!Q172)</f>
        <v>0</v>
      </c>
      <c r="T172" s="2">
        <f t="shared" si="10"/>
        <v>43273</v>
      </c>
      <c r="U172" s="12">
        <f t="shared" si="11"/>
        <v>0.84722222222222221</v>
      </c>
      <c r="V172" s="2">
        <f t="shared" si="12"/>
        <v>43274</v>
      </c>
      <c r="W172" s="12">
        <f t="shared" si="13"/>
        <v>0.82152777777777775</v>
      </c>
    </row>
    <row r="173" spans="1:23">
      <c r="A173">
        <f>IF(ISBLANK('Data Input'!A173),"",'Data Input'!A173)</f>
        <v>46</v>
      </c>
      <c r="B173" t="str">
        <f>IF(ISBLANK('Data Input'!B173),"",'Data Input'!B173)</f>
        <v>MF046</v>
      </c>
      <c r="C173" t="str">
        <f>IF(ISBLANK('Data Input'!C173),"",'Data Input'!C173)</f>
        <v>6/22/18 2020</v>
      </c>
      <c r="E173" t="str">
        <f>IF(ISBLANK('Data Input'!D173),"",'Data Input'!D173)</f>
        <v>6/23/18 1943</v>
      </c>
      <c r="G173">
        <f>IF(ISBLANK('Data Input'!E173),"",'Data Input'!E173)</f>
        <v>33</v>
      </c>
      <c r="H173" t="str">
        <f>IF(ISBLANK('Data Input'!F173),"",'Data Input'!F173)</f>
        <v>White</v>
      </c>
      <c r="I173" t="str">
        <f>IF(ISBLANK('Data Input'!G173),"",'Data Input'!G173)</f>
        <v>SVD</v>
      </c>
      <c r="J173" t="str">
        <f>IF(ISBLANK('Data Input'!I173),"",'Data Input'!I173)</f>
        <v>6=23=18 1943</v>
      </c>
      <c r="K173" t="str">
        <f>IF(ISBLANK('Data Input'!J173),"",'Data Input'!J173)</f>
        <v>rr - Percocet</v>
      </c>
      <c r="L173">
        <f>IF(ISBLANK('Data Input'!K173),"",'Data Input'!K173)</f>
        <v>1</v>
      </c>
      <c r="M173">
        <f>IF(ISBLANK('Data Input'!L173),"",'Data Input'!L173)</f>
        <v>1</v>
      </c>
      <c r="N173">
        <f>IF(ISBLANK('Data Input'!M173),"",'Data Input'!M173)</f>
        <v>2</v>
      </c>
      <c r="O173">
        <f>IF(ISBLANK('Data Input'!N173),"",'Data Input'!N173)</f>
        <v>7</v>
      </c>
      <c r="P173" t="str">
        <f>IF(ISBLANK('Data Input'!O173),"",'Data Input'!O173)</f>
        <v/>
      </c>
      <c r="Q173" t="str">
        <f>IF(ISBLANK('Data Input'!P173),"",'Data Input'!P173)</f>
        <v/>
      </c>
      <c r="R173" t="b">
        <f>IF(ISBLANK('Data Input'!Q173),"",'Data Input'!Q173)</f>
        <v>0</v>
      </c>
      <c r="T173" s="2">
        <f t="shared" si="10"/>
        <v>43273</v>
      </c>
      <c r="U173" s="12">
        <f t="shared" si="11"/>
        <v>0.84722222222222221</v>
      </c>
      <c r="V173" s="2">
        <f t="shared" si="12"/>
        <v>43274</v>
      </c>
      <c r="W173" s="12">
        <f t="shared" si="13"/>
        <v>0.82152777777777775</v>
      </c>
    </row>
    <row r="174" spans="1:23">
      <c r="A174">
        <f>IF(ISBLANK('Data Input'!A174),"",'Data Input'!A174)</f>
        <v>47</v>
      </c>
      <c r="B174" t="str">
        <f>IF(ISBLANK('Data Input'!B174),"",'Data Input'!B174)</f>
        <v>NF047</v>
      </c>
      <c r="C174" t="str">
        <f>IF(ISBLANK('Data Input'!C174),"",'Data Input'!C174)</f>
        <v>6/23/18 2218</v>
      </c>
      <c r="E174" t="str">
        <f>IF(ISBLANK('Data Input'!D174),"",'Data Input'!D174)</f>
        <v>6/24/18 2058</v>
      </c>
      <c r="G174">
        <f>IF(ISBLANK('Data Input'!E174),"",'Data Input'!E174)</f>
        <v>34</v>
      </c>
      <c r="H174" t="str">
        <f>IF(ISBLANK('Data Input'!F174),"",'Data Input'!F174)</f>
        <v>Hispanic</v>
      </c>
      <c r="I174" t="str">
        <f>IF(ISBLANK('Data Input'!G174),"",'Data Input'!G174)</f>
        <v>SVD</v>
      </c>
      <c r="J174" t="str">
        <f>IF(ISBLANK('Data Input'!I174),"",'Data Input'!I174)</f>
        <v>6=24=18 0749</v>
      </c>
      <c r="K174" t="str">
        <f>IF(ISBLANK('Data Input'!J174),"",'Data Input'!J174)</f>
        <v>bb - Ibuprofen</v>
      </c>
      <c r="L174">
        <f>IF(ISBLANK('Data Input'!K174),"",'Data Input'!K174)</f>
        <v>800</v>
      </c>
      <c r="M174">
        <f>IF(ISBLANK('Data Input'!L174),"",'Data Input'!L174)</f>
        <v>4</v>
      </c>
      <c r="N174">
        <f>IF(ISBLANK('Data Input'!M174),"",'Data Input'!M174)</f>
        <v>0</v>
      </c>
      <c r="O174" t="str">
        <f>IF(ISBLANK('Data Input'!N174),"",'Data Input'!N174)</f>
        <v/>
      </c>
      <c r="P174" t="str">
        <f>IF(ISBLANK('Data Input'!O174),"",'Data Input'!O174)</f>
        <v/>
      </c>
      <c r="Q174" t="str">
        <f>IF(ISBLANK('Data Input'!P174),"",'Data Input'!P174)</f>
        <v/>
      </c>
      <c r="R174" t="b">
        <f>IF(ISBLANK('Data Input'!Q174),"",'Data Input'!Q174)</f>
        <v>1</v>
      </c>
      <c r="T174" s="2">
        <f t="shared" si="10"/>
        <v>43274</v>
      </c>
      <c r="U174" s="12">
        <f t="shared" si="11"/>
        <v>0.9291666666666667</v>
      </c>
      <c r="V174" s="2">
        <f t="shared" si="12"/>
        <v>43275</v>
      </c>
      <c r="W174" s="12">
        <f t="shared" si="13"/>
        <v>0.87361111111111101</v>
      </c>
    </row>
    <row r="175" spans="1:23">
      <c r="A175">
        <f>IF(ISBLANK('Data Input'!A175),"",'Data Input'!A175)</f>
        <v>47</v>
      </c>
      <c r="B175" t="str">
        <f>IF(ISBLANK('Data Input'!B175),"",'Data Input'!B175)</f>
        <v>NF047</v>
      </c>
      <c r="C175" t="str">
        <f>IF(ISBLANK('Data Input'!C175),"",'Data Input'!C175)</f>
        <v>6/23/18 2218</v>
      </c>
      <c r="E175" t="str">
        <f>IF(ISBLANK('Data Input'!D175),"",'Data Input'!D175)</f>
        <v>6/24/18 2058</v>
      </c>
      <c r="G175">
        <f>IF(ISBLANK('Data Input'!E175),"",'Data Input'!E175)</f>
        <v>34</v>
      </c>
      <c r="H175" t="str">
        <f>IF(ISBLANK('Data Input'!F175),"",'Data Input'!F175)</f>
        <v>Hispanic</v>
      </c>
      <c r="I175" t="str">
        <f>IF(ISBLANK('Data Input'!G175),"",'Data Input'!G175)</f>
        <v>SVD</v>
      </c>
      <c r="J175" t="str">
        <f>IF(ISBLANK('Data Input'!I175),"",'Data Input'!I175)</f>
        <v>6=24=18 1145</v>
      </c>
      <c r="K175" t="str">
        <f>IF(ISBLANK('Data Input'!J175),"",'Data Input'!J175)</f>
        <v>rr - Percocet</v>
      </c>
      <c r="L175">
        <f>IF(ISBLANK('Data Input'!K175),"",'Data Input'!K175)</f>
        <v>1</v>
      </c>
      <c r="M175">
        <f>IF(ISBLANK('Data Input'!L175),"",'Data Input'!L175)</f>
        <v>6</v>
      </c>
      <c r="N175">
        <f>IF(ISBLANK('Data Input'!M175),"",'Data Input'!M175)</f>
        <v>1</v>
      </c>
      <c r="O175" t="str">
        <f>IF(ISBLANK('Data Input'!N175),"",'Data Input'!N175)</f>
        <v/>
      </c>
      <c r="P175" t="str">
        <f>IF(ISBLANK('Data Input'!O175),"",'Data Input'!O175)</f>
        <v/>
      </c>
      <c r="Q175" t="str">
        <f>IF(ISBLANK('Data Input'!P175),"",'Data Input'!P175)</f>
        <v/>
      </c>
      <c r="R175" t="b">
        <f>IF(ISBLANK('Data Input'!Q175),"",'Data Input'!Q175)</f>
        <v>1</v>
      </c>
      <c r="T175" s="2">
        <f t="shared" si="10"/>
        <v>43274</v>
      </c>
      <c r="U175" s="12">
        <f t="shared" si="11"/>
        <v>0.9291666666666667</v>
      </c>
      <c r="V175" s="2">
        <f t="shared" si="12"/>
        <v>43275</v>
      </c>
      <c r="W175" s="12">
        <f t="shared" si="13"/>
        <v>0.87361111111111101</v>
      </c>
    </row>
    <row r="176" spans="1:23">
      <c r="A176">
        <f>IF(ISBLANK('Data Input'!A176),"",'Data Input'!A176)</f>
        <v>47</v>
      </c>
      <c r="B176" t="str">
        <f>IF(ISBLANK('Data Input'!B176),"",'Data Input'!B176)</f>
        <v>NF047</v>
      </c>
      <c r="C176" t="str">
        <f>IF(ISBLANK('Data Input'!C176),"",'Data Input'!C176)</f>
        <v>6/23/18 2218</v>
      </c>
      <c r="E176" t="str">
        <f>IF(ISBLANK('Data Input'!D176),"",'Data Input'!D176)</f>
        <v>6/24/18 2058</v>
      </c>
      <c r="G176">
        <f>IF(ISBLANK('Data Input'!E176),"",'Data Input'!E176)</f>
        <v>34</v>
      </c>
      <c r="H176" t="str">
        <f>IF(ISBLANK('Data Input'!F176),"",'Data Input'!F176)</f>
        <v>Hispanic</v>
      </c>
      <c r="I176" t="str">
        <f>IF(ISBLANK('Data Input'!G176),"",'Data Input'!G176)</f>
        <v>SVD</v>
      </c>
      <c r="J176" t="str">
        <f>IF(ISBLANK('Data Input'!I176),"",'Data Input'!I176)</f>
        <v>6=24=18 1503</v>
      </c>
      <c r="K176" t="str">
        <f>IF(ISBLANK('Data Input'!J176),"",'Data Input'!J176)</f>
        <v>bb - Ibuprofen</v>
      </c>
      <c r="L176">
        <f>IF(ISBLANK('Data Input'!K176),"",'Data Input'!K176)</f>
        <v>800</v>
      </c>
      <c r="M176">
        <f>IF(ISBLANK('Data Input'!L176),"",'Data Input'!L176)</f>
        <v>4</v>
      </c>
      <c r="N176">
        <f>IF(ISBLANK('Data Input'!M176),"",'Data Input'!M176)</f>
        <v>2</v>
      </c>
      <c r="O176" t="str">
        <f>IF(ISBLANK('Data Input'!N176),"",'Data Input'!N176)</f>
        <v/>
      </c>
      <c r="P176" t="str">
        <f>IF(ISBLANK('Data Input'!O176),"",'Data Input'!O176)</f>
        <v/>
      </c>
      <c r="Q176" t="str">
        <f>IF(ISBLANK('Data Input'!P176),"",'Data Input'!P176)</f>
        <v/>
      </c>
      <c r="R176" t="b">
        <f>IF(ISBLANK('Data Input'!Q176),"",'Data Input'!Q176)</f>
        <v>1</v>
      </c>
      <c r="T176" s="2">
        <f t="shared" si="10"/>
        <v>43274</v>
      </c>
      <c r="U176" s="12">
        <f t="shared" si="11"/>
        <v>0.9291666666666667</v>
      </c>
      <c r="V176" s="2">
        <f t="shared" si="12"/>
        <v>43275</v>
      </c>
      <c r="W176" s="12">
        <f t="shared" si="13"/>
        <v>0.87361111111111101</v>
      </c>
    </row>
    <row r="177" spans="1:23">
      <c r="A177">
        <f>IF(ISBLANK('Data Input'!A177),"",'Data Input'!A177)</f>
        <v>47</v>
      </c>
      <c r="B177" t="str">
        <f>IF(ISBLANK('Data Input'!B177),"",'Data Input'!B177)</f>
        <v>NF047</v>
      </c>
      <c r="C177" t="str">
        <f>IF(ISBLANK('Data Input'!C177),"",'Data Input'!C177)</f>
        <v>6/23/18 2218</v>
      </c>
      <c r="E177" t="str">
        <f>IF(ISBLANK('Data Input'!D177),"",'Data Input'!D177)</f>
        <v>6/24/18 2058</v>
      </c>
      <c r="G177">
        <f>IF(ISBLANK('Data Input'!E177),"",'Data Input'!E177)</f>
        <v>34</v>
      </c>
      <c r="H177" t="str">
        <f>IF(ISBLANK('Data Input'!F177),"",'Data Input'!F177)</f>
        <v>Hispanic</v>
      </c>
      <c r="I177" t="str">
        <f>IF(ISBLANK('Data Input'!G177),"",'Data Input'!G177)</f>
        <v>SVD</v>
      </c>
      <c r="J177" t="str">
        <f>IF(ISBLANK('Data Input'!I177),"",'Data Input'!I177)</f>
        <v>6=24=18 1920</v>
      </c>
      <c r="K177" t="str">
        <f>IF(ISBLANK('Data Input'!J177),"",'Data Input'!J177)</f>
        <v>rr - Percocet</v>
      </c>
      <c r="L177">
        <f>IF(ISBLANK('Data Input'!K177),"",'Data Input'!K177)</f>
        <v>1</v>
      </c>
      <c r="M177">
        <f>IF(ISBLANK('Data Input'!L177),"",'Data Input'!L177)</f>
        <v>4</v>
      </c>
      <c r="N177">
        <f>IF(ISBLANK('Data Input'!M177),"",'Data Input'!M177)</f>
        <v>4</v>
      </c>
      <c r="O177" t="str">
        <f>IF(ISBLANK('Data Input'!N177),"",'Data Input'!N177)</f>
        <v/>
      </c>
      <c r="P177" t="str">
        <f>IF(ISBLANK('Data Input'!O177),"",'Data Input'!O177)</f>
        <v/>
      </c>
      <c r="Q177" t="str">
        <f>IF(ISBLANK('Data Input'!P177),"",'Data Input'!P177)</f>
        <v/>
      </c>
      <c r="R177" t="b">
        <f>IF(ISBLANK('Data Input'!Q177),"",'Data Input'!Q177)</f>
        <v>1</v>
      </c>
      <c r="T177" s="2">
        <f t="shared" si="10"/>
        <v>43274</v>
      </c>
      <c r="U177" s="12">
        <f t="shared" si="11"/>
        <v>0.9291666666666667</v>
      </c>
      <c r="V177" s="2">
        <f t="shared" si="12"/>
        <v>43275</v>
      </c>
      <c r="W177" s="12">
        <f t="shared" si="13"/>
        <v>0.87361111111111101</v>
      </c>
    </row>
    <row r="178" spans="1:23">
      <c r="A178">
        <f>IF(ISBLANK('Data Input'!A178),"",'Data Input'!A178)</f>
        <v>47</v>
      </c>
      <c r="B178" t="str">
        <f>IF(ISBLANK('Data Input'!B178),"",'Data Input'!B178)</f>
        <v>NF047</v>
      </c>
      <c r="C178" t="str">
        <f>IF(ISBLANK('Data Input'!C178),"",'Data Input'!C178)</f>
        <v>6/23/18 2218</v>
      </c>
      <c r="E178" t="str">
        <f>IF(ISBLANK('Data Input'!D178),"",'Data Input'!D178)</f>
        <v>6/24/18 2058</v>
      </c>
      <c r="G178">
        <f>IF(ISBLANK('Data Input'!E178),"",'Data Input'!E178)</f>
        <v>34</v>
      </c>
      <c r="H178" t="str">
        <f>IF(ISBLANK('Data Input'!F178),"",'Data Input'!F178)</f>
        <v>Hispanic</v>
      </c>
      <c r="I178" t="str">
        <f>IF(ISBLANK('Data Input'!G178),"",'Data Input'!G178)</f>
        <v>SVD</v>
      </c>
      <c r="J178" t="str">
        <f>IF(ISBLANK('Data Input'!I178),"",'Data Input'!I178)</f>
        <v>6=24=18 2058</v>
      </c>
      <c r="K178" t="str">
        <f>IF(ISBLANK('Data Input'!J178),"",'Data Input'!J178)</f>
        <v>bb - Ibuprofen</v>
      </c>
      <c r="L178">
        <f>IF(ISBLANK('Data Input'!K178),"",'Data Input'!K178)</f>
        <v>800</v>
      </c>
      <c r="M178">
        <f>IF(ISBLANK('Data Input'!L178),"",'Data Input'!L178)</f>
        <v>3</v>
      </c>
      <c r="N178" t="str">
        <f>IF(ISBLANK('Data Input'!M178),"",'Data Input'!M178)</f>
        <v>dd - Missing Data</v>
      </c>
      <c r="O178" t="str">
        <f>IF(ISBLANK('Data Input'!N178),"",'Data Input'!N178)</f>
        <v/>
      </c>
      <c r="P178" t="str">
        <f>IF(ISBLANK('Data Input'!O178),"",'Data Input'!O178)</f>
        <v/>
      </c>
      <c r="Q178" t="str">
        <f>IF(ISBLANK('Data Input'!P178),"",'Data Input'!P178)</f>
        <v/>
      </c>
      <c r="R178" t="b">
        <f>IF(ISBLANK('Data Input'!Q178),"",'Data Input'!Q178)</f>
        <v>1</v>
      </c>
      <c r="T178" s="2">
        <f t="shared" si="10"/>
        <v>43274</v>
      </c>
      <c r="U178" s="12">
        <f t="shared" si="11"/>
        <v>0.9291666666666667</v>
      </c>
      <c r="V178" s="2">
        <f t="shared" si="12"/>
        <v>43275</v>
      </c>
      <c r="W178" s="12">
        <f t="shared" si="13"/>
        <v>0.87361111111111101</v>
      </c>
    </row>
    <row r="179" spans="1:23">
      <c r="A179">
        <f>IF(ISBLANK('Data Input'!A179),"",'Data Input'!A179)</f>
        <v>48</v>
      </c>
      <c r="B179" t="str">
        <f>IF(ISBLANK('Data Input'!B179),"",'Data Input'!B179)</f>
        <v>Sa048</v>
      </c>
      <c r="C179" t="str">
        <f>IF(ISBLANK('Data Input'!C179),"",'Data Input'!C179)</f>
        <v>6/19/18 1200</v>
      </c>
      <c r="E179" t="str">
        <f>IF(ISBLANK('Data Input'!D179),"",'Data Input'!D179)</f>
        <v>6/20/18 0947</v>
      </c>
      <c r="G179">
        <f>IF(ISBLANK('Data Input'!E179),"",'Data Input'!E179)</f>
        <v>24</v>
      </c>
      <c r="H179" t="str">
        <f>IF(ISBLANK('Data Input'!F179),"",'Data Input'!F179)</f>
        <v>White</v>
      </c>
      <c r="I179" t="str">
        <f>IF(ISBLANK('Data Input'!G179),"",'Data Input'!G179)</f>
        <v>Caesarean</v>
      </c>
      <c r="J179" t="str">
        <f>IF(ISBLANK('Data Input'!I179),"",'Data Input'!I179)</f>
        <v>6=19=18 1300</v>
      </c>
      <c r="K179" t="str">
        <f>IF(ISBLANK('Data Input'!J179),"",'Data Input'!J179)</f>
        <v>tr - Toradol</v>
      </c>
      <c r="L179">
        <f>IF(ISBLANK('Data Input'!K179),"",'Data Input'!K179)</f>
        <v>30</v>
      </c>
      <c r="M179">
        <f>IF(ISBLANK('Data Input'!L179),"",'Data Input'!L179)</f>
        <v>3</v>
      </c>
      <c r="N179">
        <f>IF(ISBLANK('Data Input'!M179),"",'Data Input'!M179)</f>
        <v>0</v>
      </c>
      <c r="O179" t="str">
        <f>IF(ISBLANK('Data Input'!N179),"",'Data Input'!N179)</f>
        <v/>
      </c>
      <c r="P179" t="str">
        <f>IF(ISBLANK('Data Input'!O179),"",'Data Input'!O179)</f>
        <v/>
      </c>
      <c r="Q179" t="str">
        <f>IF(ISBLANK('Data Input'!P179),"",'Data Input'!P179)</f>
        <v/>
      </c>
      <c r="R179" t="b">
        <f>IF(ISBLANK('Data Input'!Q179),"",'Data Input'!Q179)</f>
        <v>0</v>
      </c>
      <c r="T179" s="2">
        <f t="shared" si="10"/>
        <v>43270</v>
      </c>
      <c r="U179" s="12">
        <f t="shared" si="11"/>
        <v>0.5</v>
      </c>
      <c r="V179" s="2">
        <f t="shared" si="12"/>
        <v>43271</v>
      </c>
      <c r="W179" s="12">
        <f t="shared" si="13"/>
        <v>0.40763888888888888</v>
      </c>
    </row>
    <row r="180" spans="1:23">
      <c r="A180">
        <f>IF(ISBLANK('Data Input'!A180),"",'Data Input'!A180)</f>
        <v>48</v>
      </c>
      <c r="B180" t="str">
        <f>IF(ISBLANK('Data Input'!B180),"",'Data Input'!B180)</f>
        <v>Sa048</v>
      </c>
      <c r="C180" t="str">
        <f>IF(ISBLANK('Data Input'!C180),"",'Data Input'!C180)</f>
        <v>6/19/18 1200</v>
      </c>
      <c r="E180" t="str">
        <f>IF(ISBLANK('Data Input'!D180),"",'Data Input'!D180)</f>
        <v>6/20/18 0947</v>
      </c>
      <c r="G180">
        <f>IF(ISBLANK('Data Input'!E180),"",'Data Input'!E180)</f>
        <v>24</v>
      </c>
      <c r="H180" t="str">
        <f>IF(ISBLANK('Data Input'!F180),"",'Data Input'!F180)</f>
        <v>White</v>
      </c>
      <c r="I180" t="str">
        <f>IF(ISBLANK('Data Input'!G180),"",'Data Input'!G180)</f>
        <v>Caesarean</v>
      </c>
      <c r="J180" t="str">
        <f>IF(ISBLANK('Data Input'!I180),"",'Data Input'!I180)</f>
        <v>6=19=18 1851</v>
      </c>
      <c r="K180" t="str">
        <f>IF(ISBLANK('Data Input'!J180),"",'Data Input'!J180)</f>
        <v>tr - Toradol</v>
      </c>
      <c r="L180">
        <f>IF(ISBLANK('Data Input'!K180),"",'Data Input'!K180)</f>
        <v>30</v>
      </c>
      <c r="M180">
        <f>IF(ISBLANK('Data Input'!L180),"",'Data Input'!L180)</f>
        <v>7</v>
      </c>
      <c r="N180">
        <f>IF(ISBLANK('Data Input'!M180),"",'Data Input'!M180)</f>
        <v>0</v>
      </c>
      <c r="O180" t="str">
        <f>IF(ISBLANK('Data Input'!N180),"",'Data Input'!N180)</f>
        <v/>
      </c>
      <c r="P180" t="str">
        <f>IF(ISBLANK('Data Input'!O180),"",'Data Input'!O180)</f>
        <v/>
      </c>
      <c r="Q180" t="str">
        <f>IF(ISBLANK('Data Input'!P180),"",'Data Input'!P180)</f>
        <v/>
      </c>
      <c r="R180" t="b">
        <f>IF(ISBLANK('Data Input'!Q180),"",'Data Input'!Q180)</f>
        <v>0</v>
      </c>
      <c r="T180" s="2">
        <f t="shared" si="10"/>
        <v>43270</v>
      </c>
      <c r="U180" s="12">
        <f t="shared" si="11"/>
        <v>0.5</v>
      </c>
      <c r="V180" s="2">
        <f t="shared" si="12"/>
        <v>43271</v>
      </c>
      <c r="W180" s="12">
        <f t="shared" si="13"/>
        <v>0.40763888888888888</v>
      </c>
    </row>
    <row r="181" spans="1:23">
      <c r="A181">
        <f>IF(ISBLANK('Data Input'!A181),"",'Data Input'!A181)</f>
        <v>48</v>
      </c>
      <c r="B181" t="str">
        <f>IF(ISBLANK('Data Input'!B181),"",'Data Input'!B181)</f>
        <v>Sa048</v>
      </c>
      <c r="C181" t="str">
        <f>IF(ISBLANK('Data Input'!C181),"",'Data Input'!C181)</f>
        <v>6/19/18 1200</v>
      </c>
      <c r="E181" t="str">
        <f>IF(ISBLANK('Data Input'!D181),"",'Data Input'!D181)</f>
        <v>6/20/18 0947</v>
      </c>
      <c r="G181">
        <f>IF(ISBLANK('Data Input'!E181),"",'Data Input'!E181)</f>
        <v>24</v>
      </c>
      <c r="H181" t="str">
        <f>IF(ISBLANK('Data Input'!F181),"",'Data Input'!F181)</f>
        <v>White</v>
      </c>
      <c r="I181" t="str">
        <f>IF(ISBLANK('Data Input'!G181),"",'Data Input'!G181)</f>
        <v>Caesarean</v>
      </c>
      <c r="J181" t="str">
        <f>IF(ISBLANK('Data Input'!I181),"",'Data Input'!I181)</f>
        <v>6=19=18 2100</v>
      </c>
      <c r="K181" t="str">
        <f>IF(ISBLANK('Data Input'!J181),"",'Data Input'!J181)</f>
        <v>rr - Percocet</v>
      </c>
      <c r="L181">
        <f>IF(ISBLANK('Data Input'!K181),"",'Data Input'!K181)</f>
        <v>1</v>
      </c>
      <c r="M181">
        <f>IF(ISBLANK('Data Input'!L181),"",'Data Input'!L181)</f>
        <v>3</v>
      </c>
      <c r="N181">
        <f>IF(ISBLANK('Data Input'!M181),"",'Data Input'!M181)</f>
        <v>2</v>
      </c>
      <c r="O181" t="str">
        <f>IF(ISBLANK('Data Input'!N181),"",'Data Input'!N181)</f>
        <v/>
      </c>
      <c r="P181" t="str">
        <f>IF(ISBLANK('Data Input'!O181),"",'Data Input'!O181)</f>
        <v/>
      </c>
      <c r="Q181" t="str">
        <f>IF(ISBLANK('Data Input'!P181),"",'Data Input'!P181)</f>
        <v/>
      </c>
      <c r="R181" t="b">
        <f>IF(ISBLANK('Data Input'!Q181),"",'Data Input'!Q181)</f>
        <v>0</v>
      </c>
      <c r="T181" s="2">
        <f t="shared" si="10"/>
        <v>43270</v>
      </c>
      <c r="U181" s="12">
        <f t="shared" si="11"/>
        <v>0.5</v>
      </c>
      <c r="V181" s="2">
        <f t="shared" si="12"/>
        <v>43271</v>
      </c>
      <c r="W181" s="12">
        <f t="shared" si="13"/>
        <v>0.40763888888888888</v>
      </c>
    </row>
    <row r="182" spans="1:23">
      <c r="A182">
        <f>IF(ISBLANK('Data Input'!A182),"",'Data Input'!A182)</f>
        <v>48</v>
      </c>
      <c r="B182" t="str">
        <f>IF(ISBLANK('Data Input'!B182),"",'Data Input'!B182)</f>
        <v>Sa048</v>
      </c>
      <c r="C182" t="str">
        <f>IF(ISBLANK('Data Input'!C182),"",'Data Input'!C182)</f>
        <v>6/19/18 1200</v>
      </c>
      <c r="E182" t="str">
        <f>IF(ISBLANK('Data Input'!D182),"",'Data Input'!D182)</f>
        <v>6/20/18 0947</v>
      </c>
      <c r="G182">
        <f>IF(ISBLANK('Data Input'!E182),"",'Data Input'!E182)</f>
        <v>24</v>
      </c>
      <c r="H182" t="str">
        <f>IF(ISBLANK('Data Input'!F182),"",'Data Input'!F182)</f>
        <v>White</v>
      </c>
      <c r="I182" t="str">
        <f>IF(ISBLANK('Data Input'!G182),"",'Data Input'!G182)</f>
        <v>Caesarean</v>
      </c>
      <c r="J182" t="str">
        <f>IF(ISBLANK('Data Input'!I182),"",'Data Input'!I182)</f>
        <v>6=20=18 0051</v>
      </c>
      <c r="K182" t="str">
        <f>IF(ISBLANK('Data Input'!J182),"",'Data Input'!J182)</f>
        <v>tr - Toradol</v>
      </c>
      <c r="L182">
        <f>IF(ISBLANK('Data Input'!K182),"",'Data Input'!K182)</f>
        <v>30</v>
      </c>
      <c r="M182">
        <f>IF(ISBLANK('Data Input'!L182),"",'Data Input'!L182)</f>
        <v>4</v>
      </c>
      <c r="N182">
        <f>IF(ISBLANK('Data Input'!M182),"",'Data Input'!M182)</f>
        <v>2</v>
      </c>
      <c r="O182" t="str">
        <f>IF(ISBLANK('Data Input'!N182),"",'Data Input'!N182)</f>
        <v/>
      </c>
      <c r="P182" t="str">
        <f>IF(ISBLANK('Data Input'!O182),"",'Data Input'!O182)</f>
        <v/>
      </c>
      <c r="Q182" t="str">
        <f>IF(ISBLANK('Data Input'!P182),"",'Data Input'!P182)</f>
        <v/>
      </c>
      <c r="R182" t="b">
        <f>IF(ISBLANK('Data Input'!Q182),"",'Data Input'!Q182)</f>
        <v>0</v>
      </c>
      <c r="T182" s="2">
        <f t="shared" si="10"/>
        <v>43270</v>
      </c>
      <c r="U182" s="12">
        <f t="shared" si="11"/>
        <v>0.5</v>
      </c>
      <c r="V182" s="2">
        <f t="shared" si="12"/>
        <v>43271</v>
      </c>
      <c r="W182" s="12">
        <f t="shared" si="13"/>
        <v>0.40763888888888888</v>
      </c>
    </row>
    <row r="183" spans="1:23">
      <c r="A183">
        <f>IF(ISBLANK('Data Input'!A183),"",'Data Input'!A183)</f>
        <v>48</v>
      </c>
      <c r="B183" t="str">
        <f>IF(ISBLANK('Data Input'!B183),"",'Data Input'!B183)</f>
        <v>Sa048</v>
      </c>
      <c r="C183" t="str">
        <f>IF(ISBLANK('Data Input'!C183),"",'Data Input'!C183)</f>
        <v>6/19/18 1200</v>
      </c>
      <c r="E183" t="str">
        <f>IF(ISBLANK('Data Input'!D183),"",'Data Input'!D183)</f>
        <v>6/20/18 0947</v>
      </c>
      <c r="G183">
        <f>IF(ISBLANK('Data Input'!E183),"",'Data Input'!E183)</f>
        <v>24</v>
      </c>
      <c r="H183" t="str">
        <f>IF(ISBLANK('Data Input'!F183),"",'Data Input'!F183)</f>
        <v>White</v>
      </c>
      <c r="I183" t="str">
        <f>IF(ISBLANK('Data Input'!G183),"",'Data Input'!G183)</f>
        <v>Caesarean</v>
      </c>
      <c r="J183" t="str">
        <f>IF(ISBLANK('Data Input'!I183),"",'Data Input'!I183)</f>
        <v>6=20=18 0417</v>
      </c>
      <c r="K183" t="str">
        <f>IF(ISBLANK('Data Input'!J183),"",'Data Input'!J183)</f>
        <v>rr - Percocet</v>
      </c>
      <c r="L183">
        <f>IF(ISBLANK('Data Input'!K183),"",'Data Input'!K183)</f>
        <v>1</v>
      </c>
      <c r="M183">
        <f>IF(ISBLANK('Data Input'!L183),"",'Data Input'!L183)</f>
        <v>6</v>
      </c>
      <c r="N183">
        <f>IF(ISBLANK('Data Input'!M183),"",'Data Input'!M183)</f>
        <v>5</v>
      </c>
      <c r="O183" t="str">
        <f>IF(ISBLANK('Data Input'!N183),"",'Data Input'!N183)</f>
        <v/>
      </c>
      <c r="P183" t="str">
        <f>IF(ISBLANK('Data Input'!O183),"",'Data Input'!O183)</f>
        <v/>
      </c>
      <c r="Q183" t="str">
        <f>IF(ISBLANK('Data Input'!P183),"",'Data Input'!P183)</f>
        <v/>
      </c>
      <c r="R183" t="b">
        <f>IF(ISBLANK('Data Input'!Q183),"",'Data Input'!Q183)</f>
        <v>0</v>
      </c>
      <c r="T183" s="2">
        <f t="shared" si="10"/>
        <v>43270</v>
      </c>
      <c r="U183" s="12">
        <f t="shared" si="11"/>
        <v>0.5</v>
      </c>
      <c r="V183" s="2">
        <f t="shared" si="12"/>
        <v>43271</v>
      </c>
      <c r="W183" s="12">
        <f t="shared" si="13"/>
        <v>0.40763888888888888</v>
      </c>
    </row>
    <row r="184" spans="1:23">
      <c r="A184">
        <f>IF(ISBLANK('Data Input'!A184),"",'Data Input'!A184)</f>
        <v>48</v>
      </c>
      <c r="B184" t="str">
        <f>IF(ISBLANK('Data Input'!B184),"",'Data Input'!B184)</f>
        <v>Sa048</v>
      </c>
      <c r="C184" t="str">
        <f>IF(ISBLANK('Data Input'!C184),"",'Data Input'!C184)</f>
        <v>6/19/18 1200</v>
      </c>
      <c r="E184" t="str">
        <f>IF(ISBLANK('Data Input'!D184),"",'Data Input'!D184)</f>
        <v>6/20/18 0947</v>
      </c>
      <c r="G184">
        <f>IF(ISBLANK('Data Input'!E184),"",'Data Input'!E184)</f>
        <v>24</v>
      </c>
      <c r="H184" t="str">
        <f>IF(ISBLANK('Data Input'!F184),"",'Data Input'!F184)</f>
        <v>White</v>
      </c>
      <c r="I184" t="str">
        <f>IF(ISBLANK('Data Input'!G184),"",'Data Input'!G184)</f>
        <v>Caesarean</v>
      </c>
      <c r="J184" t="str">
        <f>IF(ISBLANK('Data Input'!I184),"",'Data Input'!I184)</f>
        <v>6=20=18 0717</v>
      </c>
      <c r="K184" t="str">
        <f>IF(ISBLANK('Data Input'!J184),"",'Data Input'!J184)</f>
        <v>tr - Toradol</v>
      </c>
      <c r="L184">
        <f>IF(ISBLANK('Data Input'!K184),"",'Data Input'!K184)</f>
        <v>30</v>
      </c>
      <c r="M184">
        <f>IF(ISBLANK('Data Input'!L184),"",'Data Input'!L184)</f>
        <v>5</v>
      </c>
      <c r="N184">
        <f>IF(ISBLANK('Data Input'!M184),"",'Data Input'!M184)</f>
        <v>2</v>
      </c>
      <c r="O184" t="str">
        <f>IF(ISBLANK('Data Input'!N184),"",'Data Input'!N184)</f>
        <v/>
      </c>
      <c r="P184" t="str">
        <f>IF(ISBLANK('Data Input'!O184),"",'Data Input'!O184)</f>
        <v/>
      </c>
      <c r="Q184" t="str">
        <f>IF(ISBLANK('Data Input'!P184),"",'Data Input'!P184)</f>
        <v/>
      </c>
      <c r="R184" t="b">
        <f>IF(ISBLANK('Data Input'!Q184),"",'Data Input'!Q184)</f>
        <v>0</v>
      </c>
      <c r="T184" s="2">
        <f t="shared" si="10"/>
        <v>43270</v>
      </c>
      <c r="U184" s="12">
        <f t="shared" si="11"/>
        <v>0.5</v>
      </c>
      <c r="V184" s="2">
        <f t="shared" si="12"/>
        <v>43271</v>
      </c>
      <c r="W184" s="12">
        <f t="shared" si="13"/>
        <v>0.40763888888888888</v>
      </c>
    </row>
    <row r="185" spans="1:23">
      <c r="A185">
        <f>IF(ISBLANK('Data Input'!A185),"",'Data Input'!A185)</f>
        <v>48</v>
      </c>
      <c r="B185" t="str">
        <f>IF(ISBLANK('Data Input'!B185),"",'Data Input'!B185)</f>
        <v>Sa048</v>
      </c>
      <c r="C185" t="str">
        <f>IF(ISBLANK('Data Input'!C185),"",'Data Input'!C185)</f>
        <v>6/19/18 1200</v>
      </c>
      <c r="E185" t="str">
        <f>IF(ISBLANK('Data Input'!D185),"",'Data Input'!D185)</f>
        <v>6/20/18 0947</v>
      </c>
      <c r="G185">
        <f>IF(ISBLANK('Data Input'!E185),"",'Data Input'!E185)</f>
        <v>24</v>
      </c>
      <c r="H185" t="str">
        <f>IF(ISBLANK('Data Input'!F185),"",'Data Input'!F185)</f>
        <v>White</v>
      </c>
      <c r="I185" t="str">
        <f>IF(ISBLANK('Data Input'!G185),"",'Data Input'!G185)</f>
        <v>Caesarean</v>
      </c>
      <c r="J185" t="str">
        <f>IF(ISBLANK('Data Input'!I185),"",'Data Input'!I185)</f>
        <v>6=20=18 0947</v>
      </c>
      <c r="K185" t="str">
        <f>IF(ISBLANK('Data Input'!J185),"",'Data Input'!J185)</f>
        <v>rr - Percocet</v>
      </c>
      <c r="L185">
        <f>IF(ISBLANK('Data Input'!K185),"",'Data Input'!K185)</f>
        <v>1</v>
      </c>
      <c r="M185" t="str">
        <f>IF(ISBLANK('Data Input'!L185),"",'Data Input'!L185)</f>
        <v>dd - Missing Data</v>
      </c>
      <c r="N185" t="str">
        <f>IF(ISBLANK('Data Input'!M185),"",'Data Input'!M185)</f>
        <v>dd - Missing Data</v>
      </c>
      <c r="O185" t="str">
        <f>IF(ISBLANK('Data Input'!N185),"",'Data Input'!N185)</f>
        <v/>
      </c>
      <c r="P185" t="str">
        <f>IF(ISBLANK('Data Input'!O185),"",'Data Input'!O185)</f>
        <v/>
      </c>
      <c r="Q185" t="str">
        <f>IF(ISBLANK('Data Input'!P185),"",'Data Input'!P185)</f>
        <v/>
      </c>
      <c r="R185" t="b">
        <f>IF(ISBLANK('Data Input'!Q185),"",'Data Input'!Q185)</f>
        <v>0</v>
      </c>
      <c r="T185" s="2">
        <f t="shared" si="10"/>
        <v>43270</v>
      </c>
      <c r="U185" s="12">
        <f t="shared" si="11"/>
        <v>0.5</v>
      </c>
      <c r="V185" s="2">
        <f t="shared" si="12"/>
        <v>43271</v>
      </c>
      <c r="W185" s="12">
        <f t="shared" si="13"/>
        <v>0.40763888888888888</v>
      </c>
    </row>
    <row r="186" spans="1:23">
      <c r="A186">
        <f>IF(ISBLANK('Data Input'!A186),"",'Data Input'!A186)</f>
        <v>49</v>
      </c>
      <c r="B186" t="str">
        <f>IF(ISBLANK('Data Input'!B186),"",'Data Input'!B186)</f>
        <v>TT049</v>
      </c>
      <c r="C186" t="str">
        <f>IF(ISBLANK('Data Input'!C186),"",'Data Input'!C186)</f>
        <v>6/20/18 1534</v>
      </c>
      <c r="E186" t="str">
        <f>IF(ISBLANK('Data Input'!D186),"",'Data Input'!D186)</f>
        <v>6/21/18 1319</v>
      </c>
      <c r="G186">
        <f>IF(ISBLANK('Data Input'!E186),"",'Data Input'!E186)</f>
        <v>36</v>
      </c>
      <c r="H186" t="str">
        <f>IF(ISBLANK('Data Input'!F186),"",'Data Input'!F186)</f>
        <v>bb - Black</v>
      </c>
      <c r="I186" t="str">
        <f>IF(ISBLANK('Data Input'!G186),"",'Data Input'!G186)</f>
        <v>Caesarean</v>
      </c>
      <c r="J186" t="str">
        <f>IF(ISBLANK('Data Input'!I186),"",'Data Input'!I186)</f>
        <v>6=20=18 1627</v>
      </c>
      <c r="K186" t="str">
        <f>IF(ISBLANK('Data Input'!J186),"",'Data Input'!J186)</f>
        <v>tr - Toradol</v>
      </c>
      <c r="L186">
        <f>IF(ISBLANK('Data Input'!K186),"",'Data Input'!K186)</f>
        <v>30</v>
      </c>
      <c r="M186">
        <f>IF(ISBLANK('Data Input'!L186),"",'Data Input'!L186)</f>
        <v>1</v>
      </c>
      <c r="N186">
        <f>IF(ISBLANK('Data Input'!M186),"",'Data Input'!M186)</f>
        <v>0</v>
      </c>
      <c r="O186" t="str">
        <f>IF(ISBLANK('Data Input'!N186),"",'Data Input'!N186)</f>
        <v/>
      </c>
      <c r="P186" t="str">
        <f>IF(ISBLANK('Data Input'!O186),"",'Data Input'!O186)</f>
        <v/>
      </c>
      <c r="Q186" t="str">
        <f>IF(ISBLANK('Data Input'!P186),"",'Data Input'!P186)</f>
        <v/>
      </c>
      <c r="R186" t="b">
        <f>IF(ISBLANK('Data Input'!Q186),"",'Data Input'!Q186)</f>
        <v>1</v>
      </c>
      <c r="T186" s="2">
        <f t="shared" si="10"/>
        <v>43271</v>
      </c>
      <c r="U186" s="12">
        <f t="shared" si="11"/>
        <v>0.64861111111111114</v>
      </c>
      <c r="V186" s="2">
        <f t="shared" si="12"/>
        <v>43272</v>
      </c>
      <c r="W186" s="12">
        <f t="shared" si="13"/>
        <v>0.55486111111111114</v>
      </c>
    </row>
    <row r="187" spans="1:23">
      <c r="A187">
        <f>IF(ISBLANK('Data Input'!A187),"",'Data Input'!A187)</f>
        <v>49</v>
      </c>
      <c r="B187" t="str">
        <f>IF(ISBLANK('Data Input'!B187),"",'Data Input'!B187)</f>
        <v>TT049</v>
      </c>
      <c r="C187" t="str">
        <f>IF(ISBLANK('Data Input'!C187),"",'Data Input'!C187)</f>
        <v>6/20/18 1534</v>
      </c>
      <c r="E187" t="str">
        <f>IF(ISBLANK('Data Input'!D187),"",'Data Input'!D187)</f>
        <v>6/21/18 1319</v>
      </c>
      <c r="G187">
        <f>IF(ISBLANK('Data Input'!E187),"",'Data Input'!E187)</f>
        <v>36</v>
      </c>
      <c r="H187" t="str">
        <f>IF(ISBLANK('Data Input'!F187),"",'Data Input'!F187)</f>
        <v>bb - Black</v>
      </c>
      <c r="I187" t="str">
        <f>IF(ISBLANK('Data Input'!G187),"",'Data Input'!G187)</f>
        <v>Caesarean</v>
      </c>
      <c r="J187" t="str">
        <f>IF(ISBLANK('Data Input'!I187),"",'Data Input'!I187)</f>
        <v>6=20=18 2225</v>
      </c>
      <c r="K187" t="str">
        <f>IF(ISBLANK('Data Input'!J187),"",'Data Input'!J187)</f>
        <v>tr - Toradol</v>
      </c>
      <c r="L187">
        <f>IF(ISBLANK('Data Input'!K187),"",'Data Input'!K187)</f>
        <v>30</v>
      </c>
      <c r="M187">
        <f>IF(ISBLANK('Data Input'!L187),"",'Data Input'!L187)</f>
        <v>3</v>
      </c>
      <c r="N187">
        <f>IF(ISBLANK('Data Input'!M187),"",'Data Input'!M187)</f>
        <v>1</v>
      </c>
      <c r="O187" t="str">
        <f>IF(ISBLANK('Data Input'!N187),"",'Data Input'!N187)</f>
        <v/>
      </c>
      <c r="P187" t="str">
        <f>IF(ISBLANK('Data Input'!O187),"",'Data Input'!O187)</f>
        <v/>
      </c>
      <c r="Q187" t="str">
        <f>IF(ISBLANK('Data Input'!P187),"",'Data Input'!P187)</f>
        <v/>
      </c>
      <c r="R187" t="b">
        <f>IF(ISBLANK('Data Input'!Q187),"",'Data Input'!Q187)</f>
        <v>1</v>
      </c>
      <c r="T187" s="2">
        <f t="shared" si="10"/>
        <v>43271</v>
      </c>
      <c r="U187" s="12">
        <f t="shared" si="11"/>
        <v>0.64861111111111114</v>
      </c>
      <c r="V187" s="2">
        <f t="shared" si="12"/>
        <v>43272</v>
      </c>
      <c r="W187" s="12">
        <f t="shared" si="13"/>
        <v>0.55486111111111114</v>
      </c>
    </row>
    <row r="188" spans="1:23">
      <c r="A188">
        <f>IF(ISBLANK('Data Input'!A188),"",'Data Input'!A188)</f>
        <v>49</v>
      </c>
      <c r="B188" t="str">
        <f>IF(ISBLANK('Data Input'!B188),"",'Data Input'!B188)</f>
        <v>TT049</v>
      </c>
      <c r="C188" t="str">
        <f>IF(ISBLANK('Data Input'!C188),"",'Data Input'!C188)</f>
        <v>6/20/18 1534</v>
      </c>
      <c r="E188" t="str">
        <f>IF(ISBLANK('Data Input'!D188),"",'Data Input'!D188)</f>
        <v>6/21/18 1319</v>
      </c>
      <c r="G188">
        <f>IF(ISBLANK('Data Input'!E188),"",'Data Input'!E188)</f>
        <v>36</v>
      </c>
      <c r="H188" t="str">
        <f>IF(ISBLANK('Data Input'!F188),"",'Data Input'!F188)</f>
        <v>bb - Black</v>
      </c>
      <c r="I188" t="str">
        <f>IF(ISBLANK('Data Input'!G188),"",'Data Input'!G188)</f>
        <v>Caesarean</v>
      </c>
      <c r="J188" t="str">
        <f>IF(ISBLANK('Data Input'!I188),"",'Data Input'!I188)</f>
        <v>6=21=18 0510</v>
      </c>
      <c r="K188" t="str">
        <f>IF(ISBLANK('Data Input'!J188),"",'Data Input'!J188)</f>
        <v>tr - Toradol</v>
      </c>
      <c r="L188">
        <f>IF(ISBLANK('Data Input'!K188),"",'Data Input'!K188)</f>
        <v>30</v>
      </c>
      <c r="M188">
        <f>IF(ISBLANK('Data Input'!L188),"",'Data Input'!L188)</f>
        <v>4</v>
      </c>
      <c r="N188">
        <f>IF(ISBLANK('Data Input'!M188),"",'Data Input'!M188)</f>
        <v>0</v>
      </c>
      <c r="O188" t="str">
        <f>IF(ISBLANK('Data Input'!N188),"",'Data Input'!N188)</f>
        <v/>
      </c>
      <c r="P188" t="str">
        <f>IF(ISBLANK('Data Input'!O188),"",'Data Input'!O188)</f>
        <v/>
      </c>
      <c r="Q188" t="str">
        <f>IF(ISBLANK('Data Input'!P188),"",'Data Input'!P188)</f>
        <v/>
      </c>
      <c r="R188" t="b">
        <f>IF(ISBLANK('Data Input'!Q188),"",'Data Input'!Q188)</f>
        <v>1</v>
      </c>
      <c r="T188" s="2">
        <f t="shared" si="10"/>
        <v>43271</v>
      </c>
      <c r="U188" s="12">
        <f t="shared" si="11"/>
        <v>0.64861111111111114</v>
      </c>
      <c r="V188" s="2">
        <f t="shared" si="12"/>
        <v>43272</v>
      </c>
      <c r="W188" s="12">
        <f t="shared" si="13"/>
        <v>0.55486111111111114</v>
      </c>
    </row>
    <row r="189" spans="1:23">
      <c r="A189">
        <f>IF(ISBLANK('Data Input'!A189),"",'Data Input'!A189)</f>
        <v>49</v>
      </c>
      <c r="B189" t="str">
        <f>IF(ISBLANK('Data Input'!B189),"",'Data Input'!B189)</f>
        <v>TT049</v>
      </c>
      <c r="C189" t="str">
        <f>IF(ISBLANK('Data Input'!C189),"",'Data Input'!C189)</f>
        <v>6/20/18 1534</v>
      </c>
      <c r="E189" t="str">
        <f>IF(ISBLANK('Data Input'!D189),"",'Data Input'!D189)</f>
        <v>6/21/18 1319</v>
      </c>
      <c r="G189">
        <f>IF(ISBLANK('Data Input'!E189),"",'Data Input'!E189)</f>
        <v>36</v>
      </c>
      <c r="H189" t="str">
        <f>IF(ISBLANK('Data Input'!F189),"",'Data Input'!F189)</f>
        <v>bb - Black</v>
      </c>
      <c r="I189" t="str">
        <f>IF(ISBLANK('Data Input'!G189),"",'Data Input'!G189)</f>
        <v>Caesarean</v>
      </c>
      <c r="J189" t="str">
        <f>IF(ISBLANK('Data Input'!I189),"",'Data Input'!I189)</f>
        <v>6=21=18 1319</v>
      </c>
      <c r="K189" t="str">
        <f>IF(ISBLANK('Data Input'!J189),"",'Data Input'!J189)</f>
        <v>bb - Ibuprofen</v>
      </c>
      <c r="L189">
        <f>IF(ISBLANK('Data Input'!K189),"",'Data Input'!K189)</f>
        <v>800</v>
      </c>
      <c r="M189">
        <f>IF(ISBLANK('Data Input'!L189),"",'Data Input'!L189)</f>
        <v>5</v>
      </c>
      <c r="N189">
        <f>IF(ISBLANK('Data Input'!M189),"",'Data Input'!M189)</f>
        <v>1</v>
      </c>
      <c r="O189" t="str">
        <f>IF(ISBLANK('Data Input'!N189),"",'Data Input'!N189)</f>
        <v/>
      </c>
      <c r="P189" t="str">
        <f>IF(ISBLANK('Data Input'!O189),"",'Data Input'!O189)</f>
        <v/>
      </c>
      <c r="Q189" t="str">
        <f>IF(ISBLANK('Data Input'!P189),"",'Data Input'!P189)</f>
        <v/>
      </c>
      <c r="R189" t="b">
        <f>IF(ISBLANK('Data Input'!Q189),"",'Data Input'!Q189)</f>
        <v>1</v>
      </c>
      <c r="T189" s="2">
        <f t="shared" si="10"/>
        <v>43271</v>
      </c>
      <c r="U189" s="12">
        <f t="shared" si="11"/>
        <v>0.64861111111111114</v>
      </c>
      <c r="V189" s="2">
        <f t="shared" si="12"/>
        <v>43272</v>
      </c>
      <c r="W189" s="12">
        <f t="shared" si="13"/>
        <v>0.55486111111111114</v>
      </c>
    </row>
    <row r="190" spans="1:23">
      <c r="A190">
        <f>IF(ISBLANK('Data Input'!A190),"",'Data Input'!A190)</f>
        <v>49</v>
      </c>
      <c r="B190" t="str">
        <f>IF(ISBLANK('Data Input'!B190),"",'Data Input'!B190)</f>
        <v>TT049</v>
      </c>
      <c r="C190" t="str">
        <f>IF(ISBLANK('Data Input'!C190),"",'Data Input'!C190)</f>
        <v>6/20/18 1534</v>
      </c>
      <c r="E190" t="str">
        <f>IF(ISBLANK('Data Input'!D190),"",'Data Input'!D190)</f>
        <v>6/21/18 1319</v>
      </c>
      <c r="G190">
        <f>IF(ISBLANK('Data Input'!E190),"",'Data Input'!E190)</f>
        <v>36</v>
      </c>
      <c r="H190" t="str">
        <f>IF(ISBLANK('Data Input'!F190),"",'Data Input'!F190)</f>
        <v>bb - Black</v>
      </c>
      <c r="I190" t="str">
        <f>IF(ISBLANK('Data Input'!G190),"",'Data Input'!G190)</f>
        <v>Caesarean</v>
      </c>
      <c r="J190" t="str">
        <f>IF(ISBLANK('Data Input'!I190),"",'Data Input'!I190)</f>
        <v>6=21=18 1319</v>
      </c>
      <c r="K190" t="str">
        <f>IF(ISBLANK('Data Input'!J190),"",'Data Input'!J190)</f>
        <v>rr - Percocet</v>
      </c>
      <c r="L190">
        <f>IF(ISBLANK('Data Input'!K190),"",'Data Input'!K190)</f>
        <v>1</v>
      </c>
      <c r="M190">
        <f>IF(ISBLANK('Data Input'!L190),"",'Data Input'!L190)</f>
        <v>5</v>
      </c>
      <c r="N190">
        <f>IF(ISBLANK('Data Input'!M190),"",'Data Input'!M190)</f>
        <v>1</v>
      </c>
      <c r="O190" t="str">
        <f>IF(ISBLANK('Data Input'!N190),"",'Data Input'!N190)</f>
        <v/>
      </c>
      <c r="P190" t="str">
        <f>IF(ISBLANK('Data Input'!O190),"",'Data Input'!O190)</f>
        <v/>
      </c>
      <c r="Q190" t="str">
        <f>IF(ISBLANK('Data Input'!P190),"",'Data Input'!P190)</f>
        <v/>
      </c>
      <c r="R190" t="b">
        <f>IF(ISBLANK('Data Input'!Q190),"",'Data Input'!Q190)</f>
        <v>1</v>
      </c>
      <c r="T190" s="2">
        <f t="shared" si="10"/>
        <v>43271</v>
      </c>
      <c r="U190" s="12">
        <f t="shared" si="11"/>
        <v>0.64861111111111114</v>
      </c>
      <c r="V190" s="2">
        <f t="shared" si="12"/>
        <v>43272</v>
      </c>
      <c r="W190" s="12">
        <f t="shared" si="13"/>
        <v>0.55486111111111114</v>
      </c>
    </row>
    <row r="191" spans="1:23">
      <c r="A191">
        <f>IF(ISBLANK('Data Input'!A191),"",'Data Input'!A191)</f>
        <v>50</v>
      </c>
      <c r="B191" t="str">
        <f>IF(ISBLANK('Data Input'!B191),"",'Data Input'!B191)</f>
        <v>SM050</v>
      </c>
      <c r="C191" t="str">
        <f>IF(ISBLANK('Data Input'!C191),"",'Data Input'!C191)</f>
        <v>6/21/18 2350</v>
      </c>
      <c r="E191" t="str">
        <f>IF(ISBLANK('Data Input'!D191),"",'Data Input'!D191)</f>
        <v>6/22/18 0942</v>
      </c>
      <c r="G191">
        <f>IF(ISBLANK('Data Input'!E191),"",'Data Input'!E191)</f>
        <v>29</v>
      </c>
      <c r="H191" t="str">
        <f>IF(ISBLANK('Data Input'!F191),"",'Data Input'!F191)</f>
        <v>White</v>
      </c>
      <c r="I191" t="str">
        <f>IF(ISBLANK('Data Input'!G191),"",'Data Input'!G191)</f>
        <v>SVD</v>
      </c>
      <c r="J191" t="str">
        <f>IF(ISBLANK('Data Input'!I191),"",'Data Input'!I191)</f>
        <v>6=22=18 0453</v>
      </c>
      <c r="K191" t="str">
        <f>IF(ISBLANK('Data Input'!J191),"",'Data Input'!J191)</f>
        <v>tt - Tylenol</v>
      </c>
      <c r="L191">
        <f>IF(ISBLANK('Data Input'!K191),"",'Data Input'!K191)</f>
        <v>650</v>
      </c>
      <c r="M191">
        <f>IF(ISBLANK('Data Input'!L191),"",'Data Input'!L191)</f>
        <v>5</v>
      </c>
      <c r="N191">
        <f>IF(ISBLANK('Data Input'!M191),"",'Data Input'!M191)</f>
        <v>2</v>
      </c>
      <c r="O191" t="str">
        <f>IF(ISBLANK('Data Input'!N191),"",'Data Input'!N191)</f>
        <v/>
      </c>
      <c r="P191" t="str">
        <f>IF(ISBLANK('Data Input'!O191),"",'Data Input'!O191)</f>
        <v/>
      </c>
      <c r="Q191" t="str">
        <f>IF(ISBLANK('Data Input'!P191),"",'Data Input'!P191)</f>
        <v/>
      </c>
      <c r="R191" t="b">
        <f>IF(ISBLANK('Data Input'!Q191),"",'Data Input'!Q191)</f>
        <v>0</v>
      </c>
      <c r="T191" s="2">
        <f t="shared" si="10"/>
        <v>43272</v>
      </c>
      <c r="U191" s="12">
        <f t="shared" si="11"/>
        <v>0.99305555555555547</v>
      </c>
      <c r="V191" s="2">
        <f t="shared" si="12"/>
        <v>43273</v>
      </c>
      <c r="W191" s="12">
        <f t="shared" si="13"/>
        <v>0.40416666666666662</v>
      </c>
    </row>
    <row r="192" spans="1:23">
      <c r="A192">
        <f>IF(ISBLANK('Data Input'!A192),"",'Data Input'!A192)</f>
        <v>50</v>
      </c>
      <c r="B192" t="str">
        <f>IF(ISBLANK('Data Input'!B192),"",'Data Input'!B192)</f>
        <v>SM050</v>
      </c>
      <c r="C192" t="str">
        <f>IF(ISBLANK('Data Input'!C192),"",'Data Input'!C192)</f>
        <v>6/21/18 2350</v>
      </c>
      <c r="E192" t="str">
        <f>IF(ISBLANK('Data Input'!D192),"",'Data Input'!D192)</f>
        <v>6/22/18 0942</v>
      </c>
      <c r="G192">
        <f>IF(ISBLANK('Data Input'!E192),"",'Data Input'!E192)</f>
        <v>29</v>
      </c>
      <c r="H192" t="str">
        <f>IF(ISBLANK('Data Input'!F192),"",'Data Input'!F192)</f>
        <v>White</v>
      </c>
      <c r="I192" t="str">
        <f>IF(ISBLANK('Data Input'!G192),"",'Data Input'!G192)</f>
        <v>SVD</v>
      </c>
      <c r="J192" t="str">
        <f>IF(ISBLANK('Data Input'!I192),"",'Data Input'!I192)</f>
        <v>6=22=18 0942</v>
      </c>
      <c r="K192" t="str">
        <f>IF(ISBLANK('Data Input'!J192),"",'Data Input'!J192)</f>
        <v>tt - Tylenol</v>
      </c>
      <c r="L192">
        <f>IF(ISBLANK('Data Input'!K192),"",'Data Input'!K192)</f>
        <v>650</v>
      </c>
      <c r="M192">
        <f>IF(ISBLANK('Data Input'!L192),"",'Data Input'!L192)</f>
        <v>2</v>
      </c>
      <c r="N192">
        <f>IF(ISBLANK('Data Input'!M192),"",'Data Input'!M192)</f>
        <v>1</v>
      </c>
      <c r="O192" t="str">
        <f>IF(ISBLANK('Data Input'!N192),"",'Data Input'!N192)</f>
        <v/>
      </c>
      <c r="P192" t="str">
        <f>IF(ISBLANK('Data Input'!O192),"",'Data Input'!O192)</f>
        <v/>
      </c>
      <c r="Q192" t="str">
        <f>IF(ISBLANK('Data Input'!P192),"",'Data Input'!P192)</f>
        <v/>
      </c>
      <c r="R192" t="b">
        <f>IF(ISBLANK('Data Input'!Q192),"",'Data Input'!Q192)</f>
        <v>0</v>
      </c>
      <c r="T192" s="2">
        <f t="shared" si="10"/>
        <v>43272</v>
      </c>
      <c r="U192" s="12">
        <f t="shared" si="11"/>
        <v>0.99305555555555547</v>
      </c>
      <c r="V192" s="2">
        <f t="shared" si="12"/>
        <v>43273</v>
      </c>
      <c r="W192" s="12">
        <f t="shared" si="13"/>
        <v>0.40416666666666662</v>
      </c>
    </row>
    <row r="193" spans="1:23">
      <c r="A193">
        <f>IF(ISBLANK('Data Input'!A193),"",'Data Input'!A193)</f>
        <v>51</v>
      </c>
      <c r="B193" t="str">
        <f>IF(ISBLANK('Data Input'!B193),"",'Data Input'!B193)</f>
        <v>SA051</v>
      </c>
      <c r="C193" t="str">
        <f>IF(ISBLANK('Data Input'!C193),"",'Data Input'!C193)</f>
        <v>6/22/18 1430</v>
      </c>
      <c r="E193" t="str">
        <f>IF(ISBLANK('Data Input'!D193),"",'Data Input'!D193)</f>
        <v>6/23/18 1323</v>
      </c>
      <c r="G193">
        <f>IF(ISBLANK('Data Input'!E193),"",'Data Input'!E193)</f>
        <v>27</v>
      </c>
      <c r="H193" t="str">
        <f>IF(ISBLANK('Data Input'!F193),"",'Data Input'!F193)</f>
        <v>White</v>
      </c>
      <c r="I193" t="str">
        <f>IF(ISBLANK('Data Input'!G193),"",'Data Input'!G193)</f>
        <v>SVD</v>
      </c>
      <c r="J193" t="str">
        <f>IF(ISBLANK('Data Input'!I193),"",'Data Input'!I193)</f>
        <v>6=22=18 1833</v>
      </c>
      <c r="K193" t="str">
        <f>IF(ISBLANK('Data Input'!J193),"",'Data Input'!J193)</f>
        <v>bb - Ibuprofen</v>
      </c>
      <c r="L193">
        <f>IF(ISBLANK('Data Input'!K193),"",'Data Input'!K193)</f>
        <v>800</v>
      </c>
      <c r="M193">
        <f>IF(ISBLANK('Data Input'!L193),"",'Data Input'!L193)</f>
        <v>1</v>
      </c>
      <c r="N193">
        <f>IF(ISBLANK('Data Input'!M193),"",'Data Input'!M193)</f>
        <v>1</v>
      </c>
      <c r="O193">
        <f>IF(ISBLANK('Data Input'!N193),"",'Data Input'!N193)</f>
        <v>2</v>
      </c>
      <c r="P193" t="str">
        <f>IF(ISBLANK('Data Input'!O193),"",'Data Input'!O193)</f>
        <v/>
      </c>
      <c r="Q193" t="str">
        <f>IF(ISBLANK('Data Input'!P193),"",'Data Input'!P193)</f>
        <v/>
      </c>
      <c r="R193" t="b">
        <f>IF(ISBLANK('Data Input'!Q193),"",'Data Input'!Q193)</f>
        <v>1</v>
      </c>
      <c r="T193" s="2">
        <f t="shared" si="10"/>
        <v>43273</v>
      </c>
      <c r="U193" s="12">
        <f t="shared" si="11"/>
        <v>0.60416666666666663</v>
      </c>
      <c r="V193" s="2">
        <f t="shared" si="12"/>
        <v>43274</v>
      </c>
      <c r="W193" s="12">
        <f t="shared" si="13"/>
        <v>0.55763888888888891</v>
      </c>
    </row>
    <row r="194" spans="1:23">
      <c r="A194">
        <f>IF(ISBLANK('Data Input'!A194),"",'Data Input'!A194)</f>
        <v>51</v>
      </c>
      <c r="B194" t="str">
        <f>IF(ISBLANK('Data Input'!B194),"",'Data Input'!B194)</f>
        <v>SA051</v>
      </c>
      <c r="C194" t="str">
        <f>IF(ISBLANK('Data Input'!C194),"",'Data Input'!C194)</f>
        <v>6/22/18 1430</v>
      </c>
      <c r="E194" t="str">
        <f>IF(ISBLANK('Data Input'!D194),"",'Data Input'!D194)</f>
        <v>6/23/18 1323</v>
      </c>
      <c r="G194">
        <f>IF(ISBLANK('Data Input'!E194),"",'Data Input'!E194)</f>
        <v>27</v>
      </c>
      <c r="H194" t="str">
        <f>IF(ISBLANK('Data Input'!F194),"",'Data Input'!F194)</f>
        <v>White</v>
      </c>
      <c r="I194" t="str">
        <f>IF(ISBLANK('Data Input'!G194),"",'Data Input'!G194)</f>
        <v>SVD</v>
      </c>
      <c r="J194" t="str">
        <f>IF(ISBLANK('Data Input'!I194),"",'Data Input'!I194)</f>
        <v>6=23=18 1323</v>
      </c>
      <c r="K194" t="str">
        <f>IF(ISBLANK('Data Input'!J194),"",'Data Input'!J194)</f>
        <v>bb - Ibuprofen</v>
      </c>
      <c r="L194">
        <f>IF(ISBLANK('Data Input'!K194),"",'Data Input'!K194)</f>
        <v>800</v>
      </c>
      <c r="M194">
        <f>IF(ISBLANK('Data Input'!L194),"",'Data Input'!L194)</f>
        <v>1</v>
      </c>
      <c r="N194">
        <f>IF(ISBLANK('Data Input'!M194),"",'Data Input'!M194)</f>
        <v>0</v>
      </c>
      <c r="O194">
        <f>IF(ISBLANK('Data Input'!N194),"",'Data Input'!N194)</f>
        <v>2</v>
      </c>
      <c r="P194" t="str">
        <f>IF(ISBLANK('Data Input'!O194),"",'Data Input'!O194)</f>
        <v/>
      </c>
      <c r="Q194" t="str">
        <f>IF(ISBLANK('Data Input'!P194),"",'Data Input'!P194)</f>
        <v/>
      </c>
      <c r="R194" t="b">
        <f>IF(ISBLANK('Data Input'!Q194),"",'Data Input'!Q194)</f>
        <v>1</v>
      </c>
      <c r="T194" s="2">
        <f t="shared" si="10"/>
        <v>43273</v>
      </c>
      <c r="U194" s="12">
        <f t="shared" si="11"/>
        <v>0.60416666666666663</v>
      </c>
      <c r="V194" s="2">
        <f t="shared" si="12"/>
        <v>43274</v>
      </c>
      <c r="W194" s="12">
        <f t="shared" si="13"/>
        <v>0.55763888888888891</v>
      </c>
    </row>
    <row r="195" spans="1:23">
      <c r="A195">
        <f>IF(ISBLANK('Data Input'!A195),"",'Data Input'!A195)</f>
        <v>52</v>
      </c>
      <c r="B195" t="str">
        <f>IF(ISBLANK('Data Input'!B195),"",'Data Input'!B195)</f>
        <v>KS052</v>
      </c>
      <c r="C195" t="str">
        <f>IF(ISBLANK('Data Input'!C195),"",'Data Input'!C195)</f>
        <v>6/21/18 1820</v>
      </c>
      <c r="E195" t="str">
        <f>IF(ISBLANK('Data Input'!D195),"",'Data Input'!D195)</f>
        <v>6/22/18 1541</v>
      </c>
      <c r="G195">
        <f>IF(ISBLANK('Data Input'!E195),"",'Data Input'!E195)</f>
        <v>29</v>
      </c>
      <c r="H195" t="str">
        <f>IF(ISBLANK('Data Input'!F195),"",'Data Input'!F195)</f>
        <v>White</v>
      </c>
      <c r="I195" t="str">
        <f>IF(ISBLANK('Data Input'!G195),"",'Data Input'!G195)</f>
        <v>Caesarean</v>
      </c>
      <c r="J195" t="str">
        <f>IF(ISBLANK('Data Input'!I195),"",'Data Input'!I195)</f>
        <v>6=21=18 2230</v>
      </c>
      <c r="K195" t="str">
        <f>IF(ISBLANK('Data Input'!J195),"",'Data Input'!J195)</f>
        <v>tr - Toradol</v>
      </c>
      <c r="L195">
        <f>IF(ISBLANK('Data Input'!K195),"",'Data Input'!K195)</f>
        <v>30</v>
      </c>
      <c r="M195">
        <f>IF(ISBLANK('Data Input'!L195),"",'Data Input'!L195)</f>
        <v>4</v>
      </c>
      <c r="N195">
        <f>IF(ISBLANK('Data Input'!M195),"",'Data Input'!M195)</f>
        <v>0</v>
      </c>
      <c r="O195" t="str">
        <f>IF(ISBLANK('Data Input'!N195),"",'Data Input'!N195)</f>
        <v/>
      </c>
      <c r="P195" t="str">
        <f>IF(ISBLANK('Data Input'!O195),"",'Data Input'!O195)</f>
        <v/>
      </c>
      <c r="Q195" t="str">
        <f>IF(ISBLANK('Data Input'!P195),"",'Data Input'!P195)</f>
        <v/>
      </c>
      <c r="R195" t="b">
        <f>IF(ISBLANK('Data Input'!Q195),"",'Data Input'!Q195)</f>
        <v>0</v>
      </c>
      <c r="T195" s="2">
        <f t="shared" ref="T195:T258" si="14">DATEVALUE(LEFT(C195,FIND(" ",C195)))</f>
        <v>43272</v>
      </c>
      <c r="U195" s="12">
        <f t="shared" ref="U195:U258" si="15">TIMEVALUE(CONCATENATE(MID(C195,FIND(" ",C195)+1,2),":",RIGHT(C195,LEN(C195)-FIND(" ",C195)-2)))</f>
        <v>0.76388888888888884</v>
      </c>
      <c r="V195" s="2">
        <f t="shared" si="12"/>
        <v>43273</v>
      </c>
      <c r="W195" s="12">
        <f t="shared" si="13"/>
        <v>0.65347222222222223</v>
      </c>
    </row>
    <row r="196" spans="1:23">
      <c r="A196">
        <f>IF(ISBLANK('Data Input'!A196),"",'Data Input'!A196)</f>
        <v>52</v>
      </c>
      <c r="B196" t="str">
        <f>IF(ISBLANK('Data Input'!B196),"",'Data Input'!B196)</f>
        <v>KS052</v>
      </c>
      <c r="C196" t="str">
        <f>IF(ISBLANK('Data Input'!C196),"",'Data Input'!C196)</f>
        <v>6/21/18 1820</v>
      </c>
      <c r="E196" t="str">
        <f>IF(ISBLANK('Data Input'!D196),"",'Data Input'!D196)</f>
        <v>6/22/18 1541</v>
      </c>
      <c r="G196">
        <f>IF(ISBLANK('Data Input'!E196),"",'Data Input'!E196)</f>
        <v>29</v>
      </c>
      <c r="H196" t="str">
        <f>IF(ISBLANK('Data Input'!F196),"",'Data Input'!F196)</f>
        <v>White</v>
      </c>
      <c r="I196" t="str">
        <f>IF(ISBLANK('Data Input'!G196),"",'Data Input'!G196)</f>
        <v>Caesarean</v>
      </c>
      <c r="J196" t="str">
        <f>IF(ISBLANK('Data Input'!I196),"",'Data Input'!I196)</f>
        <v>6=22=18 0615</v>
      </c>
      <c r="K196" t="str">
        <f>IF(ISBLANK('Data Input'!J196),"",'Data Input'!J196)</f>
        <v>tr - Toradol</v>
      </c>
      <c r="L196">
        <f>IF(ISBLANK('Data Input'!K196),"",'Data Input'!K196)</f>
        <v>30</v>
      </c>
      <c r="M196">
        <f>IF(ISBLANK('Data Input'!L196),"",'Data Input'!L196)</f>
        <v>4</v>
      </c>
      <c r="N196">
        <f>IF(ISBLANK('Data Input'!M196),"",'Data Input'!M196)</f>
        <v>4</v>
      </c>
      <c r="O196" t="str">
        <f>IF(ISBLANK('Data Input'!N196),"",'Data Input'!N196)</f>
        <v/>
      </c>
      <c r="P196" t="str">
        <f>IF(ISBLANK('Data Input'!O196),"",'Data Input'!O196)</f>
        <v/>
      </c>
      <c r="Q196" t="str">
        <f>IF(ISBLANK('Data Input'!P196),"",'Data Input'!P196)</f>
        <v/>
      </c>
      <c r="R196" t="b">
        <f>IF(ISBLANK('Data Input'!Q196),"",'Data Input'!Q196)</f>
        <v>0</v>
      </c>
      <c r="T196" s="2">
        <f t="shared" si="14"/>
        <v>43272</v>
      </c>
      <c r="U196" s="12">
        <f t="shared" si="15"/>
        <v>0.76388888888888884</v>
      </c>
      <c r="V196" s="2">
        <f t="shared" si="12"/>
        <v>43273</v>
      </c>
      <c r="W196" s="12">
        <f t="shared" si="13"/>
        <v>0.65347222222222223</v>
      </c>
    </row>
    <row r="197" spans="1:23">
      <c r="A197">
        <f>IF(ISBLANK('Data Input'!A197),"",'Data Input'!A197)</f>
        <v>52</v>
      </c>
      <c r="B197" t="str">
        <f>IF(ISBLANK('Data Input'!B197),"",'Data Input'!B197)</f>
        <v>KS052</v>
      </c>
      <c r="C197" t="str">
        <f>IF(ISBLANK('Data Input'!C197),"",'Data Input'!C197)</f>
        <v>6/21/18 1820</v>
      </c>
      <c r="E197" t="str">
        <f>IF(ISBLANK('Data Input'!D197),"",'Data Input'!D197)</f>
        <v>6/22/18 1541</v>
      </c>
      <c r="G197">
        <f>IF(ISBLANK('Data Input'!E197),"",'Data Input'!E197)</f>
        <v>29</v>
      </c>
      <c r="H197" t="str">
        <f>IF(ISBLANK('Data Input'!F197),"",'Data Input'!F197)</f>
        <v>White</v>
      </c>
      <c r="I197" t="str">
        <f>IF(ISBLANK('Data Input'!G197),"",'Data Input'!G197)</f>
        <v>Caesarean</v>
      </c>
      <c r="J197" t="str">
        <f>IF(ISBLANK('Data Input'!I197),"",'Data Input'!I197)</f>
        <v>6=22=18 0931</v>
      </c>
      <c r="K197" t="str">
        <f>IF(ISBLANK('Data Input'!J197),"",'Data Input'!J197)</f>
        <v>tt - Tylenol</v>
      </c>
      <c r="L197">
        <f>IF(ISBLANK('Data Input'!K197),"",'Data Input'!K197)</f>
        <v>650</v>
      </c>
      <c r="M197">
        <f>IF(ISBLANK('Data Input'!L197),"",'Data Input'!L197)</f>
        <v>5</v>
      </c>
      <c r="N197">
        <f>IF(ISBLANK('Data Input'!M197),"",'Data Input'!M197)</f>
        <v>4</v>
      </c>
      <c r="O197" t="str">
        <f>IF(ISBLANK('Data Input'!N197),"",'Data Input'!N197)</f>
        <v/>
      </c>
      <c r="P197" t="str">
        <f>IF(ISBLANK('Data Input'!O197),"",'Data Input'!O197)</f>
        <v/>
      </c>
      <c r="Q197" t="str">
        <f>IF(ISBLANK('Data Input'!P197),"",'Data Input'!P197)</f>
        <v/>
      </c>
      <c r="R197" t="b">
        <f>IF(ISBLANK('Data Input'!Q197),"",'Data Input'!Q197)</f>
        <v>0</v>
      </c>
      <c r="T197" s="2">
        <f t="shared" si="14"/>
        <v>43272</v>
      </c>
      <c r="U197" s="12">
        <f t="shared" si="15"/>
        <v>0.76388888888888884</v>
      </c>
      <c r="V197" s="2">
        <f t="shared" si="12"/>
        <v>43273</v>
      </c>
      <c r="W197" s="12">
        <f t="shared" si="13"/>
        <v>0.65347222222222223</v>
      </c>
    </row>
    <row r="198" spans="1:23">
      <c r="A198">
        <f>IF(ISBLANK('Data Input'!A198),"",'Data Input'!A198)</f>
        <v>52</v>
      </c>
      <c r="B198" t="str">
        <f>IF(ISBLANK('Data Input'!B198),"",'Data Input'!B198)</f>
        <v>KS052</v>
      </c>
      <c r="C198" t="str">
        <f>IF(ISBLANK('Data Input'!C198),"",'Data Input'!C198)</f>
        <v>6/21/18 1820</v>
      </c>
      <c r="E198" t="str">
        <f>IF(ISBLANK('Data Input'!D198),"",'Data Input'!D198)</f>
        <v>6/22/18 1541</v>
      </c>
      <c r="G198">
        <f>IF(ISBLANK('Data Input'!E198),"",'Data Input'!E198)</f>
        <v>29</v>
      </c>
      <c r="H198" t="str">
        <f>IF(ISBLANK('Data Input'!F198),"",'Data Input'!F198)</f>
        <v>White</v>
      </c>
      <c r="I198" t="str">
        <f>IF(ISBLANK('Data Input'!G198),"",'Data Input'!G198)</f>
        <v>Caesarean</v>
      </c>
      <c r="J198" t="str">
        <f>IF(ISBLANK('Data Input'!I198),"",'Data Input'!I198)</f>
        <v>6=22=18 1216</v>
      </c>
      <c r="K198" t="str">
        <f>IF(ISBLANK('Data Input'!J198),"",'Data Input'!J198)</f>
        <v>tr - Toradol</v>
      </c>
      <c r="L198">
        <f>IF(ISBLANK('Data Input'!K198),"",'Data Input'!K198)</f>
        <v>30</v>
      </c>
      <c r="M198">
        <f>IF(ISBLANK('Data Input'!L198),"",'Data Input'!L198)</f>
        <v>4</v>
      </c>
      <c r="N198">
        <f>IF(ISBLANK('Data Input'!M198),"",'Data Input'!M198)</f>
        <v>3</v>
      </c>
      <c r="O198" t="str">
        <f>IF(ISBLANK('Data Input'!N198),"",'Data Input'!N198)</f>
        <v/>
      </c>
      <c r="P198" t="str">
        <f>IF(ISBLANK('Data Input'!O198),"",'Data Input'!O198)</f>
        <v/>
      </c>
      <c r="Q198" t="str">
        <f>IF(ISBLANK('Data Input'!P198),"",'Data Input'!P198)</f>
        <v/>
      </c>
      <c r="R198" t="b">
        <f>IF(ISBLANK('Data Input'!Q198),"",'Data Input'!Q198)</f>
        <v>0</v>
      </c>
      <c r="T198" s="2">
        <f t="shared" si="14"/>
        <v>43272</v>
      </c>
      <c r="U198" s="12">
        <f t="shared" si="15"/>
        <v>0.76388888888888884</v>
      </c>
      <c r="V198" s="2">
        <f t="shared" si="12"/>
        <v>43273</v>
      </c>
      <c r="W198" s="12">
        <f t="shared" si="13"/>
        <v>0.65347222222222223</v>
      </c>
    </row>
    <row r="199" spans="1:23">
      <c r="A199">
        <f>IF(ISBLANK('Data Input'!A199),"",'Data Input'!A199)</f>
        <v>52</v>
      </c>
      <c r="B199" t="str">
        <f>IF(ISBLANK('Data Input'!B199),"",'Data Input'!B199)</f>
        <v>KS052</v>
      </c>
      <c r="C199" t="str">
        <f>IF(ISBLANK('Data Input'!C199),"",'Data Input'!C199)</f>
        <v>6/21/18 1820</v>
      </c>
      <c r="E199" t="str">
        <f>IF(ISBLANK('Data Input'!D199),"",'Data Input'!D199)</f>
        <v>6/22/18 1541</v>
      </c>
      <c r="G199">
        <f>IF(ISBLANK('Data Input'!E199),"",'Data Input'!E199)</f>
        <v>29</v>
      </c>
      <c r="H199" t="str">
        <f>IF(ISBLANK('Data Input'!F199),"",'Data Input'!F199)</f>
        <v>White</v>
      </c>
      <c r="I199" t="str">
        <f>IF(ISBLANK('Data Input'!G199),"",'Data Input'!G199)</f>
        <v>Caesarean</v>
      </c>
      <c r="J199" t="str">
        <f>IF(ISBLANK('Data Input'!I199),"",'Data Input'!I199)</f>
        <v>6=22=18 1541</v>
      </c>
      <c r="K199" t="str">
        <f>IF(ISBLANK('Data Input'!J199),"",'Data Input'!J199)</f>
        <v>rr - Percocet</v>
      </c>
      <c r="L199">
        <f>IF(ISBLANK('Data Input'!K199),"",'Data Input'!K199)</f>
        <v>1</v>
      </c>
      <c r="M199">
        <f>IF(ISBLANK('Data Input'!L199),"",'Data Input'!L199)</f>
        <v>6</v>
      </c>
      <c r="N199">
        <f>IF(ISBLANK('Data Input'!M199),"",'Data Input'!M199)</f>
        <v>3</v>
      </c>
      <c r="O199" t="str">
        <f>IF(ISBLANK('Data Input'!N199),"",'Data Input'!N199)</f>
        <v/>
      </c>
      <c r="P199" t="str">
        <f>IF(ISBLANK('Data Input'!O199),"",'Data Input'!O199)</f>
        <v/>
      </c>
      <c r="Q199" t="str">
        <f>IF(ISBLANK('Data Input'!P199),"",'Data Input'!P199)</f>
        <v/>
      </c>
      <c r="R199" t="b">
        <f>IF(ISBLANK('Data Input'!Q199),"",'Data Input'!Q199)</f>
        <v>0</v>
      </c>
      <c r="T199" s="2">
        <f t="shared" si="14"/>
        <v>43272</v>
      </c>
      <c r="U199" s="12">
        <f t="shared" si="15"/>
        <v>0.76388888888888884</v>
      </c>
      <c r="V199" s="2">
        <f t="shared" ref="V199:V262" si="16">IFERROR(DATEVALUE(LEFT(E199,FIND(" ",E199))),E199)</f>
        <v>43273</v>
      </c>
      <c r="W199" s="12">
        <f t="shared" ref="W199:W262" si="17">IFERROR(TIMEVALUE(CONCATENATE(MID(E199,FIND(" ",E199)+1,2),":",RIGHT(E199,LEN(E199)-FIND(" ",E199)-2))),E199)</f>
        <v>0.65347222222222223</v>
      </c>
    </row>
    <row r="200" spans="1:23">
      <c r="A200">
        <f>IF(ISBLANK('Data Input'!A200),"",'Data Input'!A200)</f>
        <v>53</v>
      </c>
      <c r="B200" t="str">
        <f>IF(ISBLANK('Data Input'!B200),"",'Data Input'!B200)</f>
        <v>CJ053</v>
      </c>
      <c r="C200" t="str">
        <f>IF(ISBLANK('Data Input'!C200),"",'Data Input'!C200)</f>
        <v>6/22/18 2105</v>
      </c>
      <c r="E200" t="str">
        <f>IF(ISBLANK('Data Input'!D200),"",'Data Input'!D200)</f>
        <v>6/23/18 1942</v>
      </c>
      <c r="G200">
        <f>IF(ISBLANK('Data Input'!E200),"",'Data Input'!E200)</f>
        <v>23</v>
      </c>
      <c r="H200" t="str">
        <f>IF(ISBLANK('Data Input'!F200),"",'Data Input'!F200)</f>
        <v>White</v>
      </c>
      <c r="I200" t="str">
        <f>IF(ISBLANK('Data Input'!G200),"",'Data Input'!G200)</f>
        <v>SVD</v>
      </c>
      <c r="J200" t="str">
        <f>IF(ISBLANK('Data Input'!I200),"",'Data Input'!I200)</f>
        <v>6=23=18 0318</v>
      </c>
      <c r="K200" t="str">
        <f>IF(ISBLANK('Data Input'!J200),"",'Data Input'!J200)</f>
        <v>bb - Ibuprofen</v>
      </c>
      <c r="L200">
        <f>IF(ISBLANK('Data Input'!K200),"",'Data Input'!K200)</f>
        <v>800</v>
      </c>
      <c r="M200" t="str">
        <f>IF(ISBLANK('Data Input'!L200),"",'Data Input'!L200)</f>
        <v>dd - Missing Data</v>
      </c>
      <c r="N200" t="str">
        <f>IF(ISBLANK('Data Input'!M200),"",'Data Input'!M200)</f>
        <v>dd - Missing Data</v>
      </c>
      <c r="O200" t="str">
        <f>IF(ISBLANK('Data Input'!N200),"",'Data Input'!N200)</f>
        <v/>
      </c>
      <c r="P200" t="str">
        <f>IF(ISBLANK('Data Input'!O200),"",'Data Input'!O200)</f>
        <v/>
      </c>
      <c r="Q200" t="str">
        <f>IF(ISBLANK('Data Input'!P200),"",'Data Input'!P200)</f>
        <v/>
      </c>
      <c r="R200" t="b">
        <f>IF(ISBLANK('Data Input'!Q200),"",'Data Input'!Q200)</f>
        <v>1</v>
      </c>
      <c r="T200" s="2">
        <f t="shared" si="14"/>
        <v>43273</v>
      </c>
      <c r="U200" s="12">
        <f t="shared" si="15"/>
        <v>0.87847222222222221</v>
      </c>
      <c r="V200" s="2">
        <f t="shared" si="16"/>
        <v>43274</v>
      </c>
      <c r="W200" s="12">
        <f t="shared" si="17"/>
        <v>0.8208333333333333</v>
      </c>
    </row>
    <row r="201" spans="1:23">
      <c r="A201">
        <f>IF(ISBLANK('Data Input'!A201),"",'Data Input'!A201)</f>
        <v>53</v>
      </c>
      <c r="B201" t="str">
        <f>IF(ISBLANK('Data Input'!B201),"",'Data Input'!B201)</f>
        <v>CJ053</v>
      </c>
      <c r="C201" t="str">
        <f>IF(ISBLANK('Data Input'!C201),"",'Data Input'!C201)</f>
        <v>6/22/18 2105</v>
      </c>
      <c r="E201" t="str">
        <f>IF(ISBLANK('Data Input'!D201),"",'Data Input'!D201)</f>
        <v>6/23/18 1942</v>
      </c>
      <c r="G201">
        <f>IF(ISBLANK('Data Input'!E201),"",'Data Input'!E201)</f>
        <v>23</v>
      </c>
      <c r="H201" t="str">
        <f>IF(ISBLANK('Data Input'!F201),"",'Data Input'!F201)</f>
        <v>White</v>
      </c>
      <c r="I201" t="str">
        <f>IF(ISBLANK('Data Input'!G201),"",'Data Input'!G201)</f>
        <v>SVD</v>
      </c>
      <c r="J201" t="str">
        <f>IF(ISBLANK('Data Input'!I201),"",'Data Input'!I201)</f>
        <v>6=23=18 1318</v>
      </c>
      <c r="K201" t="str">
        <f>IF(ISBLANK('Data Input'!J201),"",'Data Input'!J201)</f>
        <v>bb - Ibuprofen</v>
      </c>
      <c r="L201">
        <f>IF(ISBLANK('Data Input'!K201),"",'Data Input'!K201)</f>
        <v>800</v>
      </c>
      <c r="M201">
        <f>IF(ISBLANK('Data Input'!L201),"",'Data Input'!L201)</f>
        <v>3</v>
      </c>
      <c r="N201">
        <f>IF(ISBLANK('Data Input'!M201),"",'Data Input'!M201)</f>
        <v>0</v>
      </c>
      <c r="O201" t="str">
        <f>IF(ISBLANK('Data Input'!N201),"",'Data Input'!N201)</f>
        <v/>
      </c>
      <c r="P201" t="str">
        <f>IF(ISBLANK('Data Input'!O201),"",'Data Input'!O201)</f>
        <v/>
      </c>
      <c r="Q201" t="str">
        <f>IF(ISBLANK('Data Input'!P201),"",'Data Input'!P201)</f>
        <v/>
      </c>
      <c r="R201" t="b">
        <f>IF(ISBLANK('Data Input'!Q201),"",'Data Input'!Q201)</f>
        <v>1</v>
      </c>
      <c r="T201" s="2">
        <f t="shared" si="14"/>
        <v>43273</v>
      </c>
      <c r="U201" s="12">
        <f t="shared" si="15"/>
        <v>0.87847222222222221</v>
      </c>
      <c r="V201" s="2">
        <f t="shared" si="16"/>
        <v>43274</v>
      </c>
      <c r="W201" s="12">
        <f t="shared" si="17"/>
        <v>0.8208333333333333</v>
      </c>
    </row>
    <row r="202" spans="1:23">
      <c r="A202">
        <f>IF(ISBLANK('Data Input'!A202),"",'Data Input'!A202)</f>
        <v>53</v>
      </c>
      <c r="B202" t="str">
        <f>IF(ISBLANK('Data Input'!B202),"",'Data Input'!B202)</f>
        <v>CJ053</v>
      </c>
      <c r="C202" t="str">
        <f>IF(ISBLANK('Data Input'!C202),"",'Data Input'!C202)</f>
        <v>6/22/18 2105</v>
      </c>
      <c r="E202" t="str">
        <f>IF(ISBLANK('Data Input'!D202),"",'Data Input'!D202)</f>
        <v>6/23/18 1942</v>
      </c>
      <c r="G202">
        <f>IF(ISBLANK('Data Input'!E202),"",'Data Input'!E202)</f>
        <v>23</v>
      </c>
      <c r="H202" t="str">
        <f>IF(ISBLANK('Data Input'!F202),"",'Data Input'!F202)</f>
        <v>White</v>
      </c>
      <c r="I202" t="str">
        <f>IF(ISBLANK('Data Input'!G202),"",'Data Input'!G202)</f>
        <v>SVD</v>
      </c>
      <c r="J202" t="str">
        <f>IF(ISBLANK('Data Input'!I202),"",'Data Input'!I202)</f>
        <v>6=23=18 1942</v>
      </c>
      <c r="K202" t="str">
        <f>IF(ISBLANK('Data Input'!J202),"",'Data Input'!J202)</f>
        <v>bb - Ibuprofen</v>
      </c>
      <c r="L202">
        <f>IF(ISBLANK('Data Input'!K202),"",'Data Input'!K202)</f>
        <v>800</v>
      </c>
      <c r="M202">
        <f>IF(ISBLANK('Data Input'!L202),"",'Data Input'!L202)</f>
        <v>4</v>
      </c>
      <c r="N202">
        <f>IF(ISBLANK('Data Input'!M202),"",'Data Input'!M202)</f>
        <v>2</v>
      </c>
      <c r="O202" t="str">
        <f>IF(ISBLANK('Data Input'!N202),"",'Data Input'!N202)</f>
        <v/>
      </c>
      <c r="P202" t="str">
        <f>IF(ISBLANK('Data Input'!O202),"",'Data Input'!O202)</f>
        <v/>
      </c>
      <c r="Q202" t="str">
        <f>IF(ISBLANK('Data Input'!P202),"",'Data Input'!P202)</f>
        <v/>
      </c>
      <c r="R202" t="b">
        <f>IF(ISBLANK('Data Input'!Q202),"",'Data Input'!Q202)</f>
        <v>1</v>
      </c>
      <c r="T202" s="2">
        <f t="shared" si="14"/>
        <v>43273</v>
      </c>
      <c r="U202" s="12">
        <f t="shared" si="15"/>
        <v>0.87847222222222221</v>
      </c>
      <c r="V202" s="2">
        <f t="shared" si="16"/>
        <v>43274</v>
      </c>
      <c r="W202" s="12">
        <f t="shared" si="17"/>
        <v>0.8208333333333333</v>
      </c>
    </row>
    <row r="203" spans="1:23">
      <c r="A203">
        <f>IF(ISBLANK('Data Input'!A203),"",'Data Input'!A203)</f>
        <v>54</v>
      </c>
      <c r="B203" t="str">
        <f>IF(ISBLANK('Data Input'!B203),"",'Data Input'!B203)</f>
        <v>AC054</v>
      </c>
      <c r="C203" t="str">
        <f>IF(ISBLANK('Data Input'!C203),"",'Data Input'!C203)</f>
        <v>6/26/18 0555</v>
      </c>
      <c r="E203" t="str">
        <f>IF(ISBLANK('Data Input'!D203),"",'Data Input'!D203)</f>
        <v>6/26/18 1730</v>
      </c>
      <c r="G203">
        <f>IF(ISBLANK('Data Input'!E203),"",'Data Input'!E203)</f>
        <v>29</v>
      </c>
      <c r="H203" t="str">
        <f>IF(ISBLANK('Data Input'!F203),"",'Data Input'!F203)</f>
        <v>bb - Black</v>
      </c>
      <c r="I203" t="str">
        <f>IF(ISBLANK('Data Input'!G203),"",'Data Input'!G203)</f>
        <v>SVD</v>
      </c>
      <c r="J203" t="str">
        <f>IF(ISBLANK('Data Input'!I203),"",'Data Input'!I203)</f>
        <v>6=26=18 1006</v>
      </c>
      <c r="K203" t="str">
        <f>IF(ISBLANK('Data Input'!J203),"",'Data Input'!J203)</f>
        <v>bb - Ibuprofen</v>
      </c>
      <c r="L203">
        <f>IF(ISBLANK('Data Input'!K203),"",'Data Input'!K203)</f>
        <v>800</v>
      </c>
      <c r="M203">
        <f>IF(ISBLANK('Data Input'!L203),"",'Data Input'!L203)</f>
        <v>2</v>
      </c>
      <c r="N203">
        <f>IF(ISBLANK('Data Input'!M203),"",'Data Input'!M203)</f>
        <v>1</v>
      </c>
      <c r="O203" t="str">
        <f>IF(ISBLANK('Data Input'!N203),"",'Data Input'!N203)</f>
        <v/>
      </c>
      <c r="P203" t="str">
        <f>IF(ISBLANK('Data Input'!O203),"",'Data Input'!O203)</f>
        <v/>
      </c>
      <c r="Q203" t="str">
        <f>IF(ISBLANK('Data Input'!P203),"",'Data Input'!P203)</f>
        <v/>
      </c>
      <c r="R203" t="b">
        <f>IF(ISBLANK('Data Input'!Q203),"",'Data Input'!Q203)</f>
        <v>0</v>
      </c>
      <c r="T203" s="2">
        <f t="shared" si="14"/>
        <v>43277</v>
      </c>
      <c r="U203" s="12">
        <f t="shared" si="15"/>
        <v>0.24652777777777779</v>
      </c>
      <c r="V203" s="2">
        <f t="shared" si="16"/>
        <v>43277</v>
      </c>
      <c r="W203" s="12">
        <f t="shared" si="17"/>
        <v>0.72916666666666663</v>
      </c>
    </row>
    <row r="204" spans="1:23">
      <c r="A204">
        <f>IF(ISBLANK('Data Input'!A204),"",'Data Input'!A204)</f>
        <v>54</v>
      </c>
      <c r="B204" t="str">
        <f>IF(ISBLANK('Data Input'!B204),"",'Data Input'!B204)</f>
        <v>AC054</v>
      </c>
      <c r="C204" t="str">
        <f>IF(ISBLANK('Data Input'!C204),"",'Data Input'!C204)</f>
        <v>6/26/18 0555</v>
      </c>
      <c r="E204" t="str">
        <f>IF(ISBLANK('Data Input'!D204),"",'Data Input'!D204)</f>
        <v>6/26/18 1730</v>
      </c>
      <c r="G204">
        <f>IF(ISBLANK('Data Input'!E204),"",'Data Input'!E204)</f>
        <v>29</v>
      </c>
      <c r="H204" t="str">
        <f>IF(ISBLANK('Data Input'!F204),"",'Data Input'!F204)</f>
        <v>bb - Black</v>
      </c>
      <c r="I204" t="str">
        <f>IF(ISBLANK('Data Input'!G204),"",'Data Input'!G204)</f>
        <v>SVD</v>
      </c>
      <c r="J204" t="str">
        <f>IF(ISBLANK('Data Input'!I204),"",'Data Input'!I204)</f>
        <v>6=26=18 1730</v>
      </c>
      <c r="K204" t="str">
        <f>IF(ISBLANK('Data Input'!J204),"",'Data Input'!J204)</f>
        <v>bb - Ibuprofen</v>
      </c>
      <c r="L204">
        <f>IF(ISBLANK('Data Input'!K204),"",'Data Input'!K204)</f>
        <v>800</v>
      </c>
      <c r="M204">
        <f>IF(ISBLANK('Data Input'!L204),"",'Data Input'!L204)</f>
        <v>2</v>
      </c>
      <c r="N204">
        <f>IF(ISBLANK('Data Input'!M204),"",'Data Input'!M204)</f>
        <v>0</v>
      </c>
      <c r="O204" t="str">
        <f>IF(ISBLANK('Data Input'!N204),"",'Data Input'!N204)</f>
        <v/>
      </c>
      <c r="P204" t="str">
        <f>IF(ISBLANK('Data Input'!O204),"",'Data Input'!O204)</f>
        <v/>
      </c>
      <c r="Q204" t="str">
        <f>IF(ISBLANK('Data Input'!P204),"",'Data Input'!P204)</f>
        <v/>
      </c>
      <c r="R204" t="b">
        <f>IF(ISBLANK('Data Input'!Q204),"",'Data Input'!Q204)</f>
        <v>0</v>
      </c>
      <c r="T204" s="2">
        <f t="shared" si="14"/>
        <v>43277</v>
      </c>
      <c r="U204" s="12">
        <f t="shared" si="15"/>
        <v>0.24652777777777779</v>
      </c>
      <c r="V204" s="2">
        <f t="shared" si="16"/>
        <v>43277</v>
      </c>
      <c r="W204" s="12">
        <f t="shared" si="17"/>
        <v>0.72916666666666663</v>
      </c>
    </row>
    <row r="205" spans="1:23">
      <c r="A205">
        <f>IF(ISBLANK('Data Input'!A205),"",'Data Input'!A205)</f>
        <v>55</v>
      </c>
      <c r="B205" t="str">
        <f>IF(ISBLANK('Data Input'!B205),"",'Data Input'!B205)</f>
        <v>KS055</v>
      </c>
      <c r="C205" t="str">
        <f>IF(ISBLANK('Data Input'!C205),"",'Data Input'!C205)</f>
        <v>6/24/18 1350</v>
      </c>
      <c r="E205" t="str">
        <f>IF(ISBLANK('Data Input'!D205),"",'Data Input'!D205)</f>
        <v>6/25/18 1019</v>
      </c>
      <c r="G205">
        <f>IF(ISBLANK('Data Input'!E205),"",'Data Input'!E205)</f>
        <v>19</v>
      </c>
      <c r="H205" t="str">
        <f>IF(ISBLANK('Data Input'!F205),"",'Data Input'!F205)</f>
        <v>bb - Black</v>
      </c>
      <c r="I205" t="str">
        <f>IF(ISBLANK('Data Input'!G205),"",'Data Input'!G205)</f>
        <v>SVD</v>
      </c>
      <c r="J205" t="str">
        <f>IF(ISBLANK('Data Input'!I205),"",'Data Input'!I205)</f>
        <v>6=24=18 1855</v>
      </c>
      <c r="K205" t="str">
        <f>IF(ISBLANK('Data Input'!J205),"",'Data Input'!J205)</f>
        <v>bb - Ibuprofen</v>
      </c>
      <c r="L205">
        <f>IF(ISBLANK('Data Input'!K205),"",'Data Input'!K205)</f>
        <v>800</v>
      </c>
      <c r="M205">
        <f>IF(ISBLANK('Data Input'!L205),"",'Data Input'!L205)</f>
        <v>6</v>
      </c>
      <c r="N205">
        <f>IF(ISBLANK('Data Input'!M205),"",'Data Input'!M205)</f>
        <v>0</v>
      </c>
      <c r="O205">
        <f>IF(ISBLANK('Data Input'!N205),"",'Data Input'!N205)</f>
        <v>3</v>
      </c>
      <c r="P205" t="str">
        <f>IF(ISBLANK('Data Input'!O205),"",'Data Input'!O205)</f>
        <v/>
      </c>
      <c r="Q205" t="str">
        <f>IF(ISBLANK('Data Input'!P205),"",'Data Input'!P205)</f>
        <v/>
      </c>
      <c r="R205" t="b">
        <f>IF(ISBLANK('Data Input'!Q205),"",'Data Input'!Q205)</f>
        <v>1</v>
      </c>
      <c r="T205" s="2">
        <f t="shared" si="14"/>
        <v>43275</v>
      </c>
      <c r="U205" s="12">
        <f t="shared" si="15"/>
        <v>0.57638888888888895</v>
      </c>
      <c r="V205" s="2">
        <f t="shared" si="16"/>
        <v>43276</v>
      </c>
      <c r="W205" s="12">
        <f t="shared" si="17"/>
        <v>0.42986111111111108</v>
      </c>
    </row>
    <row r="206" spans="1:23">
      <c r="A206">
        <f>IF(ISBLANK('Data Input'!A206),"",'Data Input'!A206)</f>
        <v>55</v>
      </c>
      <c r="B206" t="str">
        <f>IF(ISBLANK('Data Input'!B206),"",'Data Input'!B206)</f>
        <v>KS055</v>
      </c>
      <c r="C206" t="str">
        <f>IF(ISBLANK('Data Input'!C206),"",'Data Input'!C206)</f>
        <v>6/24/18 1350</v>
      </c>
      <c r="E206" t="str">
        <f>IF(ISBLANK('Data Input'!D206),"",'Data Input'!D206)</f>
        <v>6/25/18 1019</v>
      </c>
      <c r="G206">
        <f>IF(ISBLANK('Data Input'!E206),"",'Data Input'!E206)</f>
        <v>19</v>
      </c>
      <c r="H206" t="str">
        <f>IF(ISBLANK('Data Input'!F206),"",'Data Input'!F206)</f>
        <v>bb - Black</v>
      </c>
      <c r="I206" t="str">
        <f>IF(ISBLANK('Data Input'!G206),"",'Data Input'!G206)</f>
        <v>SVD</v>
      </c>
      <c r="J206" t="str">
        <f>IF(ISBLANK('Data Input'!I206),"",'Data Input'!I206)</f>
        <v>6=25=18 0109</v>
      </c>
      <c r="K206" t="str">
        <f>IF(ISBLANK('Data Input'!J206),"",'Data Input'!J206)</f>
        <v>bb - Ibuprofen</v>
      </c>
      <c r="L206">
        <f>IF(ISBLANK('Data Input'!K206),"",'Data Input'!K206)</f>
        <v>800</v>
      </c>
      <c r="M206">
        <f>IF(ISBLANK('Data Input'!L206),"",'Data Input'!L206)</f>
        <v>0</v>
      </c>
      <c r="N206">
        <f>IF(ISBLANK('Data Input'!M206),"",'Data Input'!M206)</f>
        <v>0</v>
      </c>
      <c r="O206">
        <f>IF(ISBLANK('Data Input'!N206),"",'Data Input'!N206)</f>
        <v>3</v>
      </c>
      <c r="P206" t="str">
        <f>IF(ISBLANK('Data Input'!O206),"",'Data Input'!O206)</f>
        <v/>
      </c>
      <c r="Q206" t="str">
        <f>IF(ISBLANK('Data Input'!P206),"",'Data Input'!P206)</f>
        <v/>
      </c>
      <c r="R206" t="b">
        <f>IF(ISBLANK('Data Input'!Q206),"",'Data Input'!Q206)</f>
        <v>1</v>
      </c>
      <c r="T206" s="2">
        <f t="shared" si="14"/>
        <v>43275</v>
      </c>
      <c r="U206" s="12">
        <f t="shared" si="15"/>
        <v>0.57638888888888895</v>
      </c>
      <c r="V206" s="2">
        <f t="shared" si="16"/>
        <v>43276</v>
      </c>
      <c r="W206" s="12">
        <f t="shared" si="17"/>
        <v>0.42986111111111108</v>
      </c>
    </row>
    <row r="207" spans="1:23">
      <c r="A207">
        <f>IF(ISBLANK('Data Input'!A207),"",'Data Input'!A207)</f>
        <v>55</v>
      </c>
      <c r="B207" t="str">
        <f>IF(ISBLANK('Data Input'!B207),"",'Data Input'!B207)</f>
        <v>KS055</v>
      </c>
      <c r="C207" t="str">
        <f>IF(ISBLANK('Data Input'!C207),"",'Data Input'!C207)</f>
        <v>6/24/18 1350</v>
      </c>
      <c r="E207" t="str">
        <f>IF(ISBLANK('Data Input'!D207),"",'Data Input'!D207)</f>
        <v>6/25/18 1019</v>
      </c>
      <c r="G207">
        <f>IF(ISBLANK('Data Input'!E207),"",'Data Input'!E207)</f>
        <v>19</v>
      </c>
      <c r="H207" t="str">
        <f>IF(ISBLANK('Data Input'!F207),"",'Data Input'!F207)</f>
        <v>bb - Black</v>
      </c>
      <c r="I207" t="str">
        <f>IF(ISBLANK('Data Input'!G207),"",'Data Input'!G207)</f>
        <v>SVD</v>
      </c>
      <c r="J207" t="str">
        <f>IF(ISBLANK('Data Input'!I207),"",'Data Input'!I207)</f>
        <v>6=25=18 1019</v>
      </c>
      <c r="K207" t="str">
        <f>IF(ISBLANK('Data Input'!J207),"",'Data Input'!J207)</f>
        <v>bb - Ibuprofen</v>
      </c>
      <c r="L207">
        <f>IF(ISBLANK('Data Input'!K207),"",'Data Input'!K207)</f>
        <v>800</v>
      </c>
      <c r="M207">
        <f>IF(ISBLANK('Data Input'!L207),"",'Data Input'!L207)</f>
        <v>0</v>
      </c>
      <c r="N207">
        <f>IF(ISBLANK('Data Input'!M207),"",'Data Input'!M207)</f>
        <v>0</v>
      </c>
      <c r="O207">
        <f>IF(ISBLANK('Data Input'!N207),"",'Data Input'!N207)</f>
        <v>3</v>
      </c>
      <c r="P207" t="str">
        <f>IF(ISBLANK('Data Input'!O207),"",'Data Input'!O207)</f>
        <v/>
      </c>
      <c r="Q207" t="str">
        <f>IF(ISBLANK('Data Input'!P207),"",'Data Input'!P207)</f>
        <v/>
      </c>
      <c r="R207" t="b">
        <f>IF(ISBLANK('Data Input'!Q207),"",'Data Input'!Q207)</f>
        <v>1</v>
      </c>
      <c r="T207" s="2">
        <f t="shared" si="14"/>
        <v>43275</v>
      </c>
      <c r="U207" s="12">
        <f t="shared" si="15"/>
        <v>0.57638888888888895</v>
      </c>
      <c r="V207" s="2">
        <f t="shared" si="16"/>
        <v>43276</v>
      </c>
      <c r="W207" s="12">
        <f t="shared" si="17"/>
        <v>0.42986111111111108</v>
      </c>
    </row>
    <row r="208" spans="1:23">
      <c r="A208">
        <f>IF(ISBLANK('Data Input'!A208),"",'Data Input'!A208)</f>
        <v>56</v>
      </c>
      <c r="B208" t="str">
        <f>IF(ISBLANK('Data Input'!B208),"",'Data Input'!B208)</f>
        <v>KA056</v>
      </c>
      <c r="C208" t="str">
        <f>IF(ISBLANK('Data Input'!C208),"",'Data Input'!C208)</f>
        <v>6/24/18 0833</v>
      </c>
      <c r="E208" t="str">
        <f>IF(ISBLANK('Data Input'!D208),"",'Data Input'!D208)</f>
        <v>6/25/18 0506</v>
      </c>
      <c r="G208">
        <f>IF(ISBLANK('Data Input'!E208),"",'Data Input'!E208)</f>
        <v>24</v>
      </c>
      <c r="H208" t="str">
        <f>IF(ISBLANK('Data Input'!F208),"",'Data Input'!F208)</f>
        <v>White</v>
      </c>
      <c r="I208" t="str">
        <f>IF(ISBLANK('Data Input'!G208),"",'Data Input'!G208)</f>
        <v>SVD</v>
      </c>
      <c r="J208" t="str">
        <f>IF(ISBLANK('Data Input'!I208),"",'Data Input'!I208)</f>
        <v>6=24=18 0746</v>
      </c>
      <c r="K208" t="str">
        <f>IF(ISBLANK('Data Input'!J208),"",'Data Input'!J208)</f>
        <v>tt - Tylenol</v>
      </c>
      <c r="L208">
        <f>IF(ISBLANK('Data Input'!K208),"",'Data Input'!K208)</f>
        <v>650</v>
      </c>
      <c r="M208">
        <f>IF(ISBLANK('Data Input'!L208),"",'Data Input'!L208)</f>
        <v>0</v>
      </c>
      <c r="N208">
        <f>IF(ISBLANK('Data Input'!M208),"",'Data Input'!M208)</f>
        <v>0</v>
      </c>
      <c r="O208">
        <f>IF(ISBLANK('Data Input'!N208),"",'Data Input'!N208)</f>
        <v>4</v>
      </c>
      <c r="P208" t="str">
        <f>IF(ISBLANK('Data Input'!O208),"",'Data Input'!O208)</f>
        <v/>
      </c>
      <c r="Q208" t="str">
        <f>IF(ISBLANK('Data Input'!P208),"",'Data Input'!P208)</f>
        <v/>
      </c>
      <c r="R208" t="b">
        <f>IF(ISBLANK('Data Input'!Q208),"",'Data Input'!Q208)</f>
        <v>0</v>
      </c>
      <c r="T208" s="2">
        <f t="shared" si="14"/>
        <v>43275</v>
      </c>
      <c r="U208" s="12">
        <f t="shared" si="15"/>
        <v>0.35625000000000001</v>
      </c>
      <c r="V208" s="2">
        <f t="shared" si="16"/>
        <v>43276</v>
      </c>
      <c r="W208" s="12">
        <f t="shared" si="17"/>
        <v>0.21249999999999999</v>
      </c>
    </row>
    <row r="209" spans="1:23">
      <c r="A209">
        <f>IF(ISBLANK('Data Input'!A209),"",'Data Input'!A209)</f>
        <v>56</v>
      </c>
      <c r="B209" t="str">
        <f>IF(ISBLANK('Data Input'!B209),"",'Data Input'!B209)</f>
        <v>KA056</v>
      </c>
      <c r="C209" t="str">
        <f>IF(ISBLANK('Data Input'!C209),"",'Data Input'!C209)</f>
        <v>6/24/18 0833</v>
      </c>
      <c r="E209" t="str">
        <f>IF(ISBLANK('Data Input'!D209),"",'Data Input'!D209)</f>
        <v>6/25/18 0506</v>
      </c>
      <c r="G209">
        <f>IF(ISBLANK('Data Input'!E209),"",'Data Input'!E209)</f>
        <v>24</v>
      </c>
      <c r="H209" t="str">
        <f>IF(ISBLANK('Data Input'!F209),"",'Data Input'!F209)</f>
        <v>White</v>
      </c>
      <c r="I209" t="str">
        <f>IF(ISBLANK('Data Input'!G209),"",'Data Input'!G209)</f>
        <v>SVD</v>
      </c>
      <c r="J209" t="str">
        <f>IF(ISBLANK('Data Input'!I209),"",'Data Input'!I209)</f>
        <v>6=24=18 1447</v>
      </c>
      <c r="K209" t="str">
        <f>IF(ISBLANK('Data Input'!J209),"",'Data Input'!J209)</f>
        <v>tt - Tylenol</v>
      </c>
      <c r="L209">
        <f>IF(ISBLANK('Data Input'!K209),"",'Data Input'!K209)</f>
        <v>650</v>
      </c>
      <c r="M209" t="str">
        <f>IF(ISBLANK('Data Input'!L209),"",'Data Input'!L209)</f>
        <v>dd - Missing Data</v>
      </c>
      <c r="N209" t="str">
        <f>IF(ISBLANK('Data Input'!M209),"",'Data Input'!M209)</f>
        <v>dd - Missing Data</v>
      </c>
      <c r="O209">
        <f>IF(ISBLANK('Data Input'!N209),"",'Data Input'!N209)</f>
        <v>4</v>
      </c>
      <c r="P209" t="str">
        <f>IF(ISBLANK('Data Input'!O209),"",'Data Input'!O209)</f>
        <v/>
      </c>
      <c r="Q209" t="str">
        <f>IF(ISBLANK('Data Input'!P209),"",'Data Input'!P209)</f>
        <v/>
      </c>
      <c r="R209" t="b">
        <f>IF(ISBLANK('Data Input'!Q209),"",'Data Input'!Q209)</f>
        <v>0</v>
      </c>
      <c r="T209" s="2">
        <f t="shared" si="14"/>
        <v>43275</v>
      </c>
      <c r="U209" s="12">
        <f t="shared" si="15"/>
        <v>0.35625000000000001</v>
      </c>
      <c r="V209" s="2">
        <f t="shared" si="16"/>
        <v>43276</v>
      </c>
      <c r="W209" s="12">
        <f t="shared" si="17"/>
        <v>0.21249999999999999</v>
      </c>
    </row>
    <row r="210" spans="1:23">
      <c r="A210">
        <f>IF(ISBLANK('Data Input'!A210),"",'Data Input'!A210)</f>
        <v>56</v>
      </c>
      <c r="B210" t="str">
        <f>IF(ISBLANK('Data Input'!B210),"",'Data Input'!B210)</f>
        <v>KA056</v>
      </c>
      <c r="C210" t="str">
        <f>IF(ISBLANK('Data Input'!C210),"",'Data Input'!C210)</f>
        <v>6/24/18 0833</v>
      </c>
      <c r="E210" t="str">
        <f>IF(ISBLANK('Data Input'!D210),"",'Data Input'!D210)</f>
        <v>6/25/18 0506</v>
      </c>
      <c r="G210">
        <f>IF(ISBLANK('Data Input'!E210),"",'Data Input'!E210)</f>
        <v>24</v>
      </c>
      <c r="H210" t="str">
        <f>IF(ISBLANK('Data Input'!F210),"",'Data Input'!F210)</f>
        <v>White</v>
      </c>
      <c r="I210" t="str">
        <f>IF(ISBLANK('Data Input'!G210),"",'Data Input'!G210)</f>
        <v>SVD</v>
      </c>
      <c r="J210" t="str">
        <f>IF(ISBLANK('Data Input'!I210),"",'Data Input'!I210)</f>
        <v>6=24=18 2144</v>
      </c>
      <c r="K210" t="str">
        <f>IF(ISBLANK('Data Input'!J210),"",'Data Input'!J210)</f>
        <v>tt - Tylenol</v>
      </c>
      <c r="L210">
        <f>IF(ISBLANK('Data Input'!K210),"",'Data Input'!K210)</f>
        <v>650</v>
      </c>
      <c r="M210" t="str">
        <f>IF(ISBLANK('Data Input'!L210),"",'Data Input'!L210)</f>
        <v>dd - Missing Data</v>
      </c>
      <c r="N210" t="str">
        <f>IF(ISBLANK('Data Input'!M210),"",'Data Input'!M210)</f>
        <v>dd - Missing Data</v>
      </c>
      <c r="O210">
        <f>IF(ISBLANK('Data Input'!N210),"",'Data Input'!N210)</f>
        <v>4</v>
      </c>
      <c r="P210" t="str">
        <f>IF(ISBLANK('Data Input'!O210),"",'Data Input'!O210)</f>
        <v/>
      </c>
      <c r="Q210" t="str">
        <f>IF(ISBLANK('Data Input'!P210),"",'Data Input'!P210)</f>
        <v/>
      </c>
      <c r="R210" t="b">
        <f>IF(ISBLANK('Data Input'!Q210),"",'Data Input'!Q210)</f>
        <v>0</v>
      </c>
      <c r="T210" s="2">
        <f t="shared" si="14"/>
        <v>43275</v>
      </c>
      <c r="U210" s="12">
        <f t="shared" si="15"/>
        <v>0.35625000000000001</v>
      </c>
      <c r="V210" s="2">
        <f t="shared" si="16"/>
        <v>43276</v>
      </c>
      <c r="W210" s="12">
        <f t="shared" si="17"/>
        <v>0.21249999999999999</v>
      </c>
    </row>
    <row r="211" spans="1:23">
      <c r="A211">
        <f>IF(ISBLANK('Data Input'!A211),"",'Data Input'!A211)</f>
        <v>56</v>
      </c>
      <c r="B211" t="str">
        <f>IF(ISBLANK('Data Input'!B211),"",'Data Input'!B211)</f>
        <v>KA056</v>
      </c>
      <c r="C211" t="str">
        <f>IF(ISBLANK('Data Input'!C211),"",'Data Input'!C211)</f>
        <v>6/24/18 0833</v>
      </c>
      <c r="E211" t="str">
        <f>IF(ISBLANK('Data Input'!D211),"",'Data Input'!D211)</f>
        <v>6/25/18 0506</v>
      </c>
      <c r="G211">
        <f>IF(ISBLANK('Data Input'!E211),"",'Data Input'!E211)</f>
        <v>24</v>
      </c>
      <c r="H211" t="str">
        <f>IF(ISBLANK('Data Input'!F211),"",'Data Input'!F211)</f>
        <v>White</v>
      </c>
      <c r="I211" t="str">
        <f>IF(ISBLANK('Data Input'!G211),"",'Data Input'!G211)</f>
        <v>SVD</v>
      </c>
      <c r="J211" t="str">
        <f>IF(ISBLANK('Data Input'!I211),"",'Data Input'!I211)</f>
        <v>6=25=18 0506</v>
      </c>
      <c r="K211" t="str">
        <f>IF(ISBLANK('Data Input'!J211),"",'Data Input'!J211)</f>
        <v>tt - Tylenol</v>
      </c>
      <c r="L211">
        <f>IF(ISBLANK('Data Input'!K211),"",'Data Input'!K211)</f>
        <v>650</v>
      </c>
      <c r="M211" t="str">
        <f>IF(ISBLANK('Data Input'!L211),"",'Data Input'!L211)</f>
        <v>dd - Missing Data</v>
      </c>
      <c r="N211" t="str">
        <f>IF(ISBLANK('Data Input'!M211),"",'Data Input'!M211)</f>
        <v>dd - Missing Data</v>
      </c>
      <c r="O211">
        <f>IF(ISBLANK('Data Input'!N211),"",'Data Input'!N211)</f>
        <v>4</v>
      </c>
      <c r="P211" t="str">
        <f>IF(ISBLANK('Data Input'!O211),"",'Data Input'!O211)</f>
        <v/>
      </c>
      <c r="Q211" t="str">
        <f>IF(ISBLANK('Data Input'!P211),"",'Data Input'!P211)</f>
        <v/>
      </c>
      <c r="R211" t="b">
        <f>IF(ISBLANK('Data Input'!Q211),"",'Data Input'!Q211)</f>
        <v>0</v>
      </c>
      <c r="T211" s="2">
        <f t="shared" si="14"/>
        <v>43275</v>
      </c>
      <c r="U211" s="12">
        <f t="shared" si="15"/>
        <v>0.35625000000000001</v>
      </c>
      <c r="V211" s="2">
        <f t="shared" si="16"/>
        <v>43276</v>
      </c>
      <c r="W211" s="12">
        <f t="shared" si="17"/>
        <v>0.21249999999999999</v>
      </c>
    </row>
    <row r="212" spans="1:23">
      <c r="A212">
        <f>IF(ISBLANK('Data Input'!A212),"",'Data Input'!A212)</f>
        <v>56</v>
      </c>
      <c r="B212" t="str">
        <f>IF(ISBLANK('Data Input'!B212),"",'Data Input'!B212)</f>
        <v>KA056</v>
      </c>
      <c r="C212" t="str">
        <f>IF(ISBLANK('Data Input'!C212),"",'Data Input'!C212)</f>
        <v>6/24/18 0833</v>
      </c>
      <c r="E212" t="str">
        <f>IF(ISBLANK('Data Input'!D212),"",'Data Input'!D212)</f>
        <v>6/25/18 0506</v>
      </c>
      <c r="G212">
        <f>IF(ISBLANK('Data Input'!E212),"",'Data Input'!E212)</f>
        <v>24</v>
      </c>
      <c r="H212" t="str">
        <f>IF(ISBLANK('Data Input'!F212),"",'Data Input'!F212)</f>
        <v>White</v>
      </c>
      <c r="I212" t="str">
        <f>IF(ISBLANK('Data Input'!G212),"",'Data Input'!G212)</f>
        <v>SVD</v>
      </c>
      <c r="J212" t="str">
        <f>IF(ISBLANK('Data Input'!I212),"",'Data Input'!I212)</f>
        <v>6=25=18 0506</v>
      </c>
      <c r="K212" t="str">
        <f>IF(ISBLANK('Data Input'!J212),"",'Data Input'!J212)</f>
        <v>bb - Ibuprofen</v>
      </c>
      <c r="L212">
        <f>IF(ISBLANK('Data Input'!K212),"",'Data Input'!K212)</f>
        <v>800</v>
      </c>
      <c r="M212" t="str">
        <f>IF(ISBLANK('Data Input'!L212),"",'Data Input'!L212)</f>
        <v>dd - Missing Data</v>
      </c>
      <c r="N212" t="str">
        <f>IF(ISBLANK('Data Input'!M212),"",'Data Input'!M212)</f>
        <v>dd - Missing Data</v>
      </c>
      <c r="O212">
        <f>IF(ISBLANK('Data Input'!N212),"",'Data Input'!N212)</f>
        <v>1</v>
      </c>
      <c r="P212" t="str">
        <f>IF(ISBLANK('Data Input'!O212),"",'Data Input'!O212)</f>
        <v/>
      </c>
      <c r="Q212" t="str">
        <f>IF(ISBLANK('Data Input'!P212),"",'Data Input'!P212)</f>
        <v/>
      </c>
      <c r="R212" t="b">
        <f>IF(ISBLANK('Data Input'!Q212),"",'Data Input'!Q212)</f>
        <v>0</v>
      </c>
      <c r="T212" s="2">
        <f t="shared" si="14"/>
        <v>43275</v>
      </c>
      <c r="U212" s="12">
        <f t="shared" si="15"/>
        <v>0.35625000000000001</v>
      </c>
      <c r="V212" s="2">
        <f t="shared" si="16"/>
        <v>43276</v>
      </c>
      <c r="W212" s="12">
        <f t="shared" si="17"/>
        <v>0.21249999999999999</v>
      </c>
    </row>
    <row r="213" spans="1:23">
      <c r="A213">
        <f>IF(ISBLANK('Data Input'!A213),"",'Data Input'!A213)</f>
        <v>57</v>
      </c>
      <c r="B213" t="str">
        <f>IF(ISBLANK('Data Input'!B213),"",'Data Input'!B213)</f>
        <v>KB057</v>
      </c>
      <c r="C213" t="str">
        <f>IF(ISBLANK('Data Input'!C213),"",'Data Input'!C213)</f>
        <v>6/24/18 0245</v>
      </c>
      <c r="E213" t="str">
        <f>IF(ISBLANK('Data Input'!D213),"",'Data Input'!D213)</f>
        <v>6/24/18 2300</v>
      </c>
      <c r="G213">
        <f>IF(ISBLANK('Data Input'!E213),"",'Data Input'!E213)</f>
        <v>21</v>
      </c>
      <c r="H213" t="str">
        <f>IF(ISBLANK('Data Input'!F213),"",'Data Input'!F213)</f>
        <v>bb - Black</v>
      </c>
      <c r="I213" t="str">
        <f>IF(ISBLANK('Data Input'!G213),"",'Data Input'!G213)</f>
        <v>Caesarean</v>
      </c>
      <c r="J213" t="str">
        <f>IF(ISBLANK('Data Input'!I213),"",'Data Input'!I213)</f>
        <v>6=24=18 0418</v>
      </c>
      <c r="K213" t="str">
        <f>IF(ISBLANK('Data Input'!J213),"",'Data Input'!J213)</f>
        <v>tr - Toradol</v>
      </c>
      <c r="L213">
        <f>IF(ISBLANK('Data Input'!K213),"",'Data Input'!K213)</f>
        <v>30</v>
      </c>
      <c r="M213">
        <f>IF(ISBLANK('Data Input'!L213),"",'Data Input'!L213)</f>
        <v>6</v>
      </c>
      <c r="N213">
        <f>IF(ISBLANK('Data Input'!M213),"",'Data Input'!M213)</f>
        <v>1</v>
      </c>
      <c r="O213" t="str">
        <f>IF(ISBLANK('Data Input'!N213),"",'Data Input'!N213)</f>
        <v/>
      </c>
      <c r="P213" t="str">
        <f>IF(ISBLANK('Data Input'!O213),"",'Data Input'!O213)</f>
        <v/>
      </c>
      <c r="Q213" t="str">
        <f>IF(ISBLANK('Data Input'!P213),"",'Data Input'!P213)</f>
        <v/>
      </c>
      <c r="R213" t="b">
        <f>IF(ISBLANK('Data Input'!Q213),"",'Data Input'!Q213)</f>
        <v>1</v>
      </c>
      <c r="T213" s="2">
        <f t="shared" si="14"/>
        <v>43275</v>
      </c>
      <c r="U213" s="12">
        <f t="shared" si="15"/>
        <v>0.11458333333333333</v>
      </c>
      <c r="V213" s="2">
        <f t="shared" si="16"/>
        <v>43275</v>
      </c>
      <c r="W213" s="12">
        <f t="shared" si="17"/>
        <v>0.95833333333333337</v>
      </c>
    </row>
    <row r="214" spans="1:23">
      <c r="A214">
        <f>IF(ISBLANK('Data Input'!A214),"",'Data Input'!A214)</f>
        <v>57</v>
      </c>
      <c r="B214" t="str">
        <f>IF(ISBLANK('Data Input'!B214),"",'Data Input'!B214)</f>
        <v>KB057</v>
      </c>
      <c r="C214" t="str">
        <f>IF(ISBLANK('Data Input'!C214),"",'Data Input'!C214)</f>
        <v>6/24/18 0245</v>
      </c>
      <c r="E214" t="str">
        <f>IF(ISBLANK('Data Input'!D214),"",'Data Input'!D214)</f>
        <v>6/24/18 2300</v>
      </c>
      <c r="G214">
        <f>IF(ISBLANK('Data Input'!E214),"",'Data Input'!E214)</f>
        <v>21</v>
      </c>
      <c r="H214" t="str">
        <f>IF(ISBLANK('Data Input'!F214),"",'Data Input'!F214)</f>
        <v>bb - Black</v>
      </c>
      <c r="I214" t="str">
        <f>IF(ISBLANK('Data Input'!G214),"",'Data Input'!G214)</f>
        <v>Caesarean</v>
      </c>
      <c r="J214" t="str">
        <f>IF(ISBLANK('Data Input'!I214),"",'Data Input'!I214)</f>
        <v>6=24=18 0726</v>
      </c>
      <c r="K214" t="str">
        <f>IF(ISBLANK('Data Input'!J214),"",'Data Input'!J214)</f>
        <v>tr - Toradol</v>
      </c>
      <c r="L214">
        <f>IF(ISBLANK('Data Input'!K214),"",'Data Input'!K214)</f>
        <v>30</v>
      </c>
      <c r="M214">
        <f>IF(ISBLANK('Data Input'!L214),"",'Data Input'!L214)</f>
        <v>0</v>
      </c>
      <c r="N214">
        <f>IF(ISBLANK('Data Input'!M214),"",'Data Input'!M214)</f>
        <v>0</v>
      </c>
      <c r="O214" t="str">
        <f>IF(ISBLANK('Data Input'!N214),"",'Data Input'!N214)</f>
        <v/>
      </c>
      <c r="P214" t="str">
        <f>IF(ISBLANK('Data Input'!O214),"",'Data Input'!O214)</f>
        <v/>
      </c>
      <c r="Q214" t="str">
        <f>IF(ISBLANK('Data Input'!P214),"",'Data Input'!P214)</f>
        <v/>
      </c>
      <c r="R214" t="b">
        <f>IF(ISBLANK('Data Input'!Q214),"",'Data Input'!Q214)</f>
        <v>1</v>
      </c>
      <c r="T214" s="2">
        <f t="shared" si="14"/>
        <v>43275</v>
      </c>
      <c r="U214" s="12">
        <f t="shared" si="15"/>
        <v>0.11458333333333333</v>
      </c>
      <c r="V214" s="2">
        <f t="shared" si="16"/>
        <v>43275</v>
      </c>
      <c r="W214" s="12">
        <f t="shared" si="17"/>
        <v>0.95833333333333337</v>
      </c>
    </row>
    <row r="215" spans="1:23">
      <c r="A215">
        <f>IF(ISBLANK('Data Input'!A215),"",'Data Input'!A215)</f>
        <v>57</v>
      </c>
      <c r="B215" t="str">
        <f>IF(ISBLANK('Data Input'!B215),"",'Data Input'!B215)</f>
        <v>KB057</v>
      </c>
      <c r="C215" t="str">
        <f>IF(ISBLANK('Data Input'!C215),"",'Data Input'!C215)</f>
        <v>6/24/18 0245</v>
      </c>
      <c r="E215" t="str">
        <f>IF(ISBLANK('Data Input'!D215),"",'Data Input'!D215)</f>
        <v>6/24/18 2300</v>
      </c>
      <c r="G215">
        <f>IF(ISBLANK('Data Input'!E215),"",'Data Input'!E215)</f>
        <v>21</v>
      </c>
      <c r="H215" t="str">
        <f>IF(ISBLANK('Data Input'!F215),"",'Data Input'!F215)</f>
        <v>bb - Black</v>
      </c>
      <c r="I215" t="str">
        <f>IF(ISBLANK('Data Input'!G215),"",'Data Input'!G215)</f>
        <v>Caesarean</v>
      </c>
      <c r="J215" t="str">
        <f>IF(ISBLANK('Data Input'!I215),"",'Data Input'!I215)</f>
        <v>6=24=18 1004</v>
      </c>
      <c r="K215" t="str">
        <f>IF(ISBLANK('Data Input'!J215),"",'Data Input'!J215)</f>
        <v>tr - Toradol</v>
      </c>
      <c r="L215">
        <f>IF(ISBLANK('Data Input'!K215),"",'Data Input'!K215)</f>
        <v>30</v>
      </c>
      <c r="M215">
        <f>IF(ISBLANK('Data Input'!L215),"",'Data Input'!L215)</f>
        <v>0</v>
      </c>
      <c r="N215">
        <f>IF(ISBLANK('Data Input'!M215),"",'Data Input'!M215)</f>
        <v>0</v>
      </c>
      <c r="O215" t="str">
        <f>IF(ISBLANK('Data Input'!N215),"",'Data Input'!N215)</f>
        <v/>
      </c>
      <c r="P215" t="str">
        <f>IF(ISBLANK('Data Input'!O215),"",'Data Input'!O215)</f>
        <v/>
      </c>
      <c r="Q215" t="str">
        <f>IF(ISBLANK('Data Input'!P215),"",'Data Input'!P215)</f>
        <v/>
      </c>
      <c r="R215" t="b">
        <f>IF(ISBLANK('Data Input'!Q215),"",'Data Input'!Q215)</f>
        <v>1</v>
      </c>
      <c r="T215" s="2">
        <f t="shared" si="14"/>
        <v>43275</v>
      </c>
      <c r="U215" s="12">
        <f t="shared" si="15"/>
        <v>0.11458333333333333</v>
      </c>
      <c r="V215" s="2">
        <f t="shared" si="16"/>
        <v>43275</v>
      </c>
      <c r="W215" s="12">
        <f t="shared" si="17"/>
        <v>0.95833333333333337</v>
      </c>
    </row>
    <row r="216" spans="1:23">
      <c r="A216">
        <f>IF(ISBLANK('Data Input'!A216),"",'Data Input'!A216)</f>
        <v>57</v>
      </c>
      <c r="B216" t="str">
        <f>IF(ISBLANK('Data Input'!B216),"",'Data Input'!B216)</f>
        <v>KB057</v>
      </c>
      <c r="C216" t="str">
        <f>IF(ISBLANK('Data Input'!C216),"",'Data Input'!C216)</f>
        <v>6/24/18 0245</v>
      </c>
      <c r="E216" t="str">
        <f>IF(ISBLANK('Data Input'!D216),"",'Data Input'!D216)</f>
        <v>6/24/18 2300</v>
      </c>
      <c r="G216">
        <f>IF(ISBLANK('Data Input'!E216),"",'Data Input'!E216)</f>
        <v>21</v>
      </c>
      <c r="H216" t="str">
        <f>IF(ISBLANK('Data Input'!F216),"",'Data Input'!F216)</f>
        <v>bb - Black</v>
      </c>
      <c r="I216" t="str">
        <f>IF(ISBLANK('Data Input'!G216),"",'Data Input'!G216)</f>
        <v>Caesarean</v>
      </c>
      <c r="J216" t="str">
        <f>IF(ISBLANK('Data Input'!I216),"",'Data Input'!I216)</f>
        <v>6=24=18 1558</v>
      </c>
      <c r="K216" t="str">
        <f>IF(ISBLANK('Data Input'!J216),"",'Data Input'!J216)</f>
        <v>tr - Toradol</v>
      </c>
      <c r="L216">
        <f>IF(ISBLANK('Data Input'!K216),"",'Data Input'!K216)</f>
        <v>30</v>
      </c>
      <c r="M216">
        <f>IF(ISBLANK('Data Input'!L216),"",'Data Input'!L216)</f>
        <v>2</v>
      </c>
      <c r="N216">
        <f>IF(ISBLANK('Data Input'!M216),"",'Data Input'!M216)</f>
        <v>0</v>
      </c>
      <c r="O216" t="str">
        <f>IF(ISBLANK('Data Input'!N216),"",'Data Input'!N216)</f>
        <v/>
      </c>
      <c r="P216" t="str">
        <f>IF(ISBLANK('Data Input'!O216),"",'Data Input'!O216)</f>
        <v/>
      </c>
      <c r="Q216" t="str">
        <f>IF(ISBLANK('Data Input'!P216),"",'Data Input'!P216)</f>
        <v/>
      </c>
      <c r="R216" t="b">
        <f>IF(ISBLANK('Data Input'!Q216),"",'Data Input'!Q216)</f>
        <v>1</v>
      </c>
      <c r="T216" s="2">
        <f t="shared" si="14"/>
        <v>43275</v>
      </c>
      <c r="U216" s="12">
        <f t="shared" si="15"/>
        <v>0.11458333333333333</v>
      </c>
      <c r="V216" s="2">
        <f t="shared" si="16"/>
        <v>43275</v>
      </c>
      <c r="W216" s="12">
        <f t="shared" si="17"/>
        <v>0.95833333333333337</v>
      </c>
    </row>
    <row r="217" spans="1:23">
      <c r="A217">
        <f>IF(ISBLANK('Data Input'!A217),"",'Data Input'!A217)</f>
        <v>57</v>
      </c>
      <c r="B217" t="str">
        <f>IF(ISBLANK('Data Input'!B217),"",'Data Input'!B217)</f>
        <v>KB057</v>
      </c>
      <c r="C217" t="str">
        <f>IF(ISBLANK('Data Input'!C217),"",'Data Input'!C217)</f>
        <v>6/24/18 0245</v>
      </c>
      <c r="E217" t="str">
        <f>IF(ISBLANK('Data Input'!D217),"",'Data Input'!D217)</f>
        <v>6/24/18 2300</v>
      </c>
      <c r="G217">
        <f>IF(ISBLANK('Data Input'!E217),"",'Data Input'!E217)</f>
        <v>21</v>
      </c>
      <c r="H217" t="str">
        <f>IF(ISBLANK('Data Input'!F217),"",'Data Input'!F217)</f>
        <v>bb - Black</v>
      </c>
      <c r="I217" t="str">
        <f>IF(ISBLANK('Data Input'!G217),"",'Data Input'!G217)</f>
        <v>Caesarean</v>
      </c>
      <c r="J217" t="str">
        <f>IF(ISBLANK('Data Input'!I217),"",'Data Input'!I217)</f>
        <v>6=24=18 2300</v>
      </c>
      <c r="K217" t="str">
        <f>IF(ISBLANK('Data Input'!J217),"",'Data Input'!J217)</f>
        <v>bb - Ibuprofen</v>
      </c>
      <c r="L217">
        <f>IF(ISBLANK('Data Input'!K217),"",'Data Input'!K217)</f>
        <v>800</v>
      </c>
      <c r="M217">
        <f>IF(ISBLANK('Data Input'!L217),"",'Data Input'!L217)</f>
        <v>10</v>
      </c>
      <c r="N217">
        <f>IF(ISBLANK('Data Input'!M217),"",'Data Input'!M217)</f>
        <v>0</v>
      </c>
      <c r="O217" t="str">
        <f>IF(ISBLANK('Data Input'!N217),"",'Data Input'!N217)</f>
        <v/>
      </c>
      <c r="P217" t="str">
        <f>IF(ISBLANK('Data Input'!O217),"",'Data Input'!O217)</f>
        <v/>
      </c>
      <c r="Q217" t="str">
        <f>IF(ISBLANK('Data Input'!P217),"",'Data Input'!P217)</f>
        <v/>
      </c>
      <c r="R217" t="b">
        <f>IF(ISBLANK('Data Input'!Q217),"",'Data Input'!Q217)</f>
        <v>1</v>
      </c>
      <c r="T217" s="2">
        <f t="shared" si="14"/>
        <v>43275</v>
      </c>
      <c r="U217" s="12">
        <f t="shared" si="15"/>
        <v>0.11458333333333333</v>
      </c>
      <c r="V217" s="2">
        <f t="shared" si="16"/>
        <v>43275</v>
      </c>
      <c r="W217" s="12">
        <f t="shared" si="17"/>
        <v>0.95833333333333337</v>
      </c>
    </row>
    <row r="218" spans="1:23">
      <c r="A218">
        <f>IF(ISBLANK('Data Input'!A218),"",'Data Input'!A218)</f>
        <v>57</v>
      </c>
      <c r="B218" t="str">
        <f>IF(ISBLANK('Data Input'!B218),"",'Data Input'!B218)</f>
        <v>KB057</v>
      </c>
      <c r="C218" t="str">
        <f>IF(ISBLANK('Data Input'!C218),"",'Data Input'!C218)</f>
        <v>6/24/18 0245</v>
      </c>
      <c r="E218" t="str">
        <f>IF(ISBLANK('Data Input'!D218),"",'Data Input'!D218)</f>
        <v>6/24/18 2300</v>
      </c>
      <c r="G218">
        <f>IF(ISBLANK('Data Input'!E218),"",'Data Input'!E218)</f>
        <v>21</v>
      </c>
      <c r="H218" t="str">
        <f>IF(ISBLANK('Data Input'!F218),"",'Data Input'!F218)</f>
        <v>bb - Black</v>
      </c>
      <c r="I218" t="str">
        <f>IF(ISBLANK('Data Input'!G218),"",'Data Input'!G218)</f>
        <v>Caesarean</v>
      </c>
      <c r="J218" t="str">
        <f>IF(ISBLANK('Data Input'!I218),"",'Data Input'!I218)</f>
        <v>6=24=18 2300</v>
      </c>
      <c r="K218" t="str">
        <f>IF(ISBLANK('Data Input'!J218),"",'Data Input'!J218)</f>
        <v>rr - Percocet</v>
      </c>
      <c r="L218">
        <f>IF(ISBLANK('Data Input'!K218),"",'Data Input'!K218)</f>
        <v>1</v>
      </c>
      <c r="M218">
        <f>IF(ISBLANK('Data Input'!L218),"",'Data Input'!L218)</f>
        <v>10</v>
      </c>
      <c r="N218">
        <f>IF(ISBLANK('Data Input'!M218),"",'Data Input'!M218)</f>
        <v>0</v>
      </c>
      <c r="O218" t="str">
        <f>IF(ISBLANK('Data Input'!N218),"",'Data Input'!N218)</f>
        <v/>
      </c>
      <c r="P218" t="str">
        <f>IF(ISBLANK('Data Input'!O218),"",'Data Input'!O218)</f>
        <v/>
      </c>
      <c r="Q218" t="str">
        <f>IF(ISBLANK('Data Input'!P218),"",'Data Input'!P218)</f>
        <v/>
      </c>
      <c r="R218" t="b">
        <f>IF(ISBLANK('Data Input'!Q218),"",'Data Input'!Q218)</f>
        <v>1</v>
      </c>
      <c r="T218" s="2">
        <f t="shared" si="14"/>
        <v>43275</v>
      </c>
      <c r="U218" s="12">
        <f t="shared" si="15"/>
        <v>0.11458333333333333</v>
      </c>
      <c r="V218" s="2">
        <f t="shared" si="16"/>
        <v>43275</v>
      </c>
      <c r="W218" s="12">
        <f t="shared" si="17"/>
        <v>0.95833333333333337</v>
      </c>
    </row>
    <row r="219" spans="1:23">
      <c r="A219">
        <f>IF(ISBLANK('Data Input'!A219),"",'Data Input'!A219)</f>
        <v>58</v>
      </c>
      <c r="B219" t="str">
        <f>IF(ISBLANK('Data Input'!B219),"",'Data Input'!B219)</f>
        <v>YT 058</v>
      </c>
      <c r="C219" t="str">
        <f>IF(ISBLANK('Data Input'!C219),"",'Data Input'!C219)</f>
        <v>6/23/18 0815</v>
      </c>
      <c r="E219" t="str">
        <f>IF(ISBLANK('Data Input'!D219),"",'Data Input'!D219)</f>
        <v>6/24/18 0640</v>
      </c>
      <c r="G219">
        <f>IF(ISBLANK('Data Input'!E219),"",'Data Input'!E219)</f>
        <v>35</v>
      </c>
      <c r="H219" t="str">
        <f>IF(ISBLANK('Data Input'!F219),"",'Data Input'!F219)</f>
        <v>White</v>
      </c>
      <c r="I219" t="str">
        <f>IF(ISBLANK('Data Input'!G219),"",'Data Input'!G219)</f>
        <v>Caesarean</v>
      </c>
      <c r="J219" t="str">
        <f>IF(ISBLANK('Data Input'!I219),"",'Data Input'!I219)</f>
        <v>6=23=18 0844</v>
      </c>
      <c r="K219" t="str">
        <f>IF(ISBLANK('Data Input'!J219),"",'Data Input'!J219)</f>
        <v>tr - Toradol</v>
      </c>
      <c r="L219">
        <f>IF(ISBLANK('Data Input'!K219),"",'Data Input'!K219)</f>
        <v>30</v>
      </c>
      <c r="M219" t="str">
        <f>IF(ISBLANK('Data Input'!L219),"",'Data Input'!L219)</f>
        <v>dd - Missing Data</v>
      </c>
      <c r="N219" t="str">
        <f>IF(ISBLANK('Data Input'!M219),"",'Data Input'!M219)</f>
        <v>dd - Missing Data</v>
      </c>
      <c r="O219">
        <f>IF(ISBLANK('Data Input'!N219),"",'Data Input'!N219)</f>
        <v>4</v>
      </c>
      <c r="P219" t="str">
        <f>IF(ISBLANK('Data Input'!O219),"",'Data Input'!O219)</f>
        <v/>
      </c>
      <c r="Q219" t="str">
        <f>IF(ISBLANK('Data Input'!P219),"",'Data Input'!P219)</f>
        <v/>
      </c>
      <c r="R219" t="b">
        <f>IF(ISBLANK('Data Input'!Q219),"",'Data Input'!Q219)</f>
        <v>0</v>
      </c>
      <c r="T219" s="2">
        <f t="shared" si="14"/>
        <v>43274</v>
      </c>
      <c r="U219" s="12">
        <f t="shared" si="15"/>
        <v>0.34375</v>
      </c>
      <c r="V219" s="2">
        <f t="shared" si="16"/>
        <v>43275</v>
      </c>
      <c r="W219" s="12">
        <f t="shared" si="17"/>
        <v>0.27777777777777779</v>
      </c>
    </row>
    <row r="220" spans="1:23">
      <c r="A220">
        <f>IF(ISBLANK('Data Input'!A220),"",'Data Input'!A220)</f>
        <v>58</v>
      </c>
      <c r="B220" t="str">
        <f>IF(ISBLANK('Data Input'!B220),"",'Data Input'!B220)</f>
        <v>YT 058</v>
      </c>
      <c r="C220" t="str">
        <f>IF(ISBLANK('Data Input'!C220),"",'Data Input'!C220)</f>
        <v>6/23/18 0815</v>
      </c>
      <c r="E220" t="str">
        <f>IF(ISBLANK('Data Input'!D220),"",'Data Input'!D220)</f>
        <v>6/24/18 0640</v>
      </c>
      <c r="G220">
        <f>IF(ISBLANK('Data Input'!E220),"",'Data Input'!E220)</f>
        <v>35</v>
      </c>
      <c r="H220" t="str">
        <f>IF(ISBLANK('Data Input'!F220),"",'Data Input'!F220)</f>
        <v>White</v>
      </c>
      <c r="I220" t="str">
        <f>IF(ISBLANK('Data Input'!G220),"",'Data Input'!G220)</f>
        <v>Caesarean</v>
      </c>
      <c r="J220" t="str">
        <f>IF(ISBLANK('Data Input'!I220),"",'Data Input'!I220)</f>
        <v>6=23=18 1220</v>
      </c>
      <c r="K220" t="str">
        <f>IF(ISBLANK('Data Input'!J220),"",'Data Input'!J220)</f>
        <v>ee - Morphine</v>
      </c>
      <c r="L220">
        <f>IF(ISBLANK('Data Input'!K220),"",'Data Input'!K220)</f>
        <v>2</v>
      </c>
      <c r="M220" t="str">
        <f>IF(ISBLANK('Data Input'!L220),"",'Data Input'!L220)</f>
        <v>dd - Missing Data</v>
      </c>
      <c r="N220" t="str">
        <f>IF(ISBLANK('Data Input'!M220),"",'Data Input'!M220)</f>
        <v>dd - Missing Data</v>
      </c>
      <c r="O220">
        <f>IF(ISBLANK('Data Input'!N220),"",'Data Input'!N220)</f>
        <v>1</v>
      </c>
      <c r="P220" t="str">
        <f>IF(ISBLANK('Data Input'!O220),"",'Data Input'!O220)</f>
        <v/>
      </c>
      <c r="Q220" t="str">
        <f>IF(ISBLANK('Data Input'!P220),"",'Data Input'!P220)</f>
        <v/>
      </c>
      <c r="R220" t="b">
        <f>IF(ISBLANK('Data Input'!Q220),"",'Data Input'!Q220)</f>
        <v>0</v>
      </c>
      <c r="T220" s="2">
        <f t="shared" si="14"/>
        <v>43274</v>
      </c>
      <c r="U220" s="12">
        <f t="shared" si="15"/>
        <v>0.34375</v>
      </c>
      <c r="V220" s="2">
        <f t="shared" si="16"/>
        <v>43275</v>
      </c>
      <c r="W220" s="12">
        <f t="shared" si="17"/>
        <v>0.27777777777777779</v>
      </c>
    </row>
    <row r="221" spans="1:23">
      <c r="A221">
        <f>IF(ISBLANK('Data Input'!A221),"",'Data Input'!A221)</f>
        <v>58</v>
      </c>
      <c r="B221" t="str">
        <f>IF(ISBLANK('Data Input'!B221),"",'Data Input'!B221)</f>
        <v>YT 058</v>
      </c>
      <c r="C221" t="str">
        <f>IF(ISBLANK('Data Input'!C221),"",'Data Input'!C221)</f>
        <v>6/23/18 0815</v>
      </c>
      <c r="E221" t="str">
        <f>IF(ISBLANK('Data Input'!D221),"",'Data Input'!D221)</f>
        <v>6/24/18 0640</v>
      </c>
      <c r="G221">
        <f>IF(ISBLANK('Data Input'!E221),"",'Data Input'!E221)</f>
        <v>35</v>
      </c>
      <c r="H221" t="str">
        <f>IF(ISBLANK('Data Input'!F221),"",'Data Input'!F221)</f>
        <v>White</v>
      </c>
      <c r="I221" t="str">
        <f>IF(ISBLANK('Data Input'!G221),"",'Data Input'!G221)</f>
        <v>Caesarean</v>
      </c>
      <c r="J221" t="str">
        <f>IF(ISBLANK('Data Input'!I221),"",'Data Input'!I221)</f>
        <v>6=23=18 1504</v>
      </c>
      <c r="K221" t="str">
        <f>IF(ISBLANK('Data Input'!J221),"",'Data Input'!J221)</f>
        <v>tr - Toradol</v>
      </c>
      <c r="L221">
        <f>IF(ISBLANK('Data Input'!K221),"",'Data Input'!K221)</f>
        <v>30</v>
      </c>
      <c r="M221" t="str">
        <f>IF(ISBLANK('Data Input'!L221),"",'Data Input'!L221)</f>
        <v>dd - Missing Data</v>
      </c>
      <c r="N221" t="str">
        <f>IF(ISBLANK('Data Input'!M221),"",'Data Input'!M221)</f>
        <v>dd - Missing Data</v>
      </c>
      <c r="O221">
        <f>IF(ISBLANK('Data Input'!N221),"",'Data Input'!N221)</f>
        <v>4</v>
      </c>
      <c r="P221" t="str">
        <f>IF(ISBLANK('Data Input'!O221),"",'Data Input'!O221)</f>
        <v/>
      </c>
      <c r="Q221" t="str">
        <f>IF(ISBLANK('Data Input'!P221),"",'Data Input'!P221)</f>
        <v/>
      </c>
      <c r="R221" t="b">
        <f>IF(ISBLANK('Data Input'!Q221),"",'Data Input'!Q221)</f>
        <v>0</v>
      </c>
      <c r="T221" s="2">
        <f t="shared" si="14"/>
        <v>43274</v>
      </c>
      <c r="U221" s="12">
        <f t="shared" si="15"/>
        <v>0.34375</v>
      </c>
      <c r="V221" s="2">
        <f t="shared" si="16"/>
        <v>43275</v>
      </c>
      <c r="W221" s="12">
        <f t="shared" si="17"/>
        <v>0.27777777777777779</v>
      </c>
    </row>
    <row r="222" spans="1:23">
      <c r="A222">
        <f>IF(ISBLANK('Data Input'!A222),"",'Data Input'!A222)</f>
        <v>58</v>
      </c>
      <c r="B222" t="str">
        <f>IF(ISBLANK('Data Input'!B222),"",'Data Input'!B222)</f>
        <v>YT 058</v>
      </c>
      <c r="C222" t="str">
        <f>IF(ISBLANK('Data Input'!C222),"",'Data Input'!C222)</f>
        <v>6/23/18 0815</v>
      </c>
      <c r="E222" t="str">
        <f>IF(ISBLANK('Data Input'!D222),"",'Data Input'!D222)</f>
        <v>6/24/18 0640</v>
      </c>
      <c r="G222">
        <f>IF(ISBLANK('Data Input'!E222),"",'Data Input'!E222)</f>
        <v>35</v>
      </c>
      <c r="H222" t="str">
        <f>IF(ISBLANK('Data Input'!F222),"",'Data Input'!F222)</f>
        <v>White</v>
      </c>
      <c r="I222" t="str">
        <f>IF(ISBLANK('Data Input'!G222),"",'Data Input'!G222)</f>
        <v>Caesarean</v>
      </c>
      <c r="J222" t="str">
        <f>IF(ISBLANK('Data Input'!I222),"",'Data Input'!I222)</f>
        <v>6=23=18 2130</v>
      </c>
      <c r="K222" t="str">
        <f>IF(ISBLANK('Data Input'!J222),"",'Data Input'!J222)</f>
        <v>tr - Toradol</v>
      </c>
      <c r="L222">
        <f>IF(ISBLANK('Data Input'!K222),"",'Data Input'!K222)</f>
        <v>30</v>
      </c>
      <c r="M222" t="str">
        <f>IF(ISBLANK('Data Input'!L222),"",'Data Input'!L222)</f>
        <v>dd - Missing Data</v>
      </c>
      <c r="N222" t="str">
        <f>IF(ISBLANK('Data Input'!M222),"",'Data Input'!M222)</f>
        <v>dd - Missing Data</v>
      </c>
      <c r="O222">
        <f>IF(ISBLANK('Data Input'!N222),"",'Data Input'!N222)</f>
        <v>4</v>
      </c>
      <c r="P222" t="str">
        <f>IF(ISBLANK('Data Input'!O222),"",'Data Input'!O222)</f>
        <v/>
      </c>
      <c r="Q222" t="str">
        <f>IF(ISBLANK('Data Input'!P222),"",'Data Input'!P222)</f>
        <v/>
      </c>
      <c r="R222" t="b">
        <f>IF(ISBLANK('Data Input'!Q222),"",'Data Input'!Q222)</f>
        <v>0</v>
      </c>
      <c r="T222" s="2">
        <f t="shared" si="14"/>
        <v>43274</v>
      </c>
      <c r="U222" s="12">
        <f t="shared" si="15"/>
        <v>0.34375</v>
      </c>
      <c r="V222" s="2">
        <f t="shared" si="16"/>
        <v>43275</v>
      </c>
      <c r="W222" s="12">
        <f t="shared" si="17"/>
        <v>0.27777777777777779</v>
      </c>
    </row>
    <row r="223" spans="1:23">
      <c r="A223">
        <f>IF(ISBLANK('Data Input'!A223),"",'Data Input'!A223)</f>
        <v>58</v>
      </c>
      <c r="B223" t="str">
        <f>IF(ISBLANK('Data Input'!B223),"",'Data Input'!B223)</f>
        <v>YT 058</v>
      </c>
      <c r="C223" t="str">
        <f>IF(ISBLANK('Data Input'!C223),"",'Data Input'!C223)</f>
        <v>6/23/18 0815</v>
      </c>
      <c r="E223" t="str">
        <f>IF(ISBLANK('Data Input'!D223),"",'Data Input'!D223)</f>
        <v>6/24/18 0640</v>
      </c>
      <c r="G223">
        <f>IF(ISBLANK('Data Input'!E223),"",'Data Input'!E223)</f>
        <v>35</v>
      </c>
      <c r="H223" t="str">
        <f>IF(ISBLANK('Data Input'!F223),"",'Data Input'!F223)</f>
        <v>White</v>
      </c>
      <c r="I223" t="str">
        <f>IF(ISBLANK('Data Input'!G223),"",'Data Input'!G223)</f>
        <v>Caesarean</v>
      </c>
      <c r="J223" t="str">
        <f>IF(ISBLANK('Data Input'!I223),"",'Data Input'!I223)</f>
        <v>6=24=18 0320</v>
      </c>
      <c r="K223" t="str">
        <f>IF(ISBLANK('Data Input'!J223),"",'Data Input'!J223)</f>
        <v>tr - Toradol</v>
      </c>
      <c r="L223">
        <f>IF(ISBLANK('Data Input'!K223),"",'Data Input'!K223)</f>
        <v>30</v>
      </c>
      <c r="M223" t="str">
        <f>IF(ISBLANK('Data Input'!L223),"",'Data Input'!L223)</f>
        <v>dd - Missing Data</v>
      </c>
      <c r="N223" t="str">
        <f>IF(ISBLANK('Data Input'!M223),"",'Data Input'!M223)</f>
        <v>dd - Missing Data</v>
      </c>
      <c r="O223">
        <f>IF(ISBLANK('Data Input'!N223),"",'Data Input'!N223)</f>
        <v>4</v>
      </c>
      <c r="P223" t="str">
        <f>IF(ISBLANK('Data Input'!O223),"",'Data Input'!O223)</f>
        <v/>
      </c>
      <c r="Q223" t="str">
        <f>IF(ISBLANK('Data Input'!P223),"",'Data Input'!P223)</f>
        <v/>
      </c>
      <c r="R223" t="b">
        <f>IF(ISBLANK('Data Input'!Q223),"",'Data Input'!Q223)</f>
        <v>0</v>
      </c>
      <c r="T223" s="2">
        <f t="shared" si="14"/>
        <v>43274</v>
      </c>
      <c r="U223" s="12">
        <f t="shared" si="15"/>
        <v>0.34375</v>
      </c>
      <c r="V223" s="2">
        <f t="shared" si="16"/>
        <v>43275</v>
      </c>
      <c r="W223" s="12">
        <f t="shared" si="17"/>
        <v>0.27777777777777779</v>
      </c>
    </row>
    <row r="224" spans="1:23">
      <c r="A224">
        <f>IF(ISBLANK('Data Input'!A224),"",'Data Input'!A224)</f>
        <v>58</v>
      </c>
      <c r="B224" t="str">
        <f>IF(ISBLANK('Data Input'!B224),"",'Data Input'!B224)</f>
        <v>YT 058</v>
      </c>
      <c r="C224" t="str">
        <f>IF(ISBLANK('Data Input'!C224),"",'Data Input'!C224)</f>
        <v>6/23/18 0815</v>
      </c>
      <c r="E224" t="str">
        <f>IF(ISBLANK('Data Input'!D224),"",'Data Input'!D224)</f>
        <v>6/24/18 0640</v>
      </c>
      <c r="G224">
        <f>IF(ISBLANK('Data Input'!E224),"",'Data Input'!E224)</f>
        <v>35</v>
      </c>
      <c r="H224" t="str">
        <f>IF(ISBLANK('Data Input'!F224),"",'Data Input'!F224)</f>
        <v>White</v>
      </c>
      <c r="I224" t="str">
        <f>IF(ISBLANK('Data Input'!G224),"",'Data Input'!G224)</f>
        <v>Caesarean</v>
      </c>
      <c r="J224" t="str">
        <f>IF(ISBLANK('Data Input'!I224),"",'Data Input'!I224)</f>
        <v>6=24=18 0640</v>
      </c>
      <c r="K224" t="str">
        <f>IF(ISBLANK('Data Input'!J224),"",'Data Input'!J224)</f>
        <v>rr - Percocet</v>
      </c>
      <c r="L224">
        <f>IF(ISBLANK('Data Input'!K224),"",'Data Input'!K224)</f>
        <v>1</v>
      </c>
      <c r="M224" t="str">
        <f>IF(ISBLANK('Data Input'!L224),"",'Data Input'!L224)</f>
        <v>dd - Missing Data</v>
      </c>
      <c r="N224" t="str">
        <f>IF(ISBLANK('Data Input'!M224),"",'Data Input'!M224)</f>
        <v>dd - Missing Data</v>
      </c>
      <c r="O224">
        <f>IF(ISBLANK('Data Input'!N224),"",'Data Input'!N224)</f>
        <v>1</v>
      </c>
      <c r="P224" t="str">
        <f>IF(ISBLANK('Data Input'!O224),"",'Data Input'!O224)</f>
        <v/>
      </c>
      <c r="Q224" t="str">
        <f>IF(ISBLANK('Data Input'!P224),"",'Data Input'!P224)</f>
        <v/>
      </c>
      <c r="R224" t="b">
        <f>IF(ISBLANK('Data Input'!Q224),"",'Data Input'!Q224)</f>
        <v>0</v>
      </c>
      <c r="T224" s="2">
        <f t="shared" si="14"/>
        <v>43274</v>
      </c>
      <c r="U224" s="12">
        <f t="shared" si="15"/>
        <v>0.34375</v>
      </c>
      <c r="V224" s="2">
        <f t="shared" si="16"/>
        <v>43275</v>
      </c>
      <c r="W224" s="12">
        <f t="shared" si="17"/>
        <v>0.27777777777777779</v>
      </c>
    </row>
    <row r="225" spans="1:23">
      <c r="A225">
        <f>IF(ISBLANK('Data Input'!A225),"",'Data Input'!A225)</f>
        <v>59</v>
      </c>
      <c r="B225" t="str">
        <f>IF(ISBLANK('Data Input'!B225),"",'Data Input'!B225)</f>
        <v>SH059</v>
      </c>
      <c r="C225" t="str">
        <f>IF(ISBLANK('Data Input'!C225),"",'Data Input'!C225)</f>
        <v>6/24/18 1953</v>
      </c>
      <c r="E225">
        <f>IF(ISBLANK('Data Input'!D225),"",'Data Input'!D225)</f>
        <v>43276</v>
      </c>
      <c r="G225">
        <f>IF(ISBLANK('Data Input'!E225),"",'Data Input'!E225)</f>
        <v>19</v>
      </c>
      <c r="H225" t="str">
        <f>IF(ISBLANK('Data Input'!F225),"",'Data Input'!F225)</f>
        <v>bb - Black</v>
      </c>
      <c r="I225" t="str">
        <f>IF(ISBLANK('Data Input'!G225),"",'Data Input'!G225)</f>
        <v>SVD</v>
      </c>
      <c r="J225" t="str">
        <f>IF(ISBLANK('Data Input'!I225),"",'Data Input'!I225)</f>
        <v>6=25=18 0529</v>
      </c>
      <c r="K225" t="str">
        <f>IF(ISBLANK('Data Input'!J225),"",'Data Input'!J225)</f>
        <v>bb - Ibuprofen</v>
      </c>
      <c r="L225">
        <f>IF(ISBLANK('Data Input'!K225),"",'Data Input'!K225)</f>
        <v>800</v>
      </c>
      <c r="M225" t="str">
        <f>IF(ISBLANK('Data Input'!L225),"",'Data Input'!L225)</f>
        <v>dd - Missing Data</v>
      </c>
      <c r="N225" t="str">
        <f>IF(ISBLANK('Data Input'!M225),"",'Data Input'!M225)</f>
        <v>dd - Missing Data</v>
      </c>
      <c r="O225" t="str">
        <f>IF(ISBLANK('Data Input'!N225),"",'Data Input'!N225)</f>
        <v/>
      </c>
      <c r="P225" t="str">
        <f>IF(ISBLANK('Data Input'!O225),"",'Data Input'!O225)</f>
        <v/>
      </c>
      <c r="Q225" t="str">
        <f>IF(ISBLANK('Data Input'!P225),"",'Data Input'!P225)</f>
        <v/>
      </c>
      <c r="R225" t="b">
        <f>IF(ISBLANK('Data Input'!Q225),"",'Data Input'!Q225)</f>
        <v>1</v>
      </c>
      <c r="T225" s="2">
        <f t="shared" si="14"/>
        <v>43275</v>
      </c>
      <c r="U225" s="12">
        <f t="shared" si="15"/>
        <v>0.82847222222222217</v>
      </c>
      <c r="V225" s="2">
        <f t="shared" si="16"/>
        <v>43276</v>
      </c>
      <c r="W225" s="12">
        <f t="shared" si="17"/>
        <v>43276</v>
      </c>
    </row>
    <row r="226" spans="1:23">
      <c r="A226">
        <f>IF(ISBLANK('Data Input'!A226),"",'Data Input'!A226)</f>
        <v>59</v>
      </c>
      <c r="B226" t="str">
        <f>IF(ISBLANK('Data Input'!B226),"",'Data Input'!B226)</f>
        <v>SH059</v>
      </c>
      <c r="C226" t="str">
        <f>IF(ISBLANK('Data Input'!C226),"",'Data Input'!C226)</f>
        <v>6/24/18 1953</v>
      </c>
      <c r="E226">
        <f>IF(ISBLANK('Data Input'!D226),"",'Data Input'!D226)</f>
        <v>43276</v>
      </c>
      <c r="G226">
        <f>IF(ISBLANK('Data Input'!E226),"",'Data Input'!E226)</f>
        <v>19</v>
      </c>
      <c r="H226" t="str">
        <f>IF(ISBLANK('Data Input'!F226),"",'Data Input'!F226)</f>
        <v>bb - Black</v>
      </c>
      <c r="I226" t="str">
        <f>IF(ISBLANK('Data Input'!G226),"",'Data Input'!G226)</f>
        <v>SVD</v>
      </c>
      <c r="J226" t="str">
        <f>IF(ISBLANK('Data Input'!I226),"",'Data Input'!I226)</f>
        <v>6=25=18 1223</v>
      </c>
      <c r="K226" t="str">
        <f>IF(ISBLANK('Data Input'!J226),"",'Data Input'!J226)</f>
        <v>bb - Ibuprofen</v>
      </c>
      <c r="L226">
        <f>IF(ISBLANK('Data Input'!K226),"",'Data Input'!K226)</f>
        <v>800</v>
      </c>
      <c r="M226" t="str">
        <f>IF(ISBLANK('Data Input'!L226),"",'Data Input'!L226)</f>
        <v>dd - Missing Data</v>
      </c>
      <c r="N226" t="str">
        <f>IF(ISBLANK('Data Input'!M226),"",'Data Input'!M226)</f>
        <v>dd - Missing Data</v>
      </c>
      <c r="O226" t="str">
        <f>IF(ISBLANK('Data Input'!N226),"",'Data Input'!N226)</f>
        <v/>
      </c>
      <c r="P226" t="str">
        <f>IF(ISBLANK('Data Input'!O226),"",'Data Input'!O226)</f>
        <v/>
      </c>
      <c r="Q226" t="str">
        <f>IF(ISBLANK('Data Input'!P226),"",'Data Input'!P226)</f>
        <v/>
      </c>
      <c r="R226" t="b">
        <f>IF(ISBLANK('Data Input'!Q226),"",'Data Input'!Q226)</f>
        <v>1</v>
      </c>
      <c r="T226" s="2">
        <f t="shared" si="14"/>
        <v>43275</v>
      </c>
      <c r="U226" s="12">
        <f t="shared" si="15"/>
        <v>0.82847222222222217</v>
      </c>
      <c r="V226" s="2">
        <f t="shared" si="16"/>
        <v>43276</v>
      </c>
      <c r="W226" s="12">
        <f t="shared" si="17"/>
        <v>43276</v>
      </c>
    </row>
    <row r="227" spans="1:23">
      <c r="A227">
        <f>IF(ISBLANK('Data Input'!A227),"",'Data Input'!A227)</f>
        <v>60</v>
      </c>
      <c r="B227" t="str">
        <f>IF(ISBLANK('Data Input'!B227),"",'Data Input'!B227)</f>
        <v>TJ060</v>
      </c>
      <c r="C227" t="str">
        <f>IF(ISBLANK('Data Input'!C227),"",'Data Input'!C227)</f>
        <v>6/21/18 1715</v>
      </c>
      <c r="E227" t="str">
        <f>IF(ISBLANK('Data Input'!D227),"",'Data Input'!D227)</f>
        <v>6/22/18 0702</v>
      </c>
      <c r="G227">
        <f>IF(ISBLANK('Data Input'!E227),"",'Data Input'!E227)</f>
        <v>24</v>
      </c>
      <c r="H227" t="str">
        <f>IF(ISBLANK('Data Input'!F227),"",'Data Input'!F227)</f>
        <v>bb - Black</v>
      </c>
      <c r="I227" t="str">
        <f>IF(ISBLANK('Data Input'!G227),"",'Data Input'!G227)</f>
        <v>SVD</v>
      </c>
      <c r="J227" t="str">
        <f>IF(ISBLANK('Data Input'!I227),"",'Data Input'!I227)</f>
        <v>6=21=18 2307</v>
      </c>
      <c r="K227" t="str">
        <f>IF(ISBLANK('Data Input'!J227),"",'Data Input'!J227)</f>
        <v>bb - Ibuprofen</v>
      </c>
      <c r="L227">
        <f>IF(ISBLANK('Data Input'!K227),"",'Data Input'!K227)</f>
        <v>800</v>
      </c>
      <c r="M227">
        <f>IF(ISBLANK('Data Input'!L227),"",'Data Input'!L227)</f>
        <v>1</v>
      </c>
      <c r="N227">
        <f>IF(ISBLANK('Data Input'!M227),"",'Data Input'!M227)</f>
        <v>0</v>
      </c>
      <c r="O227" t="str">
        <f>IF(ISBLANK('Data Input'!N227),"",'Data Input'!N227)</f>
        <v/>
      </c>
      <c r="P227" t="str">
        <f>IF(ISBLANK('Data Input'!O227),"",'Data Input'!O227)</f>
        <v/>
      </c>
      <c r="Q227" t="str">
        <f>IF(ISBLANK('Data Input'!P227),"",'Data Input'!P227)</f>
        <v/>
      </c>
      <c r="R227" t="b">
        <f>IF(ISBLANK('Data Input'!Q227),"",'Data Input'!Q227)</f>
        <v>0</v>
      </c>
      <c r="T227" s="2">
        <f t="shared" si="14"/>
        <v>43272</v>
      </c>
      <c r="U227" s="12">
        <f t="shared" si="15"/>
        <v>0.71875</v>
      </c>
      <c r="V227" s="2">
        <f t="shared" si="16"/>
        <v>43273</v>
      </c>
      <c r="W227" s="12">
        <f t="shared" si="17"/>
        <v>0.29305555555555557</v>
      </c>
    </row>
    <row r="228" spans="1:23">
      <c r="A228">
        <f>IF(ISBLANK('Data Input'!A228),"",'Data Input'!A228)</f>
        <v>60</v>
      </c>
      <c r="B228" t="str">
        <f>IF(ISBLANK('Data Input'!B228),"",'Data Input'!B228)</f>
        <v>TJ060</v>
      </c>
      <c r="C228" t="str">
        <f>IF(ISBLANK('Data Input'!C228),"",'Data Input'!C228)</f>
        <v>6/21/18 1715</v>
      </c>
      <c r="E228" t="str">
        <f>IF(ISBLANK('Data Input'!D228),"",'Data Input'!D228)</f>
        <v>6/22/18 0702</v>
      </c>
      <c r="G228">
        <f>IF(ISBLANK('Data Input'!E228),"",'Data Input'!E228)</f>
        <v>24</v>
      </c>
      <c r="H228" t="str">
        <f>IF(ISBLANK('Data Input'!F228),"",'Data Input'!F228)</f>
        <v>bb - Black</v>
      </c>
      <c r="I228" t="str">
        <f>IF(ISBLANK('Data Input'!G228),"",'Data Input'!G228)</f>
        <v>SVD</v>
      </c>
      <c r="J228" t="str">
        <f>IF(ISBLANK('Data Input'!I228),"",'Data Input'!I228)</f>
        <v>6=22=18 0902</v>
      </c>
      <c r="K228" t="str">
        <f>IF(ISBLANK('Data Input'!J228),"",'Data Input'!J228)</f>
        <v>bb - Ibuprofen</v>
      </c>
      <c r="L228">
        <f>IF(ISBLANK('Data Input'!K228),"",'Data Input'!K228)</f>
        <v>800</v>
      </c>
      <c r="M228">
        <f>IF(ISBLANK('Data Input'!L228),"",'Data Input'!L228)</f>
        <v>0</v>
      </c>
      <c r="N228">
        <f>IF(ISBLANK('Data Input'!M228),"",'Data Input'!M228)</f>
        <v>0</v>
      </c>
      <c r="O228" t="str">
        <f>IF(ISBLANK('Data Input'!N228),"",'Data Input'!N228)</f>
        <v/>
      </c>
      <c r="P228" t="str">
        <f>IF(ISBLANK('Data Input'!O228),"",'Data Input'!O228)</f>
        <v/>
      </c>
      <c r="Q228" t="str">
        <f>IF(ISBLANK('Data Input'!P228),"",'Data Input'!P228)</f>
        <v/>
      </c>
      <c r="R228" t="b">
        <f>IF(ISBLANK('Data Input'!Q228),"",'Data Input'!Q228)</f>
        <v>0</v>
      </c>
      <c r="T228" s="2">
        <f t="shared" si="14"/>
        <v>43272</v>
      </c>
      <c r="U228" s="12">
        <f t="shared" si="15"/>
        <v>0.71875</v>
      </c>
      <c r="V228" s="2">
        <f t="shared" si="16"/>
        <v>43273</v>
      </c>
      <c r="W228" s="12">
        <f t="shared" si="17"/>
        <v>0.29305555555555557</v>
      </c>
    </row>
    <row r="229" spans="1:23">
      <c r="A229">
        <f>IF(ISBLANK('Data Input'!A229),"",'Data Input'!A229)</f>
        <v>61</v>
      </c>
      <c r="B229" t="str">
        <f>IF(ISBLANK('Data Input'!B229),"",'Data Input'!B229)</f>
        <v>JM061</v>
      </c>
      <c r="C229" t="str">
        <f>IF(ISBLANK('Data Input'!C229),"",'Data Input'!C229)</f>
        <v>6/22/18 1050</v>
      </c>
      <c r="E229" t="str">
        <f>IF(ISBLANK('Data Input'!D229),"",'Data Input'!D229)</f>
        <v>6/23/18 0609</v>
      </c>
      <c r="G229">
        <f>IF(ISBLANK('Data Input'!E229),"",'Data Input'!E229)</f>
        <v>31</v>
      </c>
      <c r="H229" t="str">
        <f>IF(ISBLANK('Data Input'!F229),"",'Data Input'!F229)</f>
        <v>White</v>
      </c>
      <c r="I229" t="str">
        <f>IF(ISBLANK('Data Input'!G229),"",'Data Input'!G229)</f>
        <v>Caesarean</v>
      </c>
      <c r="J229" t="str">
        <f>IF(ISBLANK('Data Input'!I229),"",'Data Input'!I229)</f>
        <v>6=22=18 1234</v>
      </c>
      <c r="K229" t="str">
        <f>IF(ISBLANK('Data Input'!J229),"",'Data Input'!J229)</f>
        <v>tr - Toradol</v>
      </c>
      <c r="L229">
        <f>IF(ISBLANK('Data Input'!K229),"",'Data Input'!K229)</f>
        <v>30</v>
      </c>
      <c r="M229">
        <f>IF(ISBLANK('Data Input'!L229),"",'Data Input'!L229)</f>
        <v>7</v>
      </c>
      <c r="N229">
        <f>IF(ISBLANK('Data Input'!M229),"",'Data Input'!M229)</f>
        <v>4</v>
      </c>
      <c r="O229" t="str">
        <f>IF(ISBLANK('Data Input'!N229),"",'Data Input'!N229)</f>
        <v/>
      </c>
      <c r="P229" t="str">
        <f>IF(ISBLANK('Data Input'!O229),"",'Data Input'!O229)</f>
        <v/>
      </c>
      <c r="Q229" t="str">
        <f>IF(ISBLANK('Data Input'!P229),"",'Data Input'!P229)</f>
        <v/>
      </c>
      <c r="R229" t="b">
        <f>IF(ISBLANK('Data Input'!Q229),"",'Data Input'!Q229)</f>
        <v>1</v>
      </c>
      <c r="T229" s="2">
        <f t="shared" si="14"/>
        <v>43273</v>
      </c>
      <c r="U229" s="12">
        <f t="shared" si="15"/>
        <v>0.4513888888888889</v>
      </c>
      <c r="V229" s="2">
        <f t="shared" si="16"/>
        <v>43274</v>
      </c>
      <c r="W229" s="12">
        <f t="shared" si="17"/>
        <v>0.25625000000000003</v>
      </c>
    </row>
    <row r="230" spans="1:23">
      <c r="A230">
        <f>IF(ISBLANK('Data Input'!A230),"",'Data Input'!A230)</f>
        <v>61</v>
      </c>
      <c r="B230" t="str">
        <f>IF(ISBLANK('Data Input'!B230),"",'Data Input'!B230)</f>
        <v>JM061</v>
      </c>
      <c r="C230" t="str">
        <f>IF(ISBLANK('Data Input'!C230),"",'Data Input'!C230)</f>
        <v>6/22/18 1050</v>
      </c>
      <c r="E230" t="str">
        <f>IF(ISBLANK('Data Input'!D230),"",'Data Input'!D230)</f>
        <v>6/23/18 0609</v>
      </c>
      <c r="G230">
        <f>IF(ISBLANK('Data Input'!E230),"",'Data Input'!E230)</f>
        <v>31</v>
      </c>
      <c r="H230" t="str">
        <f>IF(ISBLANK('Data Input'!F230),"",'Data Input'!F230)</f>
        <v>White</v>
      </c>
      <c r="I230" t="str">
        <f>IF(ISBLANK('Data Input'!G230),"",'Data Input'!G230)</f>
        <v>Caesarean</v>
      </c>
      <c r="J230" t="str">
        <f>IF(ISBLANK('Data Input'!I230),"",'Data Input'!I230)</f>
        <v>6=22=18 1822</v>
      </c>
      <c r="K230" t="str">
        <f>IF(ISBLANK('Data Input'!J230),"",'Data Input'!J230)</f>
        <v>tr - Toradol</v>
      </c>
      <c r="L230">
        <f>IF(ISBLANK('Data Input'!K230),"",'Data Input'!K230)</f>
        <v>30</v>
      </c>
      <c r="M230">
        <f>IF(ISBLANK('Data Input'!L230),"",'Data Input'!L230)</f>
        <v>2</v>
      </c>
      <c r="N230">
        <f>IF(ISBLANK('Data Input'!M230),"",'Data Input'!M230)</f>
        <v>0</v>
      </c>
      <c r="O230" t="str">
        <f>IF(ISBLANK('Data Input'!N230),"",'Data Input'!N230)</f>
        <v/>
      </c>
      <c r="P230" t="str">
        <f>IF(ISBLANK('Data Input'!O230),"",'Data Input'!O230)</f>
        <v/>
      </c>
      <c r="Q230" t="str">
        <f>IF(ISBLANK('Data Input'!P230),"",'Data Input'!P230)</f>
        <v/>
      </c>
      <c r="R230" t="b">
        <f>IF(ISBLANK('Data Input'!Q230),"",'Data Input'!Q230)</f>
        <v>1</v>
      </c>
      <c r="T230" s="2">
        <f t="shared" si="14"/>
        <v>43273</v>
      </c>
      <c r="U230" s="12">
        <f t="shared" si="15"/>
        <v>0.4513888888888889</v>
      </c>
      <c r="V230" s="2">
        <f t="shared" si="16"/>
        <v>43274</v>
      </c>
      <c r="W230" s="12">
        <f t="shared" si="17"/>
        <v>0.25625000000000003</v>
      </c>
    </row>
    <row r="231" spans="1:23">
      <c r="A231">
        <f>IF(ISBLANK('Data Input'!A231),"",'Data Input'!A231)</f>
        <v>61</v>
      </c>
      <c r="B231" t="str">
        <f>IF(ISBLANK('Data Input'!B231),"",'Data Input'!B231)</f>
        <v>JM061</v>
      </c>
      <c r="C231" t="str">
        <f>IF(ISBLANK('Data Input'!C231),"",'Data Input'!C231)</f>
        <v>6/22/18 1050</v>
      </c>
      <c r="E231" t="str">
        <f>IF(ISBLANK('Data Input'!D231),"",'Data Input'!D231)</f>
        <v>6/23/18 0609</v>
      </c>
      <c r="G231">
        <f>IF(ISBLANK('Data Input'!E231),"",'Data Input'!E231)</f>
        <v>31</v>
      </c>
      <c r="H231" t="str">
        <f>IF(ISBLANK('Data Input'!F231),"",'Data Input'!F231)</f>
        <v>White</v>
      </c>
      <c r="I231" t="str">
        <f>IF(ISBLANK('Data Input'!G231),"",'Data Input'!G231)</f>
        <v>Caesarean</v>
      </c>
      <c r="J231" t="str">
        <f>IF(ISBLANK('Data Input'!I231),"",'Data Input'!I231)</f>
        <v>6=23=18 0000</v>
      </c>
      <c r="K231" t="str">
        <f>IF(ISBLANK('Data Input'!J231),"",'Data Input'!J231)</f>
        <v>tr - Toradol</v>
      </c>
      <c r="L231">
        <f>IF(ISBLANK('Data Input'!K231),"",'Data Input'!K231)</f>
        <v>30</v>
      </c>
      <c r="M231">
        <f>IF(ISBLANK('Data Input'!L231),"",'Data Input'!L231)</f>
        <v>3</v>
      </c>
      <c r="N231">
        <f>IF(ISBLANK('Data Input'!M231),"",'Data Input'!M231)</f>
        <v>0</v>
      </c>
      <c r="O231" t="str">
        <f>IF(ISBLANK('Data Input'!N231),"",'Data Input'!N231)</f>
        <v/>
      </c>
      <c r="P231" t="str">
        <f>IF(ISBLANK('Data Input'!O231),"",'Data Input'!O231)</f>
        <v/>
      </c>
      <c r="Q231" t="str">
        <f>IF(ISBLANK('Data Input'!P231),"",'Data Input'!P231)</f>
        <v/>
      </c>
      <c r="R231" t="b">
        <f>IF(ISBLANK('Data Input'!Q231),"",'Data Input'!Q231)</f>
        <v>1</v>
      </c>
      <c r="T231" s="2">
        <f t="shared" si="14"/>
        <v>43273</v>
      </c>
      <c r="U231" s="12">
        <f t="shared" si="15"/>
        <v>0.4513888888888889</v>
      </c>
      <c r="V231" s="2">
        <f t="shared" si="16"/>
        <v>43274</v>
      </c>
      <c r="W231" s="12">
        <f t="shared" si="17"/>
        <v>0.25625000000000003</v>
      </c>
    </row>
    <row r="232" spans="1:23">
      <c r="A232">
        <f>IF(ISBLANK('Data Input'!A232),"",'Data Input'!A232)</f>
        <v>61</v>
      </c>
      <c r="B232" t="str">
        <f>IF(ISBLANK('Data Input'!B232),"",'Data Input'!B232)</f>
        <v>JM061</v>
      </c>
      <c r="C232" t="str">
        <f>IF(ISBLANK('Data Input'!C232),"",'Data Input'!C232)</f>
        <v>6/22/18 1050</v>
      </c>
      <c r="E232" t="str">
        <f>IF(ISBLANK('Data Input'!D232),"",'Data Input'!D232)</f>
        <v>6/23/18 0609</v>
      </c>
      <c r="G232">
        <f>IF(ISBLANK('Data Input'!E232),"",'Data Input'!E232)</f>
        <v>31</v>
      </c>
      <c r="H232" t="str">
        <f>IF(ISBLANK('Data Input'!F232),"",'Data Input'!F232)</f>
        <v>White</v>
      </c>
      <c r="I232" t="str">
        <f>IF(ISBLANK('Data Input'!G232),"",'Data Input'!G232)</f>
        <v>Caesarean</v>
      </c>
      <c r="J232" t="str">
        <f>IF(ISBLANK('Data Input'!I232),"",'Data Input'!I232)</f>
        <v>6=23=18 0609</v>
      </c>
      <c r="K232" t="str">
        <f>IF(ISBLANK('Data Input'!J232),"",'Data Input'!J232)</f>
        <v>tr - Toradol</v>
      </c>
      <c r="L232">
        <f>IF(ISBLANK('Data Input'!K232),"",'Data Input'!K232)</f>
        <v>30</v>
      </c>
      <c r="M232">
        <f>IF(ISBLANK('Data Input'!L232),"",'Data Input'!L232)</f>
        <v>5</v>
      </c>
      <c r="N232">
        <f>IF(ISBLANK('Data Input'!M232),"",'Data Input'!M232)</f>
        <v>3</v>
      </c>
      <c r="O232" t="str">
        <f>IF(ISBLANK('Data Input'!N232),"",'Data Input'!N232)</f>
        <v/>
      </c>
      <c r="P232" t="str">
        <f>IF(ISBLANK('Data Input'!O232),"",'Data Input'!O232)</f>
        <v/>
      </c>
      <c r="Q232" t="str">
        <f>IF(ISBLANK('Data Input'!P232),"",'Data Input'!P232)</f>
        <v/>
      </c>
      <c r="R232" t="b">
        <f>IF(ISBLANK('Data Input'!Q232),"",'Data Input'!Q232)</f>
        <v>1</v>
      </c>
      <c r="T232" s="2">
        <f t="shared" si="14"/>
        <v>43273</v>
      </c>
      <c r="U232" s="12">
        <f t="shared" si="15"/>
        <v>0.4513888888888889</v>
      </c>
      <c r="V232" s="2">
        <f t="shared" si="16"/>
        <v>43274</v>
      </c>
      <c r="W232" s="12">
        <f t="shared" si="17"/>
        <v>0.25625000000000003</v>
      </c>
    </row>
    <row r="233" spans="1:23">
      <c r="A233">
        <f>IF(ISBLANK('Data Input'!A233),"",'Data Input'!A233)</f>
        <v>62</v>
      </c>
      <c r="B233" t="str">
        <f>IF(ISBLANK('Data Input'!B233),"",'Data Input'!B233)</f>
        <v>KL062</v>
      </c>
      <c r="C233" t="str">
        <f>IF(ISBLANK('Data Input'!C233),"",'Data Input'!C233)</f>
        <v>6/25/18 0000</v>
      </c>
      <c r="E233" t="str">
        <f>IF(ISBLANK('Data Input'!D233),"",'Data Input'!D233)</f>
        <v>6/26/18 0000</v>
      </c>
      <c r="G233">
        <f>IF(ISBLANK('Data Input'!E233),"",'Data Input'!E233)</f>
        <v>37</v>
      </c>
      <c r="H233" t="str">
        <f>IF(ISBLANK('Data Input'!F233),"",'Data Input'!F233)</f>
        <v>White</v>
      </c>
      <c r="I233" t="str">
        <f>IF(ISBLANK('Data Input'!G233),"",'Data Input'!G233)</f>
        <v>SVD</v>
      </c>
      <c r="J233" t="str">
        <f>IF(ISBLANK('Data Input'!I233),"",'Data Input'!I233)</f>
        <v>NA</v>
      </c>
      <c r="K233" t="str">
        <f>IF(ISBLANK('Data Input'!J233),"",'Data Input'!J233)</f>
        <v>NA</v>
      </c>
      <c r="L233" t="str">
        <f>IF(ISBLANK('Data Input'!K233),"",'Data Input'!K233)</f>
        <v>NA</v>
      </c>
      <c r="M233" t="str">
        <f>IF(ISBLANK('Data Input'!L233),"",'Data Input'!L233)</f>
        <v>NA</v>
      </c>
      <c r="N233" t="str">
        <f>IF(ISBLANK('Data Input'!M233),"",'Data Input'!M233)</f>
        <v>NA</v>
      </c>
      <c r="O233" t="str">
        <f>IF(ISBLANK('Data Input'!N233),"",'Data Input'!N233)</f>
        <v/>
      </c>
      <c r="P233" t="str">
        <f>IF(ISBLANK('Data Input'!O233),"",'Data Input'!O233)</f>
        <v/>
      </c>
      <c r="Q233" t="str">
        <f>IF(ISBLANK('Data Input'!P233),"",'Data Input'!P233)</f>
        <v/>
      </c>
      <c r="R233" t="b">
        <f>IF(ISBLANK('Data Input'!Q233),"",'Data Input'!Q233)</f>
        <v>0</v>
      </c>
      <c r="T233" s="2">
        <f t="shared" si="14"/>
        <v>43276</v>
      </c>
      <c r="U233" s="12">
        <f t="shared" si="15"/>
        <v>0</v>
      </c>
      <c r="V233" s="2">
        <f t="shared" si="16"/>
        <v>43277</v>
      </c>
      <c r="W233" s="12">
        <f t="shared" si="17"/>
        <v>0</v>
      </c>
    </row>
    <row r="234" spans="1:23">
      <c r="A234">
        <f>IF(ISBLANK('Data Input'!A234),"",'Data Input'!A234)</f>
        <v>63</v>
      </c>
      <c r="B234" t="str">
        <f>IF(ISBLANK('Data Input'!B234),"",'Data Input'!B234)</f>
        <v>MS063</v>
      </c>
      <c r="C234" t="str">
        <f>IF(ISBLANK('Data Input'!C234),"",'Data Input'!C234)</f>
        <v>6/25/18 1420</v>
      </c>
      <c r="E234" t="str">
        <f>IF(ISBLANK('Data Input'!D234),"",'Data Input'!D234)</f>
        <v>6/26/18 0622</v>
      </c>
      <c r="G234">
        <f>IF(ISBLANK('Data Input'!E234),"",'Data Input'!E234)</f>
        <v>30</v>
      </c>
      <c r="H234" t="str">
        <f>IF(ISBLANK('Data Input'!F234),"",'Data Input'!F234)</f>
        <v>White</v>
      </c>
      <c r="I234" t="str">
        <f>IF(ISBLANK('Data Input'!G234),"",'Data Input'!G234)</f>
        <v>SVD</v>
      </c>
      <c r="J234" t="str">
        <f>IF(ISBLANK('Data Input'!I234),"",'Data Input'!I234)</f>
        <v>6=25=18 1822</v>
      </c>
      <c r="K234" t="str">
        <f>IF(ISBLANK('Data Input'!J234),"",'Data Input'!J234)</f>
        <v>bb - Ibuprofen</v>
      </c>
      <c r="L234">
        <f>IF(ISBLANK('Data Input'!K234),"",'Data Input'!K234)</f>
        <v>800</v>
      </c>
      <c r="M234">
        <f>IF(ISBLANK('Data Input'!L234),"",'Data Input'!L234)</f>
        <v>1</v>
      </c>
      <c r="N234">
        <f>IF(ISBLANK('Data Input'!M234),"",'Data Input'!M234)</f>
        <v>2</v>
      </c>
      <c r="O234" t="str">
        <f>IF(ISBLANK('Data Input'!N234),"",'Data Input'!N234)</f>
        <v/>
      </c>
      <c r="P234" t="str">
        <f>IF(ISBLANK('Data Input'!O234),"",'Data Input'!O234)</f>
        <v/>
      </c>
      <c r="Q234" t="str">
        <f>IF(ISBLANK('Data Input'!P234),"",'Data Input'!P234)</f>
        <v/>
      </c>
      <c r="R234" t="b">
        <f>IF(ISBLANK('Data Input'!Q234),"",'Data Input'!Q234)</f>
        <v>1</v>
      </c>
      <c r="T234" s="2">
        <f t="shared" si="14"/>
        <v>43276</v>
      </c>
      <c r="U234" s="12">
        <f t="shared" si="15"/>
        <v>0.59722222222222221</v>
      </c>
      <c r="V234" s="2">
        <f t="shared" si="16"/>
        <v>43277</v>
      </c>
      <c r="W234" s="12">
        <f t="shared" si="17"/>
        <v>0.26527777777777778</v>
      </c>
    </row>
    <row r="235" spans="1:23">
      <c r="A235">
        <f>IF(ISBLANK('Data Input'!A235),"",'Data Input'!A235)</f>
        <v>63</v>
      </c>
      <c r="B235" t="str">
        <f>IF(ISBLANK('Data Input'!B235),"",'Data Input'!B235)</f>
        <v>MS063</v>
      </c>
      <c r="C235" t="str">
        <f>IF(ISBLANK('Data Input'!C235),"",'Data Input'!C235)</f>
        <v>6/25/18 1420</v>
      </c>
      <c r="E235" t="str">
        <f>IF(ISBLANK('Data Input'!D235),"",'Data Input'!D235)</f>
        <v>6/26/18 0622</v>
      </c>
      <c r="G235">
        <f>IF(ISBLANK('Data Input'!E235),"",'Data Input'!E235)</f>
        <v>30</v>
      </c>
      <c r="H235" t="str">
        <f>IF(ISBLANK('Data Input'!F235),"",'Data Input'!F235)</f>
        <v>White</v>
      </c>
      <c r="I235" t="str">
        <f>IF(ISBLANK('Data Input'!G235),"",'Data Input'!G235)</f>
        <v>SVD</v>
      </c>
      <c r="J235" t="str">
        <f>IF(ISBLANK('Data Input'!I235),"",'Data Input'!I235)</f>
        <v>6=26=18 0030</v>
      </c>
      <c r="K235" t="str">
        <f>IF(ISBLANK('Data Input'!J235),"",'Data Input'!J235)</f>
        <v>bb - Ibuprofen</v>
      </c>
      <c r="L235">
        <f>IF(ISBLANK('Data Input'!K235),"",'Data Input'!K235)</f>
        <v>800</v>
      </c>
      <c r="M235">
        <f>IF(ISBLANK('Data Input'!L235),"",'Data Input'!L235)</f>
        <v>4</v>
      </c>
      <c r="N235">
        <f>IF(ISBLANK('Data Input'!M235),"",'Data Input'!M235)</f>
        <v>1</v>
      </c>
      <c r="O235" t="str">
        <f>IF(ISBLANK('Data Input'!N235),"",'Data Input'!N235)</f>
        <v/>
      </c>
      <c r="P235" t="str">
        <f>IF(ISBLANK('Data Input'!O235),"",'Data Input'!O235)</f>
        <v/>
      </c>
      <c r="Q235" t="str">
        <f>IF(ISBLANK('Data Input'!P235),"",'Data Input'!P235)</f>
        <v/>
      </c>
      <c r="R235" t="b">
        <f>IF(ISBLANK('Data Input'!Q235),"",'Data Input'!Q235)</f>
        <v>1</v>
      </c>
      <c r="T235" s="2">
        <f t="shared" si="14"/>
        <v>43276</v>
      </c>
      <c r="U235" s="12">
        <f t="shared" si="15"/>
        <v>0.59722222222222221</v>
      </c>
      <c r="V235" s="2">
        <f t="shared" si="16"/>
        <v>43277</v>
      </c>
      <c r="W235" s="12">
        <f t="shared" si="17"/>
        <v>0.26527777777777778</v>
      </c>
    </row>
    <row r="236" spans="1:23">
      <c r="A236">
        <f>IF(ISBLANK('Data Input'!A236),"",'Data Input'!A236)</f>
        <v>63</v>
      </c>
      <c r="B236" t="str">
        <f>IF(ISBLANK('Data Input'!B236),"",'Data Input'!B236)</f>
        <v>MS063</v>
      </c>
      <c r="C236" t="str">
        <f>IF(ISBLANK('Data Input'!C236),"",'Data Input'!C236)</f>
        <v>6/25/18 1420</v>
      </c>
      <c r="E236" t="str">
        <f>IF(ISBLANK('Data Input'!D236),"",'Data Input'!D236)</f>
        <v>6/26/18 0622</v>
      </c>
      <c r="G236">
        <f>IF(ISBLANK('Data Input'!E236),"",'Data Input'!E236)</f>
        <v>30</v>
      </c>
      <c r="H236" t="str">
        <f>IF(ISBLANK('Data Input'!F236),"",'Data Input'!F236)</f>
        <v>White</v>
      </c>
      <c r="I236" t="str">
        <f>IF(ISBLANK('Data Input'!G236),"",'Data Input'!G236)</f>
        <v>SVD</v>
      </c>
      <c r="J236" t="str">
        <f>IF(ISBLANK('Data Input'!I236),"",'Data Input'!I236)</f>
        <v>6=26=18 0622</v>
      </c>
      <c r="K236" t="str">
        <f>IF(ISBLANK('Data Input'!J236),"",'Data Input'!J236)</f>
        <v>bb - Ibuprofen</v>
      </c>
      <c r="L236">
        <f>IF(ISBLANK('Data Input'!K236),"",'Data Input'!K236)</f>
        <v>800</v>
      </c>
      <c r="M236">
        <f>IF(ISBLANK('Data Input'!L236),"",'Data Input'!L236)</f>
        <v>3</v>
      </c>
      <c r="N236">
        <f>IF(ISBLANK('Data Input'!M236),"",'Data Input'!M236)</f>
        <v>2</v>
      </c>
      <c r="O236" t="str">
        <f>IF(ISBLANK('Data Input'!N236),"",'Data Input'!N236)</f>
        <v/>
      </c>
      <c r="P236" t="str">
        <f>IF(ISBLANK('Data Input'!O236),"",'Data Input'!O236)</f>
        <v/>
      </c>
      <c r="Q236" t="str">
        <f>IF(ISBLANK('Data Input'!P236),"",'Data Input'!P236)</f>
        <v/>
      </c>
      <c r="R236" t="b">
        <f>IF(ISBLANK('Data Input'!Q236),"",'Data Input'!Q236)</f>
        <v>1</v>
      </c>
      <c r="T236" s="2">
        <f t="shared" si="14"/>
        <v>43276</v>
      </c>
      <c r="U236" s="12">
        <f t="shared" si="15"/>
        <v>0.59722222222222221</v>
      </c>
      <c r="V236" s="2">
        <f t="shared" si="16"/>
        <v>43277</v>
      </c>
      <c r="W236" s="12">
        <f t="shared" si="17"/>
        <v>0.26527777777777778</v>
      </c>
    </row>
    <row r="237" spans="1:23">
      <c r="A237">
        <f>IF(ISBLANK('Data Input'!A237),"",'Data Input'!A237)</f>
        <v>64</v>
      </c>
      <c r="B237" t="str">
        <f>IF(ISBLANK('Data Input'!B237),"",'Data Input'!B237)</f>
        <v>MG064</v>
      </c>
      <c r="C237" t="str">
        <f>IF(ISBLANK('Data Input'!C237),"",'Data Input'!C237)</f>
        <v>6/26/18 1330</v>
      </c>
      <c r="E237" t="str">
        <f>IF(ISBLANK('Data Input'!D237),"",'Data Input'!D237)</f>
        <v>6/27/18 0725</v>
      </c>
      <c r="G237">
        <f>IF(ISBLANK('Data Input'!E237),"",'Data Input'!E237)</f>
        <v>31</v>
      </c>
      <c r="H237" t="str">
        <f>IF(ISBLANK('Data Input'!F237),"",'Data Input'!F237)</f>
        <v>Asian</v>
      </c>
      <c r="I237" t="str">
        <f>IF(ISBLANK('Data Input'!G237),"",'Data Input'!G237)</f>
        <v>SVD</v>
      </c>
      <c r="J237" t="str">
        <f>IF(ISBLANK('Data Input'!I237),"",'Data Input'!I237)</f>
        <v>6=26=18 1938</v>
      </c>
      <c r="K237" t="str">
        <f>IF(ISBLANK('Data Input'!J237),"",'Data Input'!J237)</f>
        <v>bb - Ibuprofen</v>
      </c>
      <c r="L237">
        <f>IF(ISBLANK('Data Input'!K237),"",'Data Input'!K237)</f>
        <v>800</v>
      </c>
      <c r="M237">
        <f>IF(ISBLANK('Data Input'!L237),"",'Data Input'!L237)</f>
        <v>5</v>
      </c>
      <c r="N237">
        <f>IF(ISBLANK('Data Input'!M237),"",'Data Input'!M237)</f>
        <v>2</v>
      </c>
      <c r="O237" t="str">
        <f>IF(ISBLANK('Data Input'!N237),"",'Data Input'!N237)</f>
        <v/>
      </c>
      <c r="P237" t="str">
        <f>IF(ISBLANK('Data Input'!O237),"",'Data Input'!O237)</f>
        <v/>
      </c>
      <c r="Q237" t="str">
        <f>IF(ISBLANK('Data Input'!P237),"",'Data Input'!P237)</f>
        <v/>
      </c>
      <c r="R237" t="b">
        <f>IF(ISBLANK('Data Input'!Q237),"",'Data Input'!Q237)</f>
        <v>0</v>
      </c>
      <c r="T237" s="2">
        <f t="shared" si="14"/>
        <v>43277</v>
      </c>
      <c r="U237" s="12">
        <f t="shared" si="15"/>
        <v>0.5625</v>
      </c>
      <c r="V237" s="2">
        <f t="shared" si="16"/>
        <v>43278</v>
      </c>
      <c r="W237" s="12">
        <f t="shared" si="17"/>
        <v>0.30902777777777779</v>
      </c>
    </row>
    <row r="238" spans="1:23">
      <c r="A238">
        <f>IF(ISBLANK('Data Input'!A238),"",'Data Input'!A238)</f>
        <v>64</v>
      </c>
      <c r="B238" t="str">
        <f>IF(ISBLANK('Data Input'!B238),"",'Data Input'!B238)</f>
        <v>MG064</v>
      </c>
      <c r="C238" t="str">
        <f>IF(ISBLANK('Data Input'!C238),"",'Data Input'!C238)</f>
        <v>6/26/18 1330</v>
      </c>
      <c r="E238" t="str">
        <f>IF(ISBLANK('Data Input'!D238),"",'Data Input'!D238)</f>
        <v>6/27/18 0725</v>
      </c>
      <c r="G238">
        <f>IF(ISBLANK('Data Input'!E238),"",'Data Input'!E238)</f>
        <v>31</v>
      </c>
      <c r="H238" t="str">
        <f>IF(ISBLANK('Data Input'!F238),"",'Data Input'!F238)</f>
        <v>Asian</v>
      </c>
      <c r="I238" t="str">
        <f>IF(ISBLANK('Data Input'!G238),"",'Data Input'!G238)</f>
        <v>SVD</v>
      </c>
      <c r="J238" t="str">
        <f>IF(ISBLANK('Data Input'!I238),"",'Data Input'!I238)</f>
        <v>6=27=18 0730</v>
      </c>
      <c r="K238" t="str">
        <f>IF(ISBLANK('Data Input'!J238),"",'Data Input'!J238)</f>
        <v>bb - Ibuprofen</v>
      </c>
      <c r="L238">
        <f>IF(ISBLANK('Data Input'!K238),"",'Data Input'!K238)</f>
        <v>800</v>
      </c>
      <c r="M238">
        <f>IF(ISBLANK('Data Input'!L238),"",'Data Input'!L238)</f>
        <v>3</v>
      </c>
      <c r="N238">
        <f>IF(ISBLANK('Data Input'!M238),"",'Data Input'!M238)</f>
        <v>0</v>
      </c>
      <c r="O238" t="str">
        <f>IF(ISBLANK('Data Input'!N238),"",'Data Input'!N238)</f>
        <v/>
      </c>
      <c r="P238" t="str">
        <f>IF(ISBLANK('Data Input'!O238),"",'Data Input'!O238)</f>
        <v/>
      </c>
      <c r="Q238" t="str">
        <f>IF(ISBLANK('Data Input'!P238),"",'Data Input'!P238)</f>
        <v/>
      </c>
      <c r="R238" t="b">
        <f>IF(ISBLANK('Data Input'!Q238),"",'Data Input'!Q238)</f>
        <v>0</v>
      </c>
      <c r="T238" s="2">
        <f t="shared" si="14"/>
        <v>43277</v>
      </c>
      <c r="U238" s="12">
        <f t="shared" si="15"/>
        <v>0.5625</v>
      </c>
      <c r="V238" s="2">
        <f t="shared" si="16"/>
        <v>43278</v>
      </c>
      <c r="W238" s="12">
        <f t="shared" si="17"/>
        <v>0.30902777777777779</v>
      </c>
    </row>
    <row r="239" spans="1:23">
      <c r="A239">
        <f>IF(ISBLANK('Data Input'!A239),"",'Data Input'!A239)</f>
        <v>65</v>
      </c>
      <c r="B239" t="str">
        <f>IF(ISBLANK('Data Input'!B239),"",'Data Input'!B239)</f>
        <v>AR065</v>
      </c>
      <c r="C239" t="str">
        <f>IF(ISBLANK('Data Input'!C239),"",'Data Input'!C239)</f>
        <v>6/25/18 1530</v>
      </c>
      <c r="E239" t="str">
        <f>IF(ISBLANK('Data Input'!D239),"",'Data Input'!D239)</f>
        <v>6/26/18 0130</v>
      </c>
      <c r="G239">
        <f>IF(ISBLANK('Data Input'!E239),"",'Data Input'!E239)</f>
        <v>29</v>
      </c>
      <c r="H239" t="str">
        <f>IF(ISBLANK('Data Input'!F239),"",'Data Input'!F239)</f>
        <v>bb - Black</v>
      </c>
      <c r="I239" t="str">
        <f>IF(ISBLANK('Data Input'!G239),"",'Data Input'!G239)</f>
        <v>Caesarean</v>
      </c>
      <c r="J239" t="str">
        <f>IF(ISBLANK('Data Input'!I239),"",'Data Input'!I239)</f>
        <v>6=25=18 1942</v>
      </c>
      <c r="K239" t="str">
        <f>IF(ISBLANK('Data Input'!J239),"",'Data Input'!J239)</f>
        <v>tr - Toradol</v>
      </c>
      <c r="L239">
        <f>IF(ISBLANK('Data Input'!K239),"",'Data Input'!K239)</f>
        <v>30</v>
      </c>
      <c r="M239">
        <f>IF(ISBLANK('Data Input'!L239),"",'Data Input'!L239)</f>
        <v>1</v>
      </c>
      <c r="N239">
        <f>IF(ISBLANK('Data Input'!M239),"",'Data Input'!M239)</f>
        <v>1</v>
      </c>
      <c r="O239" t="str">
        <f>IF(ISBLANK('Data Input'!N239),"",'Data Input'!N239)</f>
        <v/>
      </c>
      <c r="P239" t="str">
        <f>IF(ISBLANK('Data Input'!O239),"",'Data Input'!O239)</f>
        <v/>
      </c>
      <c r="Q239" t="str">
        <f>IF(ISBLANK('Data Input'!P239),"",'Data Input'!P239)</f>
        <v/>
      </c>
      <c r="R239" t="b">
        <f>IF(ISBLANK('Data Input'!Q239),"",'Data Input'!Q239)</f>
        <v>1</v>
      </c>
      <c r="T239" s="2">
        <f t="shared" si="14"/>
        <v>43276</v>
      </c>
      <c r="U239" s="12">
        <f t="shared" si="15"/>
        <v>0.64583333333333337</v>
      </c>
      <c r="V239" s="2">
        <f t="shared" si="16"/>
        <v>43277</v>
      </c>
      <c r="W239" s="12">
        <f t="shared" si="17"/>
        <v>6.25E-2</v>
      </c>
    </row>
    <row r="240" spans="1:23">
      <c r="A240">
        <f>IF(ISBLANK('Data Input'!A240),"",'Data Input'!A240)</f>
        <v>65</v>
      </c>
      <c r="B240" t="str">
        <f>IF(ISBLANK('Data Input'!B240),"",'Data Input'!B240)</f>
        <v>AR065</v>
      </c>
      <c r="C240" t="str">
        <f>IF(ISBLANK('Data Input'!C240),"",'Data Input'!C240)</f>
        <v>6/25/18 1530</v>
      </c>
      <c r="E240" t="str">
        <f>IF(ISBLANK('Data Input'!D240),"",'Data Input'!D240)</f>
        <v>6/26/18 0130</v>
      </c>
      <c r="G240">
        <f>IF(ISBLANK('Data Input'!E240),"",'Data Input'!E240)</f>
        <v>29</v>
      </c>
      <c r="H240" t="str">
        <f>IF(ISBLANK('Data Input'!F240),"",'Data Input'!F240)</f>
        <v>bb - Black</v>
      </c>
      <c r="I240" t="str">
        <f>IF(ISBLANK('Data Input'!G240),"",'Data Input'!G240)</f>
        <v>Caesarean</v>
      </c>
      <c r="J240" t="str">
        <f>IF(ISBLANK('Data Input'!I240),"",'Data Input'!I240)</f>
        <v>6=26=18 0130</v>
      </c>
      <c r="K240" t="str">
        <f>IF(ISBLANK('Data Input'!J240),"",'Data Input'!J240)</f>
        <v>tr - Toradol</v>
      </c>
      <c r="L240">
        <f>IF(ISBLANK('Data Input'!K240),"",'Data Input'!K240)</f>
        <v>30</v>
      </c>
      <c r="M240">
        <f>IF(ISBLANK('Data Input'!L240),"",'Data Input'!L240)</f>
        <v>1</v>
      </c>
      <c r="N240">
        <f>IF(ISBLANK('Data Input'!M240),"",'Data Input'!M240)</f>
        <v>0</v>
      </c>
      <c r="O240" t="str">
        <f>IF(ISBLANK('Data Input'!N240),"",'Data Input'!N240)</f>
        <v/>
      </c>
      <c r="P240" t="str">
        <f>IF(ISBLANK('Data Input'!O240),"",'Data Input'!O240)</f>
        <v/>
      </c>
      <c r="Q240" t="str">
        <f>IF(ISBLANK('Data Input'!P240),"",'Data Input'!P240)</f>
        <v/>
      </c>
      <c r="R240" t="b">
        <f>IF(ISBLANK('Data Input'!Q240),"",'Data Input'!Q240)</f>
        <v>1</v>
      </c>
      <c r="T240" s="2">
        <f t="shared" si="14"/>
        <v>43276</v>
      </c>
      <c r="U240" s="12">
        <f t="shared" si="15"/>
        <v>0.64583333333333337</v>
      </c>
      <c r="V240" s="2">
        <f t="shared" si="16"/>
        <v>43277</v>
      </c>
      <c r="W240" s="12">
        <f t="shared" si="17"/>
        <v>6.25E-2</v>
      </c>
    </row>
    <row r="241" spans="1:23">
      <c r="A241">
        <f>IF(ISBLANK('Data Input'!A241),"",'Data Input'!A241)</f>
        <v>66</v>
      </c>
      <c r="B241" t="str">
        <f>IF(ISBLANK('Data Input'!B241),"",'Data Input'!B241)</f>
        <v>JP066</v>
      </c>
      <c r="C241" t="str">
        <f>IF(ISBLANK('Data Input'!C241),"",'Data Input'!C241)</f>
        <v>6/25/18 1305</v>
      </c>
      <c r="E241" t="str">
        <f>IF(ISBLANK('Data Input'!D241),"",'Data Input'!D241)</f>
        <v>6/26/18 0947</v>
      </c>
      <c r="G241">
        <f>IF(ISBLANK('Data Input'!E241),"",'Data Input'!E241)</f>
        <v>31</v>
      </c>
      <c r="H241" t="str">
        <f>IF(ISBLANK('Data Input'!F241),"",'Data Input'!F241)</f>
        <v>White</v>
      </c>
      <c r="I241" t="str">
        <f>IF(ISBLANK('Data Input'!G241),"",'Data Input'!G241)</f>
        <v>Caesarean</v>
      </c>
      <c r="J241" t="str">
        <f>IF(ISBLANK('Data Input'!I241),"",'Data Input'!I241)</f>
        <v>6=25=18 1524</v>
      </c>
      <c r="K241" t="str">
        <f>IF(ISBLANK('Data Input'!J241),"",'Data Input'!J241)</f>
        <v>tr - Toradol</v>
      </c>
      <c r="L241">
        <f>IF(ISBLANK('Data Input'!K241),"",'Data Input'!K241)</f>
        <v>3</v>
      </c>
      <c r="M241">
        <f>IF(ISBLANK('Data Input'!L241),"",'Data Input'!L241)</f>
        <v>0</v>
      </c>
      <c r="N241" t="str">
        <f>IF(ISBLANK('Data Input'!M241),"",'Data Input'!M241)</f>
        <v/>
      </c>
      <c r="O241" t="str">
        <f>IF(ISBLANK('Data Input'!N241),"",'Data Input'!N241)</f>
        <v/>
      </c>
      <c r="P241" t="str">
        <f>IF(ISBLANK('Data Input'!O241),"",'Data Input'!O241)</f>
        <v/>
      </c>
      <c r="Q241" t="str">
        <f>IF(ISBLANK('Data Input'!P241),"",'Data Input'!P241)</f>
        <v/>
      </c>
      <c r="R241" t="b">
        <f>IF(ISBLANK('Data Input'!Q241),"",'Data Input'!Q241)</f>
        <v>0</v>
      </c>
      <c r="T241" s="2">
        <f t="shared" si="14"/>
        <v>43276</v>
      </c>
      <c r="U241" s="12">
        <f t="shared" si="15"/>
        <v>0.54513888888888895</v>
      </c>
      <c r="V241" s="2">
        <f t="shared" si="16"/>
        <v>43277</v>
      </c>
      <c r="W241" s="12">
        <f t="shared" si="17"/>
        <v>0.40763888888888888</v>
      </c>
    </row>
    <row r="242" spans="1:23">
      <c r="A242">
        <f>IF(ISBLANK('Data Input'!A242),"",'Data Input'!A242)</f>
        <v>66</v>
      </c>
      <c r="B242" t="str">
        <f>IF(ISBLANK('Data Input'!B242),"",'Data Input'!B242)</f>
        <v>JP066</v>
      </c>
      <c r="C242" t="str">
        <f>IF(ISBLANK('Data Input'!C242),"",'Data Input'!C242)</f>
        <v>6/25/18 1305</v>
      </c>
      <c r="E242" t="str">
        <f>IF(ISBLANK('Data Input'!D242),"",'Data Input'!D242)</f>
        <v>6/26/18 0947</v>
      </c>
      <c r="G242">
        <f>IF(ISBLANK('Data Input'!E242),"",'Data Input'!E242)</f>
        <v>31</v>
      </c>
      <c r="H242" t="str">
        <f>IF(ISBLANK('Data Input'!F242),"",'Data Input'!F242)</f>
        <v>White</v>
      </c>
      <c r="I242" t="str">
        <f>IF(ISBLANK('Data Input'!G242),"",'Data Input'!G242)</f>
        <v>Caesarean</v>
      </c>
      <c r="J242" t="str">
        <f>IF(ISBLANK('Data Input'!I242),"",'Data Input'!I242)</f>
        <v>6=25=18 2104</v>
      </c>
      <c r="K242" t="str">
        <f>IF(ISBLANK('Data Input'!J242),"",'Data Input'!J242)</f>
        <v>tr - Toradol</v>
      </c>
      <c r="L242">
        <f>IF(ISBLANK('Data Input'!K242),"",'Data Input'!K242)</f>
        <v>2</v>
      </c>
      <c r="M242">
        <f>IF(ISBLANK('Data Input'!L242),"",'Data Input'!L242)</f>
        <v>0</v>
      </c>
      <c r="N242" t="str">
        <f>IF(ISBLANK('Data Input'!M242),"",'Data Input'!M242)</f>
        <v/>
      </c>
      <c r="O242" t="str">
        <f>IF(ISBLANK('Data Input'!N242),"",'Data Input'!N242)</f>
        <v/>
      </c>
      <c r="P242" t="str">
        <f>IF(ISBLANK('Data Input'!O242),"",'Data Input'!O242)</f>
        <v/>
      </c>
      <c r="Q242" t="str">
        <f>IF(ISBLANK('Data Input'!P242),"",'Data Input'!P242)</f>
        <v/>
      </c>
      <c r="R242" t="b">
        <f>IF(ISBLANK('Data Input'!Q242),"",'Data Input'!Q242)</f>
        <v>0</v>
      </c>
      <c r="T242" s="2">
        <f t="shared" si="14"/>
        <v>43276</v>
      </c>
      <c r="U242" s="12">
        <f t="shared" si="15"/>
        <v>0.54513888888888895</v>
      </c>
      <c r="V242" s="2">
        <f t="shared" si="16"/>
        <v>43277</v>
      </c>
      <c r="W242" s="12">
        <f t="shared" si="17"/>
        <v>0.40763888888888888</v>
      </c>
    </row>
    <row r="243" spans="1:23">
      <c r="A243">
        <f>IF(ISBLANK('Data Input'!A243),"",'Data Input'!A243)</f>
        <v>66</v>
      </c>
      <c r="B243" t="str">
        <f>IF(ISBLANK('Data Input'!B243),"",'Data Input'!B243)</f>
        <v>JP066</v>
      </c>
      <c r="C243" t="str">
        <f>IF(ISBLANK('Data Input'!C243),"",'Data Input'!C243)</f>
        <v>6/25/18 1305</v>
      </c>
      <c r="E243" t="str">
        <f>IF(ISBLANK('Data Input'!D243),"",'Data Input'!D243)</f>
        <v>6/26/18 0947</v>
      </c>
      <c r="G243">
        <f>IF(ISBLANK('Data Input'!E243),"",'Data Input'!E243)</f>
        <v>31</v>
      </c>
      <c r="H243" t="str">
        <f>IF(ISBLANK('Data Input'!F243),"",'Data Input'!F243)</f>
        <v>White</v>
      </c>
      <c r="I243" t="str">
        <f>IF(ISBLANK('Data Input'!G243),"",'Data Input'!G243)</f>
        <v>Caesarean</v>
      </c>
      <c r="J243" t="str">
        <f>IF(ISBLANK('Data Input'!I243),"",'Data Input'!I243)</f>
        <v>6=26=18 0303</v>
      </c>
      <c r="K243" t="str">
        <f>IF(ISBLANK('Data Input'!J243),"",'Data Input'!J243)</f>
        <v>tr - Toradol</v>
      </c>
      <c r="L243">
        <f>IF(ISBLANK('Data Input'!K243),"",'Data Input'!K243)</f>
        <v>3</v>
      </c>
      <c r="M243">
        <f>IF(ISBLANK('Data Input'!L243),"",'Data Input'!L243)</f>
        <v>0</v>
      </c>
      <c r="N243" t="str">
        <f>IF(ISBLANK('Data Input'!M243),"",'Data Input'!M243)</f>
        <v/>
      </c>
      <c r="O243" t="str">
        <f>IF(ISBLANK('Data Input'!N243),"",'Data Input'!N243)</f>
        <v/>
      </c>
      <c r="P243" t="str">
        <f>IF(ISBLANK('Data Input'!O243),"",'Data Input'!O243)</f>
        <v/>
      </c>
      <c r="Q243" t="str">
        <f>IF(ISBLANK('Data Input'!P243),"",'Data Input'!P243)</f>
        <v/>
      </c>
      <c r="R243" t="b">
        <f>IF(ISBLANK('Data Input'!Q243),"",'Data Input'!Q243)</f>
        <v>0</v>
      </c>
      <c r="T243" s="2">
        <f t="shared" si="14"/>
        <v>43276</v>
      </c>
      <c r="U243" s="12">
        <f t="shared" si="15"/>
        <v>0.54513888888888895</v>
      </c>
      <c r="V243" s="2">
        <f t="shared" si="16"/>
        <v>43277</v>
      </c>
      <c r="W243" s="12">
        <f t="shared" si="17"/>
        <v>0.40763888888888888</v>
      </c>
    </row>
    <row r="244" spans="1:23">
      <c r="A244">
        <f>IF(ISBLANK('Data Input'!A244),"",'Data Input'!A244)</f>
        <v>66</v>
      </c>
      <c r="B244" t="str">
        <f>IF(ISBLANK('Data Input'!B244),"",'Data Input'!B244)</f>
        <v>JP066</v>
      </c>
      <c r="C244" t="str">
        <f>IF(ISBLANK('Data Input'!C244),"",'Data Input'!C244)</f>
        <v>6/25/18 1305</v>
      </c>
      <c r="E244" t="str">
        <f>IF(ISBLANK('Data Input'!D244),"",'Data Input'!D244)</f>
        <v>6/26/18 0947</v>
      </c>
      <c r="G244">
        <f>IF(ISBLANK('Data Input'!E244),"",'Data Input'!E244)</f>
        <v>31</v>
      </c>
      <c r="H244" t="str">
        <f>IF(ISBLANK('Data Input'!F244),"",'Data Input'!F244)</f>
        <v>White</v>
      </c>
      <c r="I244" t="str">
        <f>IF(ISBLANK('Data Input'!G244),"",'Data Input'!G244)</f>
        <v>Caesarean</v>
      </c>
      <c r="J244" t="str">
        <f>IF(ISBLANK('Data Input'!I244),"",'Data Input'!I244)</f>
        <v>6=26=18 0609</v>
      </c>
      <c r="K244" t="str">
        <f>IF(ISBLANK('Data Input'!J244),"",'Data Input'!J244)</f>
        <v>cc - Norco</v>
      </c>
      <c r="L244">
        <f>IF(ISBLANK('Data Input'!K244),"",'Data Input'!K244)</f>
        <v>3</v>
      </c>
      <c r="M244">
        <f>IF(ISBLANK('Data Input'!L244),"",'Data Input'!L244)</f>
        <v>3</v>
      </c>
      <c r="N244" t="str">
        <f>IF(ISBLANK('Data Input'!M244),"",'Data Input'!M244)</f>
        <v/>
      </c>
      <c r="O244" t="str">
        <f>IF(ISBLANK('Data Input'!N244),"",'Data Input'!N244)</f>
        <v/>
      </c>
      <c r="P244" t="str">
        <f>IF(ISBLANK('Data Input'!O244),"",'Data Input'!O244)</f>
        <v/>
      </c>
      <c r="Q244" t="str">
        <f>IF(ISBLANK('Data Input'!P244),"",'Data Input'!P244)</f>
        <v/>
      </c>
      <c r="R244" t="b">
        <f>IF(ISBLANK('Data Input'!Q244),"",'Data Input'!Q244)</f>
        <v>0</v>
      </c>
      <c r="T244" s="2">
        <f t="shared" si="14"/>
        <v>43276</v>
      </c>
      <c r="U244" s="12">
        <f t="shared" si="15"/>
        <v>0.54513888888888895</v>
      </c>
      <c r="V244" s="2">
        <f t="shared" si="16"/>
        <v>43277</v>
      </c>
      <c r="W244" s="12">
        <f t="shared" si="17"/>
        <v>0.40763888888888888</v>
      </c>
    </row>
    <row r="245" spans="1:23">
      <c r="A245">
        <f>IF(ISBLANK('Data Input'!A245),"",'Data Input'!A245)</f>
        <v>66</v>
      </c>
      <c r="B245" t="str">
        <f>IF(ISBLANK('Data Input'!B245),"",'Data Input'!B245)</f>
        <v>JP066</v>
      </c>
      <c r="C245" t="str">
        <f>IF(ISBLANK('Data Input'!C245),"",'Data Input'!C245)</f>
        <v>6/25/18 1305</v>
      </c>
      <c r="E245" t="str">
        <f>IF(ISBLANK('Data Input'!D245),"",'Data Input'!D245)</f>
        <v>6/26/18 0947</v>
      </c>
      <c r="G245">
        <f>IF(ISBLANK('Data Input'!E245),"",'Data Input'!E245)</f>
        <v>31</v>
      </c>
      <c r="H245" t="str">
        <f>IF(ISBLANK('Data Input'!F245),"",'Data Input'!F245)</f>
        <v>White</v>
      </c>
      <c r="I245" t="str">
        <f>IF(ISBLANK('Data Input'!G245),"",'Data Input'!G245)</f>
        <v>Caesarean</v>
      </c>
      <c r="J245" t="str">
        <f>IF(ISBLANK('Data Input'!I245),"",'Data Input'!I245)</f>
        <v>6=26=18 0947</v>
      </c>
      <c r="K245" t="str">
        <f>IF(ISBLANK('Data Input'!J245),"",'Data Input'!J245)</f>
        <v>bb - Ibuprofen</v>
      </c>
      <c r="L245">
        <f>IF(ISBLANK('Data Input'!K245),"",'Data Input'!K245)</f>
        <v>3</v>
      </c>
      <c r="M245">
        <f>IF(ISBLANK('Data Input'!L245),"",'Data Input'!L245)</f>
        <v>4</v>
      </c>
      <c r="N245" t="str">
        <f>IF(ISBLANK('Data Input'!M245),"",'Data Input'!M245)</f>
        <v/>
      </c>
      <c r="O245" t="str">
        <f>IF(ISBLANK('Data Input'!N245),"",'Data Input'!N245)</f>
        <v/>
      </c>
      <c r="P245" t="str">
        <f>IF(ISBLANK('Data Input'!O245),"",'Data Input'!O245)</f>
        <v/>
      </c>
      <c r="Q245" t="str">
        <f>IF(ISBLANK('Data Input'!P245),"",'Data Input'!P245)</f>
        <v/>
      </c>
      <c r="R245" t="b">
        <f>IF(ISBLANK('Data Input'!Q245),"",'Data Input'!Q245)</f>
        <v>0</v>
      </c>
      <c r="T245" s="2">
        <f t="shared" si="14"/>
        <v>43276</v>
      </c>
      <c r="U245" s="12">
        <f t="shared" si="15"/>
        <v>0.54513888888888895</v>
      </c>
      <c r="V245" s="2">
        <f t="shared" si="16"/>
        <v>43277</v>
      </c>
      <c r="W245" s="12">
        <f t="shared" si="17"/>
        <v>0.40763888888888888</v>
      </c>
    </row>
    <row r="246" spans="1:23">
      <c r="A246">
        <f>IF(ISBLANK('Data Input'!A246),"",'Data Input'!A246)</f>
        <v>66</v>
      </c>
      <c r="B246" t="str">
        <f>IF(ISBLANK('Data Input'!B246),"",'Data Input'!B246)</f>
        <v>JP066</v>
      </c>
      <c r="C246" t="str">
        <f>IF(ISBLANK('Data Input'!C246),"",'Data Input'!C246)</f>
        <v>6/25/18 1305</v>
      </c>
      <c r="E246" t="str">
        <f>IF(ISBLANK('Data Input'!D246),"",'Data Input'!D246)</f>
        <v>6/26/18 0947</v>
      </c>
      <c r="G246">
        <f>IF(ISBLANK('Data Input'!E246),"",'Data Input'!E246)</f>
        <v>31</v>
      </c>
      <c r="H246" t="str">
        <f>IF(ISBLANK('Data Input'!F246),"",'Data Input'!F246)</f>
        <v>White</v>
      </c>
      <c r="I246" t="str">
        <f>IF(ISBLANK('Data Input'!G246),"",'Data Input'!G246)</f>
        <v>Caesarean</v>
      </c>
      <c r="J246" t="str">
        <f>IF(ISBLANK('Data Input'!I246),"",'Data Input'!I246)</f>
        <v>6=26=18 0947</v>
      </c>
      <c r="K246" t="str">
        <f>IF(ISBLANK('Data Input'!J246),"",'Data Input'!J246)</f>
        <v>cc - Norco</v>
      </c>
      <c r="L246">
        <f>IF(ISBLANK('Data Input'!K246),"",'Data Input'!K246)</f>
        <v>3</v>
      </c>
      <c r="M246">
        <f>IF(ISBLANK('Data Input'!L246),"",'Data Input'!L246)</f>
        <v>4</v>
      </c>
      <c r="N246" t="str">
        <f>IF(ISBLANK('Data Input'!M246),"",'Data Input'!M246)</f>
        <v/>
      </c>
      <c r="O246" t="str">
        <f>IF(ISBLANK('Data Input'!N246),"",'Data Input'!N246)</f>
        <v/>
      </c>
      <c r="P246" t="str">
        <f>IF(ISBLANK('Data Input'!O246),"",'Data Input'!O246)</f>
        <v/>
      </c>
      <c r="Q246" t="str">
        <f>IF(ISBLANK('Data Input'!P246),"",'Data Input'!P246)</f>
        <v/>
      </c>
      <c r="R246" t="b">
        <f>IF(ISBLANK('Data Input'!Q246),"",'Data Input'!Q246)</f>
        <v>0</v>
      </c>
      <c r="T246" s="2">
        <f t="shared" si="14"/>
        <v>43276</v>
      </c>
      <c r="U246" s="12">
        <f t="shared" si="15"/>
        <v>0.54513888888888895</v>
      </c>
      <c r="V246" s="2">
        <f t="shared" si="16"/>
        <v>43277</v>
      </c>
      <c r="W246" s="12">
        <f t="shared" si="17"/>
        <v>0.40763888888888888</v>
      </c>
    </row>
    <row r="247" spans="1:23">
      <c r="A247">
        <f>IF(ISBLANK('Data Input'!A247),"",'Data Input'!A247)</f>
        <v>67</v>
      </c>
      <c r="B247" t="str">
        <f>IF(ISBLANK('Data Input'!B247),"",'Data Input'!B247)</f>
        <v>LN067</v>
      </c>
      <c r="C247" t="str">
        <f>IF(ISBLANK('Data Input'!C247),"",'Data Input'!C247)</f>
        <v>6/25/18 1115</v>
      </c>
      <c r="E247" t="str">
        <f>IF(ISBLANK('Data Input'!D247),"",'Data Input'!D247)</f>
        <v>6/26/18 1108</v>
      </c>
      <c r="G247">
        <f>IF(ISBLANK('Data Input'!E247),"",'Data Input'!E247)</f>
        <v>30</v>
      </c>
      <c r="H247" t="str">
        <f>IF(ISBLANK('Data Input'!F247),"",'Data Input'!F247)</f>
        <v>White</v>
      </c>
      <c r="I247" t="str">
        <f>IF(ISBLANK('Data Input'!G247),"",'Data Input'!G247)</f>
        <v>Caesarean</v>
      </c>
      <c r="J247" t="str">
        <f>IF(ISBLANK('Data Input'!I247),"",'Data Input'!I247)</f>
        <v>6=25=18 1329</v>
      </c>
      <c r="K247" t="str">
        <f>IF(ISBLANK('Data Input'!J247),"",'Data Input'!J247)</f>
        <v>tr - Toradol</v>
      </c>
      <c r="L247">
        <f>IF(ISBLANK('Data Input'!K247),"",'Data Input'!K247)</f>
        <v>30</v>
      </c>
      <c r="M247">
        <f>IF(ISBLANK('Data Input'!L247),"",'Data Input'!L247)</f>
        <v>6</v>
      </c>
      <c r="N247">
        <f>IF(ISBLANK('Data Input'!M247),"",'Data Input'!M247)</f>
        <v>3</v>
      </c>
      <c r="O247" t="str">
        <f>IF(ISBLANK('Data Input'!N247),"",'Data Input'!N247)</f>
        <v/>
      </c>
      <c r="P247" t="str">
        <f>IF(ISBLANK('Data Input'!O247),"",'Data Input'!O247)</f>
        <v/>
      </c>
      <c r="Q247" t="str">
        <f>IF(ISBLANK('Data Input'!P247),"",'Data Input'!P247)</f>
        <v/>
      </c>
      <c r="R247" t="b">
        <f>IF(ISBLANK('Data Input'!Q247),"",'Data Input'!Q247)</f>
        <v>1</v>
      </c>
      <c r="T247" s="2">
        <f t="shared" si="14"/>
        <v>43276</v>
      </c>
      <c r="U247" s="12">
        <f t="shared" si="15"/>
        <v>0.46875</v>
      </c>
      <c r="V247" s="2">
        <f t="shared" si="16"/>
        <v>43277</v>
      </c>
      <c r="W247" s="12">
        <f t="shared" si="17"/>
        <v>0.46388888888888885</v>
      </c>
    </row>
    <row r="248" spans="1:23">
      <c r="A248">
        <f>IF(ISBLANK('Data Input'!A248),"",'Data Input'!A248)</f>
        <v>67</v>
      </c>
      <c r="B248" t="str">
        <f>IF(ISBLANK('Data Input'!B248),"",'Data Input'!B248)</f>
        <v>LN067</v>
      </c>
      <c r="C248" t="str">
        <f>IF(ISBLANK('Data Input'!C248),"",'Data Input'!C248)</f>
        <v>6/25/18 1115</v>
      </c>
      <c r="E248" t="str">
        <f>IF(ISBLANK('Data Input'!D248),"",'Data Input'!D248)</f>
        <v>6/26/18 1108</v>
      </c>
      <c r="G248">
        <f>IF(ISBLANK('Data Input'!E248),"",'Data Input'!E248)</f>
        <v>30</v>
      </c>
      <c r="H248" t="str">
        <f>IF(ISBLANK('Data Input'!F248),"",'Data Input'!F248)</f>
        <v>White</v>
      </c>
      <c r="I248" t="str">
        <f>IF(ISBLANK('Data Input'!G248),"",'Data Input'!G248)</f>
        <v>Caesarean</v>
      </c>
      <c r="J248" t="str">
        <f>IF(ISBLANK('Data Input'!I248),"",'Data Input'!I248)</f>
        <v>6=25=18 1919</v>
      </c>
      <c r="K248" t="str">
        <f>IF(ISBLANK('Data Input'!J248),"",'Data Input'!J248)</f>
        <v>tr - Toradol</v>
      </c>
      <c r="L248">
        <f>IF(ISBLANK('Data Input'!K248),"",'Data Input'!K248)</f>
        <v>30</v>
      </c>
      <c r="M248">
        <f>IF(ISBLANK('Data Input'!L248),"",'Data Input'!L248)</f>
        <v>3</v>
      </c>
      <c r="N248">
        <f>IF(ISBLANK('Data Input'!M248),"",'Data Input'!M248)</f>
        <v>3</v>
      </c>
      <c r="O248" t="str">
        <f>IF(ISBLANK('Data Input'!N248),"",'Data Input'!N248)</f>
        <v/>
      </c>
      <c r="P248" t="str">
        <f>IF(ISBLANK('Data Input'!O248),"",'Data Input'!O248)</f>
        <v/>
      </c>
      <c r="Q248" t="str">
        <f>IF(ISBLANK('Data Input'!P248),"",'Data Input'!P248)</f>
        <v/>
      </c>
      <c r="R248" t="b">
        <f>IF(ISBLANK('Data Input'!Q248),"",'Data Input'!Q248)</f>
        <v>1</v>
      </c>
      <c r="T248" s="2">
        <f t="shared" si="14"/>
        <v>43276</v>
      </c>
      <c r="U248" s="12">
        <f t="shared" si="15"/>
        <v>0.46875</v>
      </c>
      <c r="V248" s="2">
        <f t="shared" si="16"/>
        <v>43277</v>
      </c>
      <c r="W248" s="12">
        <f t="shared" si="17"/>
        <v>0.46388888888888885</v>
      </c>
    </row>
    <row r="249" spans="1:23">
      <c r="A249">
        <f>IF(ISBLANK('Data Input'!A249),"",'Data Input'!A249)</f>
        <v>67</v>
      </c>
      <c r="B249" t="str">
        <f>IF(ISBLANK('Data Input'!B249),"",'Data Input'!B249)</f>
        <v>LN067</v>
      </c>
      <c r="C249" t="str">
        <f>IF(ISBLANK('Data Input'!C249),"",'Data Input'!C249)</f>
        <v>6/25/18 1115</v>
      </c>
      <c r="E249" t="str">
        <f>IF(ISBLANK('Data Input'!D249),"",'Data Input'!D249)</f>
        <v>6/26/18 1108</v>
      </c>
      <c r="G249">
        <f>IF(ISBLANK('Data Input'!E249),"",'Data Input'!E249)</f>
        <v>30</v>
      </c>
      <c r="H249" t="str">
        <f>IF(ISBLANK('Data Input'!F249),"",'Data Input'!F249)</f>
        <v>White</v>
      </c>
      <c r="I249" t="str">
        <f>IF(ISBLANK('Data Input'!G249),"",'Data Input'!G249)</f>
        <v>Caesarean</v>
      </c>
      <c r="J249" t="str">
        <f>IF(ISBLANK('Data Input'!I249),"",'Data Input'!I249)</f>
        <v>6=25=18 0349</v>
      </c>
      <c r="K249" t="str">
        <f>IF(ISBLANK('Data Input'!J249),"",'Data Input'!J249)</f>
        <v>tr - Toradol</v>
      </c>
      <c r="L249">
        <f>IF(ISBLANK('Data Input'!K249),"",'Data Input'!K249)</f>
        <v>30</v>
      </c>
      <c r="M249">
        <f>IF(ISBLANK('Data Input'!L249),"",'Data Input'!L249)</f>
        <v>6</v>
      </c>
      <c r="N249">
        <f>IF(ISBLANK('Data Input'!M249),"",'Data Input'!M249)</f>
        <v>3</v>
      </c>
      <c r="O249" t="str">
        <f>IF(ISBLANK('Data Input'!N249),"",'Data Input'!N249)</f>
        <v/>
      </c>
      <c r="P249" t="str">
        <f>IF(ISBLANK('Data Input'!O249),"",'Data Input'!O249)</f>
        <v/>
      </c>
      <c r="Q249" t="str">
        <f>IF(ISBLANK('Data Input'!P249),"",'Data Input'!P249)</f>
        <v/>
      </c>
      <c r="R249" t="b">
        <f>IF(ISBLANK('Data Input'!Q249),"",'Data Input'!Q249)</f>
        <v>1</v>
      </c>
      <c r="T249" s="2">
        <f t="shared" si="14"/>
        <v>43276</v>
      </c>
      <c r="U249" s="12">
        <f t="shared" si="15"/>
        <v>0.46875</v>
      </c>
      <c r="V249" s="2">
        <f t="shared" si="16"/>
        <v>43277</v>
      </c>
      <c r="W249" s="12">
        <f t="shared" si="17"/>
        <v>0.46388888888888885</v>
      </c>
    </row>
    <row r="250" spans="1:23">
      <c r="A250">
        <f>IF(ISBLANK('Data Input'!A250),"",'Data Input'!A250)</f>
        <v>67</v>
      </c>
      <c r="B250" t="str">
        <f>IF(ISBLANK('Data Input'!B250),"",'Data Input'!B250)</f>
        <v>LN067</v>
      </c>
      <c r="C250" t="str">
        <f>IF(ISBLANK('Data Input'!C250),"",'Data Input'!C250)</f>
        <v>6/25/18 1115</v>
      </c>
      <c r="E250" t="str">
        <f>IF(ISBLANK('Data Input'!D250),"",'Data Input'!D250)</f>
        <v>6/26/18 1108</v>
      </c>
      <c r="G250">
        <f>IF(ISBLANK('Data Input'!E250),"",'Data Input'!E250)</f>
        <v>30</v>
      </c>
      <c r="H250" t="str">
        <f>IF(ISBLANK('Data Input'!F250),"",'Data Input'!F250)</f>
        <v>White</v>
      </c>
      <c r="I250" t="str">
        <f>IF(ISBLANK('Data Input'!G250),"",'Data Input'!G250)</f>
        <v>Caesarean</v>
      </c>
      <c r="J250" t="str">
        <f>IF(ISBLANK('Data Input'!I250),"",'Data Input'!I250)</f>
        <v>6=26=18 1108</v>
      </c>
      <c r="K250" t="str">
        <f>IF(ISBLANK('Data Input'!J250),"",'Data Input'!J250)</f>
        <v>tr - Toradol</v>
      </c>
      <c r="L250">
        <f>IF(ISBLANK('Data Input'!K250),"",'Data Input'!K250)</f>
        <v>30</v>
      </c>
      <c r="M250">
        <f>IF(ISBLANK('Data Input'!L250),"",'Data Input'!L250)</f>
        <v>7</v>
      </c>
      <c r="N250">
        <f>IF(ISBLANK('Data Input'!M250),"",'Data Input'!M250)</f>
        <v>3</v>
      </c>
      <c r="O250" t="str">
        <f>IF(ISBLANK('Data Input'!N250),"",'Data Input'!N250)</f>
        <v/>
      </c>
      <c r="P250" t="str">
        <f>IF(ISBLANK('Data Input'!O250),"",'Data Input'!O250)</f>
        <v/>
      </c>
      <c r="Q250" t="str">
        <f>IF(ISBLANK('Data Input'!P250),"",'Data Input'!P250)</f>
        <v/>
      </c>
      <c r="R250" t="b">
        <f>IF(ISBLANK('Data Input'!Q250),"",'Data Input'!Q250)</f>
        <v>1</v>
      </c>
      <c r="T250" s="2">
        <f t="shared" si="14"/>
        <v>43276</v>
      </c>
      <c r="U250" s="12">
        <f t="shared" si="15"/>
        <v>0.46875</v>
      </c>
      <c r="V250" s="2">
        <f t="shared" si="16"/>
        <v>43277</v>
      </c>
      <c r="W250" s="12">
        <f t="shared" si="17"/>
        <v>0.46388888888888885</v>
      </c>
    </row>
    <row r="251" spans="1:23">
      <c r="A251">
        <f>IF(ISBLANK('Data Input'!A251),"",'Data Input'!A251)</f>
        <v>68</v>
      </c>
      <c r="B251" t="str">
        <f>IF(ISBLANK('Data Input'!B251),"",'Data Input'!B251)</f>
        <v>MD068</v>
      </c>
      <c r="C251" t="str">
        <f>IF(ISBLANK('Data Input'!C251),"",'Data Input'!C251)</f>
        <v>6/27/18 1555</v>
      </c>
      <c r="E251" t="str">
        <f>IF(ISBLANK('Data Input'!D251),"",'Data Input'!D251)</f>
        <v>6/28/18 0409</v>
      </c>
      <c r="G251">
        <f>IF(ISBLANK('Data Input'!E251),"",'Data Input'!E251)</f>
        <v>25</v>
      </c>
      <c r="H251" t="str">
        <f>IF(ISBLANK('Data Input'!F251),"",'Data Input'!F251)</f>
        <v>White</v>
      </c>
      <c r="I251" t="str">
        <f>IF(ISBLANK('Data Input'!G251),"",'Data Input'!G251)</f>
        <v>SVD</v>
      </c>
      <c r="J251" t="str">
        <f>IF(ISBLANK('Data Input'!I251),"",'Data Input'!I251)</f>
        <v>6=27=18 2120</v>
      </c>
      <c r="K251" t="str">
        <f>IF(ISBLANK('Data Input'!J251),"",'Data Input'!J251)</f>
        <v>bb - Ibuprofen</v>
      </c>
      <c r="L251">
        <f>IF(ISBLANK('Data Input'!K251),"",'Data Input'!K251)</f>
        <v>800</v>
      </c>
      <c r="M251" t="str">
        <f>IF(ISBLANK('Data Input'!L251),"",'Data Input'!L251)</f>
        <v>dd - Missing Data</v>
      </c>
      <c r="N251" t="str">
        <f>IF(ISBLANK('Data Input'!M251),"",'Data Input'!M251)</f>
        <v>dd - Missing Data</v>
      </c>
      <c r="O251" t="str">
        <f>IF(ISBLANK('Data Input'!N251),"",'Data Input'!N251)</f>
        <v/>
      </c>
      <c r="P251" t="str">
        <f>IF(ISBLANK('Data Input'!O251),"",'Data Input'!O251)</f>
        <v/>
      </c>
      <c r="Q251" t="str">
        <f>IF(ISBLANK('Data Input'!P251),"",'Data Input'!P251)</f>
        <v/>
      </c>
      <c r="R251" t="b">
        <f>IF(ISBLANK('Data Input'!Q251),"",'Data Input'!Q251)</f>
        <v>0</v>
      </c>
      <c r="T251" s="2">
        <f t="shared" si="14"/>
        <v>43278</v>
      </c>
      <c r="U251" s="12">
        <f t="shared" si="15"/>
        <v>0.66319444444444442</v>
      </c>
      <c r="V251" s="2">
        <f t="shared" si="16"/>
        <v>43279</v>
      </c>
      <c r="W251" s="12">
        <f t="shared" si="17"/>
        <v>0.17291666666666669</v>
      </c>
    </row>
    <row r="252" spans="1:23">
      <c r="A252">
        <f>IF(ISBLANK('Data Input'!A252),"",'Data Input'!A252)</f>
        <v>68</v>
      </c>
      <c r="B252" t="str">
        <f>IF(ISBLANK('Data Input'!B252),"",'Data Input'!B252)</f>
        <v>MD068</v>
      </c>
      <c r="C252" t="str">
        <f>IF(ISBLANK('Data Input'!C252),"",'Data Input'!C252)</f>
        <v>6/27/18 1555</v>
      </c>
      <c r="E252" t="str">
        <f>IF(ISBLANK('Data Input'!D252),"",'Data Input'!D252)</f>
        <v>6/28/18 0409</v>
      </c>
      <c r="G252">
        <f>IF(ISBLANK('Data Input'!E252),"",'Data Input'!E252)</f>
        <v>25</v>
      </c>
      <c r="H252" t="str">
        <f>IF(ISBLANK('Data Input'!F252),"",'Data Input'!F252)</f>
        <v>White</v>
      </c>
      <c r="I252" t="str">
        <f>IF(ISBLANK('Data Input'!G252),"",'Data Input'!G252)</f>
        <v>SVD</v>
      </c>
      <c r="J252" t="str">
        <f>IF(ISBLANK('Data Input'!I252),"",'Data Input'!I252)</f>
        <v>6=28=18 0409</v>
      </c>
      <c r="K252" t="str">
        <f>IF(ISBLANK('Data Input'!J252),"",'Data Input'!J252)</f>
        <v>bb - Ibuprofen</v>
      </c>
      <c r="L252">
        <f>IF(ISBLANK('Data Input'!K252),"",'Data Input'!K252)</f>
        <v>800</v>
      </c>
      <c r="M252" t="str">
        <f>IF(ISBLANK('Data Input'!L252),"",'Data Input'!L252)</f>
        <v>dd - Missing Data</v>
      </c>
      <c r="N252" t="str">
        <f>IF(ISBLANK('Data Input'!M252),"",'Data Input'!M252)</f>
        <v>dd - Missing Data</v>
      </c>
      <c r="O252" t="str">
        <f>IF(ISBLANK('Data Input'!N252),"",'Data Input'!N252)</f>
        <v/>
      </c>
      <c r="P252" t="str">
        <f>IF(ISBLANK('Data Input'!O252),"",'Data Input'!O252)</f>
        <v/>
      </c>
      <c r="Q252" t="str">
        <f>IF(ISBLANK('Data Input'!P252),"",'Data Input'!P252)</f>
        <v/>
      </c>
      <c r="R252" t="b">
        <f>IF(ISBLANK('Data Input'!Q252),"",'Data Input'!Q252)</f>
        <v>0</v>
      </c>
      <c r="T252" s="2">
        <f t="shared" si="14"/>
        <v>43278</v>
      </c>
      <c r="U252" s="12">
        <f t="shared" si="15"/>
        <v>0.66319444444444442</v>
      </c>
      <c r="V252" s="2">
        <f t="shared" si="16"/>
        <v>43279</v>
      </c>
      <c r="W252" s="12">
        <f t="shared" si="17"/>
        <v>0.17291666666666669</v>
      </c>
    </row>
    <row r="253" spans="1:23">
      <c r="A253">
        <f>IF(ISBLANK('Data Input'!A253),"",'Data Input'!A253)</f>
        <v>69</v>
      </c>
      <c r="B253" t="str">
        <f>IF(ISBLANK('Data Input'!B253),"",'Data Input'!B253)</f>
        <v>JG069</v>
      </c>
      <c r="C253" t="str">
        <f>IF(ISBLANK('Data Input'!C253),"",'Data Input'!C253)</f>
        <v>7/1/18 0930</v>
      </c>
      <c r="E253" t="str">
        <f>IF(ISBLANK('Data Input'!D253),"",'Data Input'!D253)</f>
        <v>7/02/18 0915</v>
      </c>
      <c r="G253">
        <f>IF(ISBLANK('Data Input'!E253),"",'Data Input'!E253)</f>
        <v>31</v>
      </c>
      <c r="H253" t="str">
        <f>IF(ISBLANK('Data Input'!F253),"",'Data Input'!F253)</f>
        <v>White</v>
      </c>
      <c r="I253" t="str">
        <f>IF(ISBLANK('Data Input'!G253),"",'Data Input'!G253)</f>
        <v>SVD</v>
      </c>
      <c r="J253" t="str">
        <f>IF(ISBLANK('Data Input'!I253),"",'Data Input'!I253)</f>
        <v>7=1=18 1129</v>
      </c>
      <c r="K253" t="str">
        <f>IF(ISBLANK('Data Input'!J253),"",'Data Input'!J253)</f>
        <v>bb - Ibuprofen</v>
      </c>
      <c r="L253">
        <f>IF(ISBLANK('Data Input'!K253),"",'Data Input'!K253)</f>
        <v>800</v>
      </c>
      <c r="M253">
        <f>IF(ISBLANK('Data Input'!L253),"",'Data Input'!L253)</f>
        <v>4</v>
      </c>
      <c r="N253">
        <f>IF(ISBLANK('Data Input'!M253),"",'Data Input'!M253)</f>
        <v>0</v>
      </c>
      <c r="O253" t="str">
        <f>IF(ISBLANK('Data Input'!N253),"",'Data Input'!N253)</f>
        <v/>
      </c>
      <c r="P253" t="str">
        <f>IF(ISBLANK('Data Input'!O253),"",'Data Input'!O253)</f>
        <v/>
      </c>
      <c r="Q253" t="str">
        <f>IF(ISBLANK('Data Input'!P253),"",'Data Input'!P253)</f>
        <v/>
      </c>
      <c r="R253" t="b">
        <f>IF(ISBLANK('Data Input'!Q253),"",'Data Input'!Q253)</f>
        <v>1</v>
      </c>
      <c r="T253" s="2">
        <f t="shared" si="14"/>
        <v>43282</v>
      </c>
      <c r="U253" s="12">
        <f t="shared" si="15"/>
        <v>0.39583333333333331</v>
      </c>
      <c r="V253" s="2">
        <f t="shared" si="16"/>
        <v>43283</v>
      </c>
      <c r="W253" s="12">
        <f t="shared" si="17"/>
        <v>0.38541666666666669</v>
      </c>
    </row>
    <row r="254" spans="1:23">
      <c r="A254">
        <f>IF(ISBLANK('Data Input'!A254),"",'Data Input'!A254)</f>
        <v>69</v>
      </c>
      <c r="B254" t="str">
        <f>IF(ISBLANK('Data Input'!B254),"",'Data Input'!B254)</f>
        <v>JG069</v>
      </c>
      <c r="C254" t="str">
        <f>IF(ISBLANK('Data Input'!C254),"",'Data Input'!C254)</f>
        <v>7/1/18 0930</v>
      </c>
      <c r="E254" t="str">
        <f>IF(ISBLANK('Data Input'!D254),"",'Data Input'!D254)</f>
        <v>7/02/18 0915</v>
      </c>
      <c r="G254">
        <f>IF(ISBLANK('Data Input'!E254),"",'Data Input'!E254)</f>
        <v>31</v>
      </c>
      <c r="H254" t="str">
        <f>IF(ISBLANK('Data Input'!F254),"",'Data Input'!F254)</f>
        <v>White</v>
      </c>
      <c r="I254" t="str">
        <f>IF(ISBLANK('Data Input'!G254),"",'Data Input'!G254)</f>
        <v>SVD</v>
      </c>
      <c r="J254" t="str">
        <f>IF(ISBLANK('Data Input'!I254),"",'Data Input'!I254)</f>
        <v>7=1=18 1744</v>
      </c>
      <c r="K254" t="str">
        <f>IF(ISBLANK('Data Input'!J254),"",'Data Input'!J254)</f>
        <v>bb - Ibuprofen</v>
      </c>
      <c r="L254">
        <f>IF(ISBLANK('Data Input'!K254),"",'Data Input'!K254)</f>
        <v>800</v>
      </c>
      <c r="M254">
        <f>IF(ISBLANK('Data Input'!L254),"",'Data Input'!L254)</f>
        <v>3</v>
      </c>
      <c r="N254">
        <f>IF(ISBLANK('Data Input'!M254),"",'Data Input'!M254)</f>
        <v>1</v>
      </c>
      <c r="O254" t="str">
        <f>IF(ISBLANK('Data Input'!N254),"",'Data Input'!N254)</f>
        <v/>
      </c>
      <c r="P254" t="str">
        <f>IF(ISBLANK('Data Input'!O254),"",'Data Input'!O254)</f>
        <v/>
      </c>
      <c r="Q254" t="str">
        <f>IF(ISBLANK('Data Input'!P254),"",'Data Input'!P254)</f>
        <v/>
      </c>
      <c r="R254" t="b">
        <f>IF(ISBLANK('Data Input'!Q254),"",'Data Input'!Q254)</f>
        <v>1</v>
      </c>
      <c r="T254" s="2">
        <f t="shared" si="14"/>
        <v>43282</v>
      </c>
      <c r="U254" s="12">
        <f t="shared" si="15"/>
        <v>0.39583333333333331</v>
      </c>
      <c r="V254" s="2">
        <f t="shared" si="16"/>
        <v>43283</v>
      </c>
      <c r="W254" s="12">
        <f t="shared" si="17"/>
        <v>0.38541666666666669</v>
      </c>
    </row>
    <row r="255" spans="1:23">
      <c r="A255">
        <f>IF(ISBLANK('Data Input'!A255),"",'Data Input'!A255)</f>
        <v>69</v>
      </c>
      <c r="B255" t="str">
        <f>IF(ISBLANK('Data Input'!B255),"",'Data Input'!B255)</f>
        <v>JG069</v>
      </c>
      <c r="C255" t="str">
        <f>IF(ISBLANK('Data Input'!C255),"",'Data Input'!C255)</f>
        <v>7/1/18 0930</v>
      </c>
      <c r="E255" t="str">
        <f>IF(ISBLANK('Data Input'!D255),"",'Data Input'!D255)</f>
        <v>7/02/18 0915</v>
      </c>
      <c r="G255">
        <f>IF(ISBLANK('Data Input'!E255),"",'Data Input'!E255)</f>
        <v>31</v>
      </c>
      <c r="H255" t="str">
        <f>IF(ISBLANK('Data Input'!F255),"",'Data Input'!F255)</f>
        <v>White</v>
      </c>
      <c r="I255" t="str">
        <f>IF(ISBLANK('Data Input'!G255),"",'Data Input'!G255)</f>
        <v>SVD</v>
      </c>
      <c r="J255" t="str">
        <f>IF(ISBLANK('Data Input'!I255),"",'Data Input'!I255)</f>
        <v>7=2=18 0915</v>
      </c>
      <c r="K255" t="str">
        <f>IF(ISBLANK('Data Input'!J255),"",'Data Input'!J255)</f>
        <v>bb - Ibuprofen</v>
      </c>
      <c r="L255">
        <f>IF(ISBLANK('Data Input'!K255),"",'Data Input'!K255)</f>
        <v>800</v>
      </c>
      <c r="M255">
        <f>IF(ISBLANK('Data Input'!L255),"",'Data Input'!L255)</f>
        <v>4</v>
      </c>
      <c r="N255">
        <f>IF(ISBLANK('Data Input'!M255),"",'Data Input'!M255)</f>
        <v>0</v>
      </c>
      <c r="O255" t="str">
        <f>IF(ISBLANK('Data Input'!N255),"",'Data Input'!N255)</f>
        <v/>
      </c>
      <c r="P255" t="str">
        <f>IF(ISBLANK('Data Input'!O255),"",'Data Input'!O255)</f>
        <v/>
      </c>
      <c r="Q255" t="str">
        <f>IF(ISBLANK('Data Input'!P255),"",'Data Input'!P255)</f>
        <v/>
      </c>
      <c r="R255" t="b">
        <f>IF(ISBLANK('Data Input'!Q255),"",'Data Input'!Q255)</f>
        <v>1</v>
      </c>
      <c r="T255" s="2">
        <f t="shared" si="14"/>
        <v>43282</v>
      </c>
      <c r="U255" s="12">
        <f t="shared" si="15"/>
        <v>0.39583333333333331</v>
      </c>
      <c r="V255" s="2">
        <f t="shared" si="16"/>
        <v>43283</v>
      </c>
      <c r="W255" s="12">
        <f t="shared" si="17"/>
        <v>0.38541666666666669</v>
      </c>
    </row>
    <row r="256" spans="1:23">
      <c r="A256">
        <f>IF(ISBLANK('Data Input'!A256),"",'Data Input'!A256)</f>
        <v>70</v>
      </c>
      <c r="B256" t="str">
        <f>IF(ISBLANK('Data Input'!B256),"",'Data Input'!B256)</f>
        <v>KP070</v>
      </c>
      <c r="C256" t="str">
        <f>IF(ISBLANK('Data Input'!C256),"",'Data Input'!C256)</f>
        <v>6/25/18 2350</v>
      </c>
      <c r="E256" t="str">
        <f>IF(ISBLANK('Data Input'!D256),"",'Data Input'!D256)</f>
        <v>6/26/18 2217</v>
      </c>
      <c r="G256">
        <f>IF(ISBLANK('Data Input'!E256),"",'Data Input'!E256)</f>
        <v>30</v>
      </c>
      <c r="H256" t="str">
        <f>IF(ISBLANK('Data Input'!F256),"",'Data Input'!F256)</f>
        <v>White</v>
      </c>
      <c r="I256" t="str">
        <f>IF(ISBLANK('Data Input'!G256),"",'Data Input'!G256)</f>
        <v>Caesarean</v>
      </c>
      <c r="J256" t="str">
        <f>IF(ISBLANK('Data Input'!I256),"",'Data Input'!I256)</f>
        <v>6=26=18 0141</v>
      </c>
      <c r="K256" t="str">
        <f>IF(ISBLANK('Data Input'!J256),"",'Data Input'!J256)</f>
        <v>tr - Toradol</v>
      </c>
      <c r="L256">
        <f>IF(ISBLANK('Data Input'!K256),"",'Data Input'!K256)</f>
        <v>30</v>
      </c>
      <c r="M256">
        <f>IF(ISBLANK('Data Input'!L256),"",'Data Input'!L256)</f>
        <v>6</v>
      </c>
      <c r="N256">
        <f>IF(ISBLANK('Data Input'!M256),"",'Data Input'!M256)</f>
        <v>0</v>
      </c>
      <c r="O256">
        <f>IF(ISBLANK('Data Input'!N256),"",'Data Input'!N256)</f>
        <v>3</v>
      </c>
      <c r="P256" t="str">
        <f>IF(ISBLANK('Data Input'!O256),"",'Data Input'!O256)</f>
        <v/>
      </c>
      <c r="Q256" t="str">
        <f>IF(ISBLANK('Data Input'!P256),"",'Data Input'!P256)</f>
        <v/>
      </c>
      <c r="R256" t="b">
        <f>IF(ISBLANK('Data Input'!Q256),"",'Data Input'!Q256)</f>
        <v>0</v>
      </c>
      <c r="T256" s="2">
        <f t="shared" si="14"/>
        <v>43276</v>
      </c>
      <c r="U256" s="12">
        <f t="shared" si="15"/>
        <v>0.99305555555555547</v>
      </c>
      <c r="V256" s="2">
        <f t="shared" si="16"/>
        <v>43277</v>
      </c>
      <c r="W256" s="12">
        <f t="shared" si="17"/>
        <v>0.92847222222222225</v>
      </c>
    </row>
    <row r="257" spans="1:23">
      <c r="A257">
        <f>IF(ISBLANK('Data Input'!A257),"",'Data Input'!A257)</f>
        <v>70</v>
      </c>
      <c r="B257" t="str">
        <f>IF(ISBLANK('Data Input'!B257),"",'Data Input'!B257)</f>
        <v>KP070</v>
      </c>
      <c r="C257" t="str">
        <f>IF(ISBLANK('Data Input'!C257),"",'Data Input'!C257)</f>
        <v>6/25/18 2350</v>
      </c>
      <c r="E257" t="str">
        <f>IF(ISBLANK('Data Input'!D257),"",'Data Input'!D257)</f>
        <v>6/26/18 2217</v>
      </c>
      <c r="G257">
        <f>IF(ISBLANK('Data Input'!E257),"",'Data Input'!E257)</f>
        <v>30</v>
      </c>
      <c r="H257" t="str">
        <f>IF(ISBLANK('Data Input'!F257),"",'Data Input'!F257)</f>
        <v>White</v>
      </c>
      <c r="I257" t="str">
        <f>IF(ISBLANK('Data Input'!G257),"",'Data Input'!G257)</f>
        <v>Caesarean</v>
      </c>
      <c r="J257" t="str">
        <f>IF(ISBLANK('Data Input'!I257),"",'Data Input'!I257)</f>
        <v>6=26=18 0623</v>
      </c>
      <c r="K257" t="str">
        <f>IF(ISBLANK('Data Input'!J257),"",'Data Input'!J257)</f>
        <v>rr - Percocet</v>
      </c>
      <c r="L257">
        <f>IF(ISBLANK('Data Input'!K257),"",'Data Input'!K257)</f>
        <v>1</v>
      </c>
      <c r="M257">
        <f>IF(ISBLANK('Data Input'!L257),"",'Data Input'!L257)</f>
        <v>6</v>
      </c>
      <c r="N257">
        <f>IF(ISBLANK('Data Input'!M257),"",'Data Input'!M257)</f>
        <v>0</v>
      </c>
      <c r="O257">
        <f>IF(ISBLANK('Data Input'!N257),"",'Data Input'!N257)</f>
        <v>7</v>
      </c>
      <c r="P257" t="str">
        <f>IF(ISBLANK('Data Input'!O257),"",'Data Input'!O257)</f>
        <v/>
      </c>
      <c r="Q257" t="str">
        <f>IF(ISBLANK('Data Input'!P257),"",'Data Input'!P257)</f>
        <v/>
      </c>
      <c r="R257" t="b">
        <f>IF(ISBLANK('Data Input'!Q257),"",'Data Input'!Q257)</f>
        <v>0</v>
      </c>
      <c r="T257" s="2">
        <f t="shared" si="14"/>
        <v>43276</v>
      </c>
      <c r="U257" s="12">
        <f t="shared" si="15"/>
        <v>0.99305555555555547</v>
      </c>
      <c r="V257" s="2">
        <f t="shared" si="16"/>
        <v>43277</v>
      </c>
      <c r="W257" s="12">
        <f t="shared" si="17"/>
        <v>0.92847222222222225</v>
      </c>
    </row>
    <row r="258" spans="1:23">
      <c r="A258">
        <f>IF(ISBLANK('Data Input'!A258),"",'Data Input'!A258)</f>
        <v>70</v>
      </c>
      <c r="B258" t="str">
        <f>IF(ISBLANK('Data Input'!B258),"",'Data Input'!B258)</f>
        <v>KP070</v>
      </c>
      <c r="C258" t="str">
        <f>IF(ISBLANK('Data Input'!C258),"",'Data Input'!C258)</f>
        <v>6/25/18 2350</v>
      </c>
      <c r="E258" t="str">
        <f>IF(ISBLANK('Data Input'!D258),"",'Data Input'!D258)</f>
        <v>6/26/18 2217</v>
      </c>
      <c r="G258">
        <f>IF(ISBLANK('Data Input'!E258),"",'Data Input'!E258)</f>
        <v>30</v>
      </c>
      <c r="H258" t="str">
        <f>IF(ISBLANK('Data Input'!F258),"",'Data Input'!F258)</f>
        <v>White</v>
      </c>
      <c r="I258" t="str">
        <f>IF(ISBLANK('Data Input'!G258),"",'Data Input'!G258)</f>
        <v>Caesarean</v>
      </c>
      <c r="J258" t="str">
        <f>IF(ISBLANK('Data Input'!I258),"",'Data Input'!I258)</f>
        <v>6=26=18 1221</v>
      </c>
      <c r="K258" t="str">
        <f>IF(ISBLANK('Data Input'!J258),"",'Data Input'!J258)</f>
        <v>tr - Toradol</v>
      </c>
      <c r="L258">
        <f>IF(ISBLANK('Data Input'!K258),"",'Data Input'!K258)</f>
        <v>30</v>
      </c>
      <c r="M258">
        <f>IF(ISBLANK('Data Input'!L258),"",'Data Input'!L258)</f>
        <v>6</v>
      </c>
      <c r="N258">
        <f>IF(ISBLANK('Data Input'!M258),"",'Data Input'!M258)</f>
        <v>3</v>
      </c>
      <c r="O258">
        <f>IF(ISBLANK('Data Input'!N258),"",'Data Input'!N258)</f>
        <v>3</v>
      </c>
      <c r="P258" t="str">
        <f>IF(ISBLANK('Data Input'!O258),"",'Data Input'!O258)</f>
        <v/>
      </c>
      <c r="Q258" t="str">
        <f>IF(ISBLANK('Data Input'!P258),"",'Data Input'!P258)</f>
        <v/>
      </c>
      <c r="R258" t="b">
        <f>IF(ISBLANK('Data Input'!Q258),"",'Data Input'!Q258)</f>
        <v>0</v>
      </c>
      <c r="T258" s="2">
        <f t="shared" si="14"/>
        <v>43276</v>
      </c>
      <c r="U258" s="12">
        <f t="shared" si="15"/>
        <v>0.99305555555555547</v>
      </c>
      <c r="V258" s="2">
        <f t="shared" si="16"/>
        <v>43277</v>
      </c>
      <c r="W258" s="12">
        <f t="shared" si="17"/>
        <v>0.92847222222222225</v>
      </c>
    </row>
    <row r="259" spans="1:23">
      <c r="A259">
        <f>IF(ISBLANK('Data Input'!A259),"",'Data Input'!A259)</f>
        <v>70</v>
      </c>
      <c r="B259" t="str">
        <f>IF(ISBLANK('Data Input'!B259),"",'Data Input'!B259)</f>
        <v>KP070</v>
      </c>
      <c r="C259" t="str">
        <f>IF(ISBLANK('Data Input'!C259),"",'Data Input'!C259)</f>
        <v>6/25/18 2350</v>
      </c>
      <c r="E259" t="str">
        <f>IF(ISBLANK('Data Input'!D259),"",'Data Input'!D259)</f>
        <v>6/26/18 2217</v>
      </c>
      <c r="G259">
        <f>IF(ISBLANK('Data Input'!E259),"",'Data Input'!E259)</f>
        <v>30</v>
      </c>
      <c r="H259" t="str">
        <f>IF(ISBLANK('Data Input'!F259),"",'Data Input'!F259)</f>
        <v>White</v>
      </c>
      <c r="I259" t="str">
        <f>IF(ISBLANK('Data Input'!G259),"",'Data Input'!G259)</f>
        <v>Caesarean</v>
      </c>
      <c r="J259" t="str">
        <f>IF(ISBLANK('Data Input'!I259),"",'Data Input'!I259)</f>
        <v>6=26=18 1226</v>
      </c>
      <c r="K259" t="str">
        <f>IF(ISBLANK('Data Input'!J259),"",'Data Input'!J259)</f>
        <v>rr - Percocet</v>
      </c>
      <c r="L259">
        <f>IF(ISBLANK('Data Input'!K259),"",'Data Input'!K259)</f>
        <v>2</v>
      </c>
      <c r="M259">
        <f>IF(ISBLANK('Data Input'!L259),"",'Data Input'!L259)</f>
        <v>6</v>
      </c>
      <c r="N259">
        <f>IF(ISBLANK('Data Input'!M259),"",'Data Input'!M259)</f>
        <v>3</v>
      </c>
      <c r="O259">
        <f>IF(ISBLANK('Data Input'!N259),"",'Data Input'!N259)</f>
        <v>7</v>
      </c>
      <c r="P259" t="str">
        <f>IF(ISBLANK('Data Input'!O259),"",'Data Input'!O259)</f>
        <v/>
      </c>
      <c r="Q259" t="str">
        <f>IF(ISBLANK('Data Input'!P259),"",'Data Input'!P259)</f>
        <v/>
      </c>
      <c r="R259" t="b">
        <f>IF(ISBLANK('Data Input'!Q259),"",'Data Input'!Q259)</f>
        <v>0</v>
      </c>
      <c r="T259" s="2">
        <f t="shared" ref="T259:T322" si="18">DATEVALUE(LEFT(C259,FIND(" ",C259)))</f>
        <v>43276</v>
      </c>
      <c r="U259" s="12">
        <f t="shared" ref="U259:U322" si="19">TIMEVALUE(CONCATENATE(MID(C259,FIND(" ",C259)+1,2),":",RIGHT(C259,LEN(C259)-FIND(" ",C259)-2)))</f>
        <v>0.99305555555555547</v>
      </c>
      <c r="V259" s="2">
        <f t="shared" si="16"/>
        <v>43277</v>
      </c>
      <c r="W259" s="12">
        <f t="shared" si="17"/>
        <v>0.92847222222222225</v>
      </c>
    </row>
    <row r="260" spans="1:23">
      <c r="A260">
        <f>IF(ISBLANK('Data Input'!A260),"",'Data Input'!A260)</f>
        <v>70</v>
      </c>
      <c r="B260" t="str">
        <f>IF(ISBLANK('Data Input'!B260),"",'Data Input'!B260)</f>
        <v>KP070</v>
      </c>
      <c r="C260" t="str">
        <f>IF(ISBLANK('Data Input'!C260),"",'Data Input'!C260)</f>
        <v>6/25/18 2350</v>
      </c>
      <c r="E260" t="str">
        <f>IF(ISBLANK('Data Input'!D260),"",'Data Input'!D260)</f>
        <v>6/26/18 2217</v>
      </c>
      <c r="G260">
        <f>IF(ISBLANK('Data Input'!E260),"",'Data Input'!E260)</f>
        <v>30</v>
      </c>
      <c r="H260" t="str">
        <f>IF(ISBLANK('Data Input'!F260),"",'Data Input'!F260)</f>
        <v>White</v>
      </c>
      <c r="I260" t="str">
        <f>IF(ISBLANK('Data Input'!G260),"",'Data Input'!G260)</f>
        <v>Caesarean</v>
      </c>
      <c r="J260" t="str">
        <f>IF(ISBLANK('Data Input'!I260),"",'Data Input'!I260)</f>
        <v>6=26=18 1440</v>
      </c>
      <c r="K260" t="str">
        <f>IF(ISBLANK('Data Input'!J260),"",'Data Input'!J260)</f>
        <v>tr - Toradol</v>
      </c>
      <c r="L260">
        <f>IF(ISBLANK('Data Input'!K260),"",'Data Input'!K260)</f>
        <v>30</v>
      </c>
      <c r="M260">
        <f>IF(ISBLANK('Data Input'!L260),"",'Data Input'!L260)</f>
        <v>6</v>
      </c>
      <c r="N260">
        <f>IF(ISBLANK('Data Input'!M260),"",'Data Input'!M260)</f>
        <v>0</v>
      </c>
      <c r="O260">
        <f>IF(ISBLANK('Data Input'!N260),"",'Data Input'!N260)</f>
        <v>3</v>
      </c>
      <c r="P260" t="str">
        <f>IF(ISBLANK('Data Input'!O260),"",'Data Input'!O260)</f>
        <v/>
      </c>
      <c r="Q260" t="str">
        <f>IF(ISBLANK('Data Input'!P260),"",'Data Input'!P260)</f>
        <v/>
      </c>
      <c r="R260" t="b">
        <f>IF(ISBLANK('Data Input'!Q260),"",'Data Input'!Q260)</f>
        <v>0</v>
      </c>
      <c r="T260" s="2">
        <f t="shared" si="18"/>
        <v>43276</v>
      </c>
      <c r="U260" s="12">
        <f t="shared" si="19"/>
        <v>0.99305555555555547</v>
      </c>
      <c r="V260" s="2">
        <f t="shared" si="16"/>
        <v>43277</v>
      </c>
      <c r="W260" s="12">
        <f t="shared" si="17"/>
        <v>0.92847222222222225</v>
      </c>
    </row>
    <row r="261" spans="1:23">
      <c r="A261">
        <f>IF(ISBLANK('Data Input'!A261),"",'Data Input'!A261)</f>
        <v>70</v>
      </c>
      <c r="B261" t="str">
        <f>IF(ISBLANK('Data Input'!B261),"",'Data Input'!B261)</f>
        <v>KP070</v>
      </c>
      <c r="C261" t="str">
        <f>IF(ISBLANK('Data Input'!C261),"",'Data Input'!C261)</f>
        <v>6/25/18 2350</v>
      </c>
      <c r="E261" t="str">
        <f>IF(ISBLANK('Data Input'!D261),"",'Data Input'!D261)</f>
        <v>6/26/18 2217</v>
      </c>
      <c r="G261">
        <f>IF(ISBLANK('Data Input'!E261),"",'Data Input'!E261)</f>
        <v>30</v>
      </c>
      <c r="H261" t="str">
        <f>IF(ISBLANK('Data Input'!F261),"",'Data Input'!F261)</f>
        <v>White</v>
      </c>
      <c r="I261" t="str">
        <f>IF(ISBLANK('Data Input'!G261),"",'Data Input'!G261)</f>
        <v>Caesarean</v>
      </c>
      <c r="J261" t="str">
        <f>IF(ISBLANK('Data Input'!I261),"",'Data Input'!I261)</f>
        <v>6=26=18 1840</v>
      </c>
      <c r="K261" t="str">
        <f>IF(ISBLANK('Data Input'!J261),"",'Data Input'!J261)</f>
        <v>rr - Percocet</v>
      </c>
      <c r="L261">
        <f>IF(ISBLANK('Data Input'!K261),"",'Data Input'!K261)</f>
        <v>2</v>
      </c>
      <c r="M261">
        <f>IF(ISBLANK('Data Input'!L261),"",'Data Input'!L261)</f>
        <v>6</v>
      </c>
      <c r="N261">
        <f>IF(ISBLANK('Data Input'!M261),"",'Data Input'!M261)</f>
        <v>0</v>
      </c>
      <c r="O261">
        <f>IF(ISBLANK('Data Input'!N261),"",'Data Input'!N261)</f>
        <v>7</v>
      </c>
      <c r="P261" t="str">
        <f>IF(ISBLANK('Data Input'!O261),"",'Data Input'!O261)</f>
        <v/>
      </c>
      <c r="Q261" t="str">
        <f>IF(ISBLANK('Data Input'!P261),"",'Data Input'!P261)</f>
        <v/>
      </c>
      <c r="R261" t="b">
        <f>IF(ISBLANK('Data Input'!Q261),"",'Data Input'!Q261)</f>
        <v>0</v>
      </c>
      <c r="T261" s="2">
        <f t="shared" si="18"/>
        <v>43276</v>
      </c>
      <c r="U261" s="12">
        <f t="shared" si="19"/>
        <v>0.99305555555555547</v>
      </c>
      <c r="V261" s="2">
        <f t="shared" si="16"/>
        <v>43277</v>
      </c>
      <c r="W261" s="12">
        <f t="shared" si="17"/>
        <v>0.92847222222222225</v>
      </c>
    </row>
    <row r="262" spans="1:23">
      <c r="A262">
        <f>IF(ISBLANK('Data Input'!A262),"",'Data Input'!A262)</f>
        <v>70</v>
      </c>
      <c r="B262" t="str">
        <f>IF(ISBLANK('Data Input'!B262),"",'Data Input'!B262)</f>
        <v>KP070</v>
      </c>
      <c r="C262" t="str">
        <f>IF(ISBLANK('Data Input'!C262),"",'Data Input'!C262)</f>
        <v>6/25/18 2350</v>
      </c>
      <c r="E262" t="str">
        <f>IF(ISBLANK('Data Input'!D262),"",'Data Input'!D262)</f>
        <v>6/26/18 2217</v>
      </c>
      <c r="G262">
        <f>IF(ISBLANK('Data Input'!E262),"",'Data Input'!E262)</f>
        <v>30</v>
      </c>
      <c r="H262" t="str">
        <f>IF(ISBLANK('Data Input'!F262),"",'Data Input'!F262)</f>
        <v>White</v>
      </c>
      <c r="I262" t="str">
        <f>IF(ISBLANK('Data Input'!G262),"",'Data Input'!G262)</f>
        <v>Caesarean</v>
      </c>
      <c r="J262" t="str">
        <f>IF(ISBLANK('Data Input'!I262),"",'Data Input'!I262)</f>
        <v>6=26=18 2217</v>
      </c>
      <c r="K262" t="str">
        <f>IF(ISBLANK('Data Input'!J262),"",'Data Input'!J262)</f>
        <v>rr - Percocet</v>
      </c>
      <c r="L262">
        <f>IF(ISBLANK('Data Input'!K262),"",'Data Input'!K262)</f>
        <v>2</v>
      </c>
      <c r="M262">
        <f>IF(ISBLANK('Data Input'!L262),"",'Data Input'!L262)</f>
        <v>8</v>
      </c>
      <c r="N262">
        <f>IF(ISBLANK('Data Input'!M262),"",'Data Input'!M262)</f>
        <v>3</v>
      </c>
      <c r="O262">
        <f>IF(ISBLANK('Data Input'!N262),"",'Data Input'!N262)</f>
        <v>7</v>
      </c>
      <c r="P262" t="str">
        <f>IF(ISBLANK('Data Input'!O262),"",'Data Input'!O262)</f>
        <v/>
      </c>
      <c r="Q262" t="str">
        <f>IF(ISBLANK('Data Input'!P262),"",'Data Input'!P262)</f>
        <v/>
      </c>
      <c r="R262" t="b">
        <f>IF(ISBLANK('Data Input'!Q262),"",'Data Input'!Q262)</f>
        <v>0</v>
      </c>
      <c r="T262" s="2">
        <f t="shared" si="18"/>
        <v>43276</v>
      </c>
      <c r="U262" s="12">
        <f t="shared" si="19"/>
        <v>0.99305555555555547</v>
      </c>
      <c r="V262" s="2">
        <f t="shared" si="16"/>
        <v>43277</v>
      </c>
      <c r="W262" s="12">
        <f t="shared" si="17"/>
        <v>0.92847222222222225</v>
      </c>
    </row>
    <row r="263" spans="1:23">
      <c r="A263">
        <f>IF(ISBLANK('Data Input'!A263),"",'Data Input'!A263)</f>
        <v>71</v>
      </c>
      <c r="B263" t="str">
        <f>IF(ISBLANK('Data Input'!B263),"",'Data Input'!B263)</f>
        <v>LW071</v>
      </c>
      <c r="C263" t="str">
        <f>IF(ISBLANK('Data Input'!C263),"",'Data Input'!C263)</f>
        <v>6/26/18 1230</v>
      </c>
      <c r="E263" t="str">
        <f>IF(ISBLANK('Data Input'!D263),"",'Data Input'!D263)</f>
        <v>6/27/18 0633</v>
      </c>
      <c r="G263">
        <f>IF(ISBLANK('Data Input'!E263),"",'Data Input'!E263)</f>
        <v>31</v>
      </c>
      <c r="H263" t="str">
        <f>IF(ISBLANK('Data Input'!F263),"",'Data Input'!F263)</f>
        <v>bb - Black</v>
      </c>
      <c r="I263" t="str">
        <f>IF(ISBLANK('Data Input'!G263),"",'Data Input'!G263)</f>
        <v>Caesarean</v>
      </c>
      <c r="J263" t="str">
        <f>IF(ISBLANK('Data Input'!I263),"",'Data Input'!I263)</f>
        <v>6=26=18 1812</v>
      </c>
      <c r="K263" t="str">
        <f>IF(ISBLANK('Data Input'!J263),"",'Data Input'!J263)</f>
        <v>tr - Toradol</v>
      </c>
      <c r="L263">
        <f>IF(ISBLANK('Data Input'!K263),"",'Data Input'!K263)</f>
        <v>30</v>
      </c>
      <c r="M263">
        <f>IF(ISBLANK('Data Input'!L263),"",'Data Input'!L263)</f>
        <v>0</v>
      </c>
      <c r="N263">
        <f>IF(ISBLANK('Data Input'!M263),"",'Data Input'!M263)</f>
        <v>0</v>
      </c>
      <c r="O263" t="str">
        <f>IF(ISBLANK('Data Input'!N263),"",'Data Input'!N263)</f>
        <v/>
      </c>
      <c r="P263" t="str">
        <f>IF(ISBLANK('Data Input'!O263),"",'Data Input'!O263)</f>
        <v/>
      </c>
      <c r="Q263" t="str">
        <f>IF(ISBLANK('Data Input'!P263),"",'Data Input'!P263)</f>
        <v/>
      </c>
      <c r="R263" t="b">
        <f>IF(ISBLANK('Data Input'!Q263),"",'Data Input'!Q263)</f>
        <v>1</v>
      </c>
      <c r="T263" s="2">
        <f t="shared" si="18"/>
        <v>43277</v>
      </c>
      <c r="U263" s="12">
        <f t="shared" si="19"/>
        <v>0.52083333333333337</v>
      </c>
      <c r="V263" s="2">
        <f t="shared" ref="V263:V326" si="20">IFERROR(DATEVALUE(LEFT(E263,FIND(" ",E263))),E263)</f>
        <v>43278</v>
      </c>
      <c r="W263" s="12">
        <f t="shared" ref="W263:W326" si="21">IFERROR(TIMEVALUE(CONCATENATE(MID(E263,FIND(" ",E263)+1,2),":",RIGHT(E263,LEN(E263)-FIND(" ",E263)-2))),E263)</f>
        <v>0.27291666666666664</v>
      </c>
    </row>
    <row r="264" spans="1:23">
      <c r="A264">
        <f>IF(ISBLANK('Data Input'!A264),"",'Data Input'!A264)</f>
        <v>71</v>
      </c>
      <c r="B264" t="str">
        <f>IF(ISBLANK('Data Input'!B264),"",'Data Input'!B264)</f>
        <v>LW071</v>
      </c>
      <c r="C264" t="str">
        <f>IF(ISBLANK('Data Input'!C264),"",'Data Input'!C264)</f>
        <v>6/26/18 1230</v>
      </c>
      <c r="E264" t="str">
        <f>IF(ISBLANK('Data Input'!D264),"",'Data Input'!D264)</f>
        <v>6/27/18 0633</v>
      </c>
      <c r="G264">
        <f>IF(ISBLANK('Data Input'!E264),"",'Data Input'!E264)</f>
        <v>31</v>
      </c>
      <c r="H264" t="str">
        <f>IF(ISBLANK('Data Input'!F264),"",'Data Input'!F264)</f>
        <v>bb - Black</v>
      </c>
      <c r="I264" t="str">
        <f>IF(ISBLANK('Data Input'!G264),"",'Data Input'!G264)</f>
        <v>Caesarean</v>
      </c>
      <c r="J264" t="str">
        <f>IF(ISBLANK('Data Input'!I264),"",'Data Input'!I264)</f>
        <v>6=27=18 0127</v>
      </c>
      <c r="K264" t="str">
        <f>IF(ISBLANK('Data Input'!J264),"",'Data Input'!J264)</f>
        <v>tr - Toradol</v>
      </c>
      <c r="L264">
        <f>IF(ISBLANK('Data Input'!K264),"",'Data Input'!K264)</f>
        <v>30</v>
      </c>
      <c r="M264">
        <f>IF(ISBLANK('Data Input'!L264),"",'Data Input'!L264)</f>
        <v>3</v>
      </c>
      <c r="N264">
        <f>IF(ISBLANK('Data Input'!M264),"",'Data Input'!M264)</f>
        <v>0</v>
      </c>
      <c r="O264" t="str">
        <f>IF(ISBLANK('Data Input'!N264),"",'Data Input'!N264)</f>
        <v/>
      </c>
      <c r="P264" t="str">
        <f>IF(ISBLANK('Data Input'!O264),"",'Data Input'!O264)</f>
        <v/>
      </c>
      <c r="Q264" t="str">
        <f>IF(ISBLANK('Data Input'!P264),"",'Data Input'!P264)</f>
        <v/>
      </c>
      <c r="R264" t="b">
        <f>IF(ISBLANK('Data Input'!Q264),"",'Data Input'!Q264)</f>
        <v>1</v>
      </c>
      <c r="T264" s="2">
        <f t="shared" si="18"/>
        <v>43277</v>
      </c>
      <c r="U264" s="12">
        <f t="shared" si="19"/>
        <v>0.52083333333333337</v>
      </c>
      <c r="V264" s="2">
        <f t="shared" si="20"/>
        <v>43278</v>
      </c>
      <c r="W264" s="12">
        <f t="shared" si="21"/>
        <v>0.27291666666666664</v>
      </c>
    </row>
    <row r="265" spans="1:23">
      <c r="A265">
        <f>IF(ISBLANK('Data Input'!A265),"",'Data Input'!A265)</f>
        <v>71</v>
      </c>
      <c r="B265" t="str">
        <f>IF(ISBLANK('Data Input'!B265),"",'Data Input'!B265)</f>
        <v>LW071</v>
      </c>
      <c r="C265" t="str">
        <f>IF(ISBLANK('Data Input'!C265),"",'Data Input'!C265)</f>
        <v>6/26/18 1230</v>
      </c>
      <c r="E265" t="str">
        <f>IF(ISBLANK('Data Input'!D265),"",'Data Input'!D265)</f>
        <v>6/27/18 0633</v>
      </c>
      <c r="G265">
        <f>IF(ISBLANK('Data Input'!E265),"",'Data Input'!E265)</f>
        <v>31</v>
      </c>
      <c r="H265" t="str">
        <f>IF(ISBLANK('Data Input'!F265),"",'Data Input'!F265)</f>
        <v>bb - Black</v>
      </c>
      <c r="I265" t="str">
        <f>IF(ISBLANK('Data Input'!G265),"",'Data Input'!G265)</f>
        <v>Caesarean</v>
      </c>
      <c r="J265" t="str">
        <f>IF(ISBLANK('Data Input'!I265),"",'Data Input'!I265)</f>
        <v>6=27=18 0633</v>
      </c>
      <c r="K265" t="str">
        <f>IF(ISBLANK('Data Input'!J265),"",'Data Input'!J265)</f>
        <v>tr - Toradol</v>
      </c>
      <c r="L265">
        <f>IF(ISBLANK('Data Input'!K265),"",'Data Input'!K265)</f>
        <v>30</v>
      </c>
      <c r="M265">
        <f>IF(ISBLANK('Data Input'!L265),"",'Data Input'!L265)</f>
        <v>4</v>
      </c>
      <c r="N265">
        <f>IF(ISBLANK('Data Input'!M265),"",'Data Input'!M265)</f>
        <v>0</v>
      </c>
      <c r="O265" t="str">
        <f>IF(ISBLANK('Data Input'!N265),"",'Data Input'!N265)</f>
        <v/>
      </c>
      <c r="P265" t="str">
        <f>IF(ISBLANK('Data Input'!O265),"",'Data Input'!O265)</f>
        <v/>
      </c>
      <c r="Q265" t="str">
        <f>IF(ISBLANK('Data Input'!P265),"",'Data Input'!P265)</f>
        <v/>
      </c>
      <c r="R265" t="b">
        <f>IF(ISBLANK('Data Input'!Q265),"",'Data Input'!Q265)</f>
        <v>1</v>
      </c>
      <c r="T265" s="2">
        <f t="shared" si="18"/>
        <v>43277</v>
      </c>
      <c r="U265" s="12">
        <f t="shared" si="19"/>
        <v>0.52083333333333337</v>
      </c>
      <c r="V265" s="2">
        <f t="shared" si="20"/>
        <v>43278</v>
      </c>
      <c r="W265" s="12">
        <f t="shared" si="21"/>
        <v>0.27291666666666664</v>
      </c>
    </row>
    <row r="266" spans="1:23">
      <c r="A266">
        <f>IF(ISBLANK('Data Input'!A266),"",'Data Input'!A266)</f>
        <v>72</v>
      </c>
      <c r="B266" t="str">
        <f>IF(ISBLANK('Data Input'!B266),"",'Data Input'!B266)</f>
        <v>AM072</v>
      </c>
      <c r="C266" t="str">
        <f>IF(ISBLANK('Data Input'!C266),"",'Data Input'!C266)</f>
        <v>6/26/18 0715</v>
      </c>
      <c r="E266" t="str">
        <f>IF(ISBLANK('Data Input'!D266),"",'Data Input'!D266)</f>
        <v>6/27/18 0548</v>
      </c>
      <c r="G266">
        <f>IF(ISBLANK('Data Input'!E266),"",'Data Input'!E266)</f>
        <v>37</v>
      </c>
      <c r="H266" t="str">
        <f>IF(ISBLANK('Data Input'!F266),"",'Data Input'!F266)</f>
        <v>ee - Other</v>
      </c>
      <c r="I266" t="str">
        <f>IF(ISBLANK('Data Input'!G266),"",'Data Input'!G266)</f>
        <v>SVD</v>
      </c>
      <c r="J266" t="str">
        <f>IF(ISBLANK('Data Input'!I266),"",'Data Input'!I266)</f>
        <v>6=26=18 1028</v>
      </c>
      <c r="K266" t="str">
        <f>IF(ISBLANK('Data Input'!J266),"",'Data Input'!J266)</f>
        <v>bb - Ibuprofen</v>
      </c>
      <c r="L266">
        <f>IF(ISBLANK('Data Input'!K266),"",'Data Input'!K266)</f>
        <v>800</v>
      </c>
      <c r="M266" t="str">
        <f>IF(ISBLANK('Data Input'!L266),"",'Data Input'!L266)</f>
        <v>dd - Missing Data</v>
      </c>
      <c r="N266" t="str">
        <f>IF(ISBLANK('Data Input'!M266),"",'Data Input'!M266)</f>
        <v>dd - Missing Data</v>
      </c>
      <c r="O266" t="str">
        <f>IF(ISBLANK('Data Input'!N266),"",'Data Input'!N266)</f>
        <v/>
      </c>
      <c r="P266" t="str">
        <f>IF(ISBLANK('Data Input'!O266),"",'Data Input'!O266)</f>
        <v/>
      </c>
      <c r="Q266" t="str">
        <f>IF(ISBLANK('Data Input'!P266),"",'Data Input'!P266)</f>
        <v/>
      </c>
      <c r="R266" t="b">
        <f>IF(ISBLANK('Data Input'!Q266),"",'Data Input'!Q266)</f>
        <v>0</v>
      </c>
      <c r="T266" s="2">
        <f t="shared" si="18"/>
        <v>43277</v>
      </c>
      <c r="U266" s="12">
        <f t="shared" si="19"/>
        <v>0.30208333333333331</v>
      </c>
      <c r="V266" s="2">
        <f t="shared" si="20"/>
        <v>43278</v>
      </c>
      <c r="W266" s="12">
        <f t="shared" si="21"/>
        <v>0.24166666666666667</v>
      </c>
    </row>
    <row r="267" spans="1:23">
      <c r="A267">
        <f>IF(ISBLANK('Data Input'!A267),"",'Data Input'!A267)</f>
        <v>72</v>
      </c>
      <c r="B267" t="str">
        <f>IF(ISBLANK('Data Input'!B267),"",'Data Input'!B267)</f>
        <v>AM072</v>
      </c>
      <c r="C267" t="str">
        <f>IF(ISBLANK('Data Input'!C267),"",'Data Input'!C267)</f>
        <v>6/26/18 0715</v>
      </c>
      <c r="E267" t="str">
        <f>IF(ISBLANK('Data Input'!D267),"",'Data Input'!D267)</f>
        <v>6/27/18 0548</v>
      </c>
      <c r="G267">
        <f>IF(ISBLANK('Data Input'!E267),"",'Data Input'!E267)</f>
        <v>37</v>
      </c>
      <c r="H267" t="str">
        <f>IF(ISBLANK('Data Input'!F267),"",'Data Input'!F267)</f>
        <v>ee - Other</v>
      </c>
      <c r="I267" t="str">
        <f>IF(ISBLANK('Data Input'!G267),"",'Data Input'!G267)</f>
        <v>SVD</v>
      </c>
      <c r="J267" t="str">
        <f>IF(ISBLANK('Data Input'!I267),"",'Data Input'!I267)</f>
        <v>6=27=18 0548</v>
      </c>
      <c r="K267" t="str">
        <f>IF(ISBLANK('Data Input'!J267),"",'Data Input'!J267)</f>
        <v>bb - Ibuprofen</v>
      </c>
      <c r="L267">
        <f>IF(ISBLANK('Data Input'!K267),"",'Data Input'!K267)</f>
        <v>800</v>
      </c>
      <c r="M267" t="str">
        <f>IF(ISBLANK('Data Input'!L267),"",'Data Input'!L267)</f>
        <v>dd - Missing Data</v>
      </c>
      <c r="N267" t="str">
        <f>IF(ISBLANK('Data Input'!M267),"",'Data Input'!M267)</f>
        <v>dd - Missing Data</v>
      </c>
      <c r="O267" t="str">
        <f>IF(ISBLANK('Data Input'!N267),"",'Data Input'!N267)</f>
        <v/>
      </c>
      <c r="P267" t="str">
        <f>IF(ISBLANK('Data Input'!O267),"",'Data Input'!O267)</f>
        <v/>
      </c>
      <c r="Q267" t="str">
        <f>IF(ISBLANK('Data Input'!P267),"",'Data Input'!P267)</f>
        <v/>
      </c>
      <c r="R267" t="b">
        <f>IF(ISBLANK('Data Input'!Q267),"",'Data Input'!Q267)</f>
        <v>0</v>
      </c>
      <c r="T267" s="2">
        <f t="shared" si="18"/>
        <v>43277</v>
      </c>
      <c r="U267" s="12">
        <f t="shared" si="19"/>
        <v>0.30208333333333331</v>
      </c>
      <c r="V267" s="2">
        <f t="shared" si="20"/>
        <v>43278</v>
      </c>
      <c r="W267" s="12">
        <f t="shared" si="21"/>
        <v>0.24166666666666667</v>
      </c>
    </row>
    <row r="268" spans="1:23">
      <c r="A268">
        <f>IF(ISBLANK('Data Input'!A268),"",'Data Input'!A268)</f>
        <v>73</v>
      </c>
      <c r="B268" t="str">
        <f>IF(ISBLANK('Data Input'!B268),"",'Data Input'!B268)</f>
        <v>DB073</v>
      </c>
      <c r="C268" t="str">
        <f>IF(ISBLANK('Data Input'!C268),"",'Data Input'!C268)</f>
        <v>6/26/18 1044</v>
      </c>
      <c r="E268" t="str">
        <f>IF(ISBLANK('Data Input'!D268),"",'Data Input'!D268)</f>
        <v>6/27/18 0505</v>
      </c>
      <c r="G268">
        <f>IF(ISBLANK('Data Input'!E268),"",'Data Input'!E268)</f>
        <v>33</v>
      </c>
      <c r="H268" t="str">
        <f>IF(ISBLANK('Data Input'!F268),"",'Data Input'!F268)</f>
        <v>White</v>
      </c>
      <c r="I268" t="str">
        <f>IF(ISBLANK('Data Input'!G268),"",'Data Input'!G268)</f>
        <v>Caesarean</v>
      </c>
      <c r="J268" t="str">
        <f>IF(ISBLANK('Data Input'!I268),"",'Data Input'!I268)</f>
        <v>6=26=18 2235</v>
      </c>
      <c r="K268" t="str">
        <f>IF(ISBLANK('Data Input'!J268),"",'Data Input'!J268)</f>
        <v>tr - Toradol</v>
      </c>
      <c r="L268">
        <f>IF(ISBLANK('Data Input'!K268),"",'Data Input'!K268)</f>
        <v>30</v>
      </c>
      <c r="M268">
        <f>IF(ISBLANK('Data Input'!L268),"",'Data Input'!L268)</f>
        <v>3</v>
      </c>
      <c r="N268">
        <f>IF(ISBLANK('Data Input'!M268),"",'Data Input'!M268)</f>
        <v>2</v>
      </c>
      <c r="O268" t="str">
        <f>IF(ISBLANK('Data Input'!N268),"",'Data Input'!N268)</f>
        <v/>
      </c>
      <c r="P268" t="str">
        <f>IF(ISBLANK('Data Input'!O268),"",'Data Input'!O268)</f>
        <v/>
      </c>
      <c r="Q268" t="str">
        <f>IF(ISBLANK('Data Input'!P268),"",'Data Input'!P268)</f>
        <v/>
      </c>
      <c r="R268" t="b">
        <f>IF(ISBLANK('Data Input'!Q268),"",'Data Input'!Q268)</f>
        <v>1</v>
      </c>
      <c r="T268" s="2">
        <f t="shared" si="18"/>
        <v>43277</v>
      </c>
      <c r="U268" s="12">
        <f t="shared" si="19"/>
        <v>0.44722222222222219</v>
      </c>
      <c r="V268" s="2">
        <f t="shared" si="20"/>
        <v>43278</v>
      </c>
      <c r="W268" s="12">
        <f t="shared" si="21"/>
        <v>0.21180555555555555</v>
      </c>
    </row>
    <row r="269" spans="1:23">
      <c r="A269">
        <f>IF(ISBLANK('Data Input'!A269),"",'Data Input'!A269)</f>
        <v>73</v>
      </c>
      <c r="B269" t="str">
        <f>IF(ISBLANK('Data Input'!B269),"",'Data Input'!B269)</f>
        <v>DB073</v>
      </c>
      <c r="C269" t="str">
        <f>IF(ISBLANK('Data Input'!C269),"",'Data Input'!C269)</f>
        <v>6/26/18 1044</v>
      </c>
      <c r="E269" t="str">
        <f>IF(ISBLANK('Data Input'!D269),"",'Data Input'!D269)</f>
        <v>6/27/18 0505</v>
      </c>
      <c r="G269">
        <f>IF(ISBLANK('Data Input'!E269),"",'Data Input'!E269)</f>
        <v>33</v>
      </c>
      <c r="H269" t="str">
        <f>IF(ISBLANK('Data Input'!F269),"",'Data Input'!F269)</f>
        <v>White</v>
      </c>
      <c r="I269" t="str">
        <f>IF(ISBLANK('Data Input'!G269),"",'Data Input'!G269)</f>
        <v>Caesarean</v>
      </c>
      <c r="J269" t="str">
        <f>IF(ISBLANK('Data Input'!I269),"",'Data Input'!I269)</f>
        <v>6=27=18 0505</v>
      </c>
      <c r="K269" t="str">
        <f>IF(ISBLANK('Data Input'!J269),"",'Data Input'!J269)</f>
        <v>tr - Toradol</v>
      </c>
      <c r="L269">
        <f>IF(ISBLANK('Data Input'!K269),"",'Data Input'!K269)</f>
        <v>30</v>
      </c>
      <c r="M269">
        <f>IF(ISBLANK('Data Input'!L269),"",'Data Input'!L269)</f>
        <v>3</v>
      </c>
      <c r="N269">
        <f>IF(ISBLANK('Data Input'!M269),"",'Data Input'!M269)</f>
        <v>2</v>
      </c>
      <c r="O269" t="str">
        <f>IF(ISBLANK('Data Input'!N269),"",'Data Input'!N269)</f>
        <v/>
      </c>
      <c r="P269" t="str">
        <f>IF(ISBLANK('Data Input'!O269),"",'Data Input'!O269)</f>
        <v/>
      </c>
      <c r="Q269" t="str">
        <f>IF(ISBLANK('Data Input'!P269),"",'Data Input'!P269)</f>
        <v/>
      </c>
      <c r="R269" t="b">
        <f>IF(ISBLANK('Data Input'!Q269),"",'Data Input'!Q269)</f>
        <v>1</v>
      </c>
      <c r="T269" s="2">
        <f t="shared" si="18"/>
        <v>43277</v>
      </c>
      <c r="U269" s="12">
        <f t="shared" si="19"/>
        <v>0.44722222222222219</v>
      </c>
      <c r="V269" s="2">
        <f t="shared" si="20"/>
        <v>43278</v>
      </c>
      <c r="W269" s="12">
        <f t="shared" si="21"/>
        <v>0.21180555555555555</v>
      </c>
    </row>
    <row r="270" spans="1:23">
      <c r="A270">
        <f>IF(ISBLANK('Data Input'!A270),"",'Data Input'!A270)</f>
        <v>74</v>
      </c>
      <c r="B270" t="str">
        <f>IF(ISBLANK('Data Input'!B270),"",'Data Input'!B270)</f>
        <v>MC074</v>
      </c>
      <c r="C270" t="str">
        <f>IF(ISBLANK('Data Input'!C270),"",'Data Input'!C270)</f>
        <v>6/26/18 1500</v>
      </c>
      <c r="E270" t="str">
        <f>IF(ISBLANK('Data Input'!D270),"",'Data Input'!D270)</f>
        <v>6/27/18 0604</v>
      </c>
      <c r="G270">
        <f>IF(ISBLANK('Data Input'!E270),"",'Data Input'!E270)</f>
        <v>35</v>
      </c>
      <c r="H270" t="str">
        <f>IF(ISBLANK('Data Input'!F270),"",'Data Input'!F270)</f>
        <v>White</v>
      </c>
      <c r="I270" t="str">
        <f>IF(ISBLANK('Data Input'!G270),"",'Data Input'!G270)</f>
        <v>Caesarean</v>
      </c>
      <c r="J270" t="str">
        <f>IF(ISBLANK('Data Input'!I270),"",'Data Input'!I270)</f>
        <v>6=26=18 1716</v>
      </c>
      <c r="K270" t="str">
        <f>IF(ISBLANK('Data Input'!J270),"",'Data Input'!J270)</f>
        <v>tr - Toradol</v>
      </c>
      <c r="L270">
        <f>IF(ISBLANK('Data Input'!K270),"",'Data Input'!K270)</f>
        <v>30</v>
      </c>
      <c r="M270">
        <f>IF(ISBLANK('Data Input'!L270),"",'Data Input'!L270)</f>
        <v>5</v>
      </c>
      <c r="N270">
        <f>IF(ISBLANK('Data Input'!M270),"",'Data Input'!M270)</f>
        <v>0</v>
      </c>
      <c r="O270">
        <f>IF(ISBLANK('Data Input'!N270),"",'Data Input'!N270)</f>
        <v>3</v>
      </c>
      <c r="P270" t="str">
        <f>IF(ISBLANK('Data Input'!O270),"",'Data Input'!O270)</f>
        <v/>
      </c>
      <c r="Q270" t="str">
        <f>IF(ISBLANK('Data Input'!P270),"",'Data Input'!P270)</f>
        <v/>
      </c>
      <c r="R270" t="b">
        <f>IF(ISBLANK('Data Input'!Q270),"",'Data Input'!Q270)</f>
        <v>0</v>
      </c>
      <c r="T270" s="2">
        <f t="shared" si="18"/>
        <v>43277</v>
      </c>
      <c r="U270" s="12">
        <f t="shared" si="19"/>
        <v>0.625</v>
      </c>
      <c r="V270" s="2">
        <f t="shared" si="20"/>
        <v>43278</v>
      </c>
      <c r="W270" s="12">
        <f t="shared" si="21"/>
        <v>0.25277777777777777</v>
      </c>
    </row>
    <row r="271" spans="1:23">
      <c r="A271">
        <f>IF(ISBLANK('Data Input'!A271),"",'Data Input'!A271)</f>
        <v>74</v>
      </c>
      <c r="B271" t="str">
        <f>IF(ISBLANK('Data Input'!B271),"",'Data Input'!B271)</f>
        <v>MC074</v>
      </c>
      <c r="C271" t="str">
        <f>IF(ISBLANK('Data Input'!C271),"",'Data Input'!C271)</f>
        <v>6/26/18 1500</v>
      </c>
      <c r="E271" t="str">
        <f>IF(ISBLANK('Data Input'!D271),"",'Data Input'!D271)</f>
        <v>6/27/18 0604</v>
      </c>
      <c r="G271">
        <f>IF(ISBLANK('Data Input'!E271),"",'Data Input'!E271)</f>
        <v>35</v>
      </c>
      <c r="H271" t="str">
        <f>IF(ISBLANK('Data Input'!F271),"",'Data Input'!F271)</f>
        <v>White</v>
      </c>
      <c r="I271" t="str">
        <f>IF(ISBLANK('Data Input'!G271),"",'Data Input'!G271)</f>
        <v>Caesarean</v>
      </c>
      <c r="J271" t="str">
        <f>IF(ISBLANK('Data Input'!I271),"",'Data Input'!I271)</f>
        <v>6=26=18 2237</v>
      </c>
      <c r="K271" t="str">
        <f>IF(ISBLANK('Data Input'!J271),"",'Data Input'!J271)</f>
        <v>tr - Toradol</v>
      </c>
      <c r="L271">
        <f>IF(ISBLANK('Data Input'!K271),"",'Data Input'!K271)</f>
        <v>30</v>
      </c>
      <c r="M271">
        <f>IF(ISBLANK('Data Input'!L271),"",'Data Input'!L271)</f>
        <v>1</v>
      </c>
      <c r="N271">
        <f>IF(ISBLANK('Data Input'!M271),"",'Data Input'!M271)</f>
        <v>0</v>
      </c>
      <c r="O271">
        <f>IF(ISBLANK('Data Input'!N271),"",'Data Input'!N271)</f>
        <v>3</v>
      </c>
      <c r="P271" t="str">
        <f>IF(ISBLANK('Data Input'!O271),"",'Data Input'!O271)</f>
        <v/>
      </c>
      <c r="Q271" t="str">
        <f>IF(ISBLANK('Data Input'!P271),"",'Data Input'!P271)</f>
        <v/>
      </c>
      <c r="R271" t="b">
        <f>IF(ISBLANK('Data Input'!Q271),"",'Data Input'!Q271)</f>
        <v>0</v>
      </c>
      <c r="T271" s="2">
        <f t="shared" si="18"/>
        <v>43277</v>
      </c>
      <c r="U271" s="12">
        <f t="shared" si="19"/>
        <v>0.625</v>
      </c>
      <c r="V271" s="2">
        <f t="shared" si="20"/>
        <v>43278</v>
      </c>
      <c r="W271" s="12">
        <f t="shared" si="21"/>
        <v>0.25277777777777777</v>
      </c>
    </row>
    <row r="272" spans="1:23">
      <c r="A272">
        <f>IF(ISBLANK('Data Input'!A272),"",'Data Input'!A272)</f>
        <v>74</v>
      </c>
      <c r="B272" t="str">
        <f>IF(ISBLANK('Data Input'!B272),"",'Data Input'!B272)</f>
        <v>MC074</v>
      </c>
      <c r="C272" t="str">
        <f>IF(ISBLANK('Data Input'!C272),"",'Data Input'!C272)</f>
        <v>6/26/18 1500</v>
      </c>
      <c r="E272" t="str">
        <f>IF(ISBLANK('Data Input'!D272),"",'Data Input'!D272)</f>
        <v>6/27/18 0604</v>
      </c>
      <c r="G272">
        <f>IF(ISBLANK('Data Input'!E272),"",'Data Input'!E272)</f>
        <v>35</v>
      </c>
      <c r="H272" t="str">
        <f>IF(ISBLANK('Data Input'!F272),"",'Data Input'!F272)</f>
        <v>White</v>
      </c>
      <c r="I272" t="str">
        <f>IF(ISBLANK('Data Input'!G272),"",'Data Input'!G272)</f>
        <v>Caesarean</v>
      </c>
      <c r="J272" t="str">
        <f>IF(ISBLANK('Data Input'!I272),"",'Data Input'!I272)</f>
        <v>6=27=18 0604</v>
      </c>
      <c r="K272" t="str">
        <f>IF(ISBLANK('Data Input'!J272),"",'Data Input'!J272)</f>
        <v>tr - Toradol</v>
      </c>
      <c r="L272">
        <f>IF(ISBLANK('Data Input'!K272),"",'Data Input'!K272)</f>
        <v>30</v>
      </c>
      <c r="M272">
        <f>IF(ISBLANK('Data Input'!L272),"",'Data Input'!L272)</f>
        <v>2</v>
      </c>
      <c r="N272">
        <f>IF(ISBLANK('Data Input'!M272),"",'Data Input'!M272)</f>
        <v>0</v>
      </c>
      <c r="O272">
        <f>IF(ISBLANK('Data Input'!N272),"",'Data Input'!N272)</f>
        <v>3</v>
      </c>
      <c r="P272" t="str">
        <f>IF(ISBLANK('Data Input'!O272),"",'Data Input'!O272)</f>
        <v/>
      </c>
      <c r="Q272" t="str">
        <f>IF(ISBLANK('Data Input'!P272),"",'Data Input'!P272)</f>
        <v/>
      </c>
      <c r="R272" t="b">
        <f>IF(ISBLANK('Data Input'!Q272),"",'Data Input'!Q272)</f>
        <v>0</v>
      </c>
      <c r="T272" s="2">
        <f t="shared" si="18"/>
        <v>43277</v>
      </c>
      <c r="U272" s="12">
        <f t="shared" si="19"/>
        <v>0.625</v>
      </c>
      <c r="V272" s="2">
        <f t="shared" si="20"/>
        <v>43278</v>
      </c>
      <c r="W272" s="12">
        <f t="shared" si="21"/>
        <v>0.25277777777777777</v>
      </c>
    </row>
    <row r="273" spans="1:23">
      <c r="A273">
        <f>IF(ISBLANK('Data Input'!A273),"",'Data Input'!A273)</f>
        <v>75</v>
      </c>
      <c r="B273" t="str">
        <f>IF(ISBLANK('Data Input'!B273),"",'Data Input'!B273)</f>
        <v>KH075</v>
      </c>
      <c r="C273" t="str">
        <f>IF(ISBLANK('Data Input'!C273),"",'Data Input'!C273)</f>
        <v>6/26/18 1604</v>
      </c>
      <c r="E273" t="str">
        <f>IF(ISBLANK('Data Input'!D273),"",'Data Input'!D273)</f>
        <v>6/27/18 0421</v>
      </c>
      <c r="G273">
        <f>IF(ISBLANK('Data Input'!E273),"",'Data Input'!E273)</f>
        <v>33</v>
      </c>
      <c r="H273" t="str">
        <f>IF(ISBLANK('Data Input'!F273),"",'Data Input'!F273)</f>
        <v>White</v>
      </c>
      <c r="I273" t="str">
        <f>IF(ISBLANK('Data Input'!G273),"",'Data Input'!G273)</f>
        <v>SVD</v>
      </c>
      <c r="J273" t="str">
        <f>IF(ISBLANK('Data Input'!I273),"",'Data Input'!I273)</f>
        <v>6=26=18 1712</v>
      </c>
      <c r="K273" t="str">
        <f>IF(ISBLANK('Data Input'!J273),"",'Data Input'!J273)</f>
        <v>bb - Ibuprofen</v>
      </c>
      <c r="L273">
        <f>IF(ISBLANK('Data Input'!K273),"",'Data Input'!K273)</f>
        <v>800</v>
      </c>
      <c r="M273">
        <f>IF(ISBLANK('Data Input'!L273),"",'Data Input'!L273)</f>
        <v>6</v>
      </c>
      <c r="N273">
        <f>IF(ISBLANK('Data Input'!M273),"",'Data Input'!M273)</f>
        <v>0</v>
      </c>
      <c r="O273">
        <f>IF(ISBLANK('Data Input'!N273),"",'Data Input'!N273)</f>
        <v>2</v>
      </c>
      <c r="P273" t="str">
        <f>IF(ISBLANK('Data Input'!O273),"",'Data Input'!O273)</f>
        <v/>
      </c>
      <c r="Q273" t="str">
        <f>IF(ISBLANK('Data Input'!P273),"",'Data Input'!P273)</f>
        <v/>
      </c>
      <c r="R273" t="b">
        <f>IF(ISBLANK('Data Input'!Q273),"",'Data Input'!Q273)</f>
        <v>1</v>
      </c>
      <c r="T273" s="2">
        <f t="shared" si="18"/>
        <v>43277</v>
      </c>
      <c r="U273" s="12">
        <f t="shared" si="19"/>
        <v>0.6694444444444444</v>
      </c>
      <c r="V273" s="2">
        <f t="shared" si="20"/>
        <v>43278</v>
      </c>
      <c r="W273" s="12">
        <f t="shared" si="21"/>
        <v>0.18124999999999999</v>
      </c>
    </row>
    <row r="274" spans="1:23">
      <c r="A274">
        <f>IF(ISBLANK('Data Input'!A274),"",'Data Input'!A274)</f>
        <v>75</v>
      </c>
      <c r="B274" t="str">
        <f>IF(ISBLANK('Data Input'!B274),"",'Data Input'!B274)</f>
        <v>KH075</v>
      </c>
      <c r="C274" t="str">
        <f>IF(ISBLANK('Data Input'!C274),"",'Data Input'!C274)</f>
        <v>6/26/18 1604</v>
      </c>
      <c r="E274" t="str">
        <f>IF(ISBLANK('Data Input'!D274),"",'Data Input'!D274)</f>
        <v>6/27/18 0421</v>
      </c>
      <c r="G274">
        <f>IF(ISBLANK('Data Input'!E274),"",'Data Input'!E274)</f>
        <v>33</v>
      </c>
      <c r="H274" t="str">
        <f>IF(ISBLANK('Data Input'!F274),"",'Data Input'!F274)</f>
        <v>White</v>
      </c>
      <c r="I274" t="str">
        <f>IF(ISBLANK('Data Input'!G274),"",'Data Input'!G274)</f>
        <v>SVD</v>
      </c>
      <c r="J274" t="str">
        <f>IF(ISBLANK('Data Input'!I274),"",'Data Input'!I274)</f>
        <v>6=26=18 2200</v>
      </c>
      <c r="K274" t="str">
        <f>IF(ISBLANK('Data Input'!J274),"",'Data Input'!J274)</f>
        <v>rr - Percocet</v>
      </c>
      <c r="L274">
        <f>IF(ISBLANK('Data Input'!K274),"",'Data Input'!K274)</f>
        <v>1</v>
      </c>
      <c r="M274">
        <f>IF(ISBLANK('Data Input'!L274),"",'Data Input'!L274)</f>
        <v>4</v>
      </c>
      <c r="N274">
        <f>IF(ISBLANK('Data Input'!M274),"",'Data Input'!M274)</f>
        <v>1</v>
      </c>
      <c r="O274">
        <f>IF(ISBLANK('Data Input'!N274),"",'Data Input'!N274)</f>
        <v>1</v>
      </c>
      <c r="P274" t="str">
        <f>IF(ISBLANK('Data Input'!O274),"",'Data Input'!O274)</f>
        <v/>
      </c>
      <c r="Q274" t="str">
        <f>IF(ISBLANK('Data Input'!P274),"",'Data Input'!P274)</f>
        <v/>
      </c>
      <c r="R274" t="b">
        <f>IF(ISBLANK('Data Input'!Q274),"",'Data Input'!Q274)</f>
        <v>1</v>
      </c>
      <c r="T274" s="2">
        <f t="shared" si="18"/>
        <v>43277</v>
      </c>
      <c r="U274" s="12">
        <f t="shared" si="19"/>
        <v>0.6694444444444444</v>
      </c>
      <c r="V274" s="2">
        <f t="shared" si="20"/>
        <v>43278</v>
      </c>
      <c r="W274" s="12">
        <f t="shared" si="21"/>
        <v>0.18124999999999999</v>
      </c>
    </row>
    <row r="275" spans="1:23">
      <c r="A275">
        <f>IF(ISBLANK('Data Input'!A275),"",'Data Input'!A275)</f>
        <v>75</v>
      </c>
      <c r="B275" t="str">
        <f>IF(ISBLANK('Data Input'!B275),"",'Data Input'!B275)</f>
        <v>KH075</v>
      </c>
      <c r="C275" t="str">
        <f>IF(ISBLANK('Data Input'!C275),"",'Data Input'!C275)</f>
        <v>6/26/18 1604</v>
      </c>
      <c r="E275" t="str">
        <f>IF(ISBLANK('Data Input'!D275),"",'Data Input'!D275)</f>
        <v>6/27/18 0421</v>
      </c>
      <c r="G275">
        <f>IF(ISBLANK('Data Input'!E275),"",'Data Input'!E275)</f>
        <v>33</v>
      </c>
      <c r="H275" t="str">
        <f>IF(ISBLANK('Data Input'!F275),"",'Data Input'!F275)</f>
        <v>White</v>
      </c>
      <c r="I275" t="str">
        <f>IF(ISBLANK('Data Input'!G275),"",'Data Input'!G275)</f>
        <v>SVD</v>
      </c>
      <c r="J275" t="str">
        <f>IF(ISBLANK('Data Input'!I275),"",'Data Input'!I275)</f>
        <v>6=27=18 0421</v>
      </c>
      <c r="K275" t="str">
        <f>IF(ISBLANK('Data Input'!J275),"",'Data Input'!J275)</f>
        <v>bb - Ibuprofen</v>
      </c>
      <c r="L275">
        <f>IF(ISBLANK('Data Input'!K275),"",'Data Input'!K275)</f>
        <v>800</v>
      </c>
      <c r="M275">
        <f>IF(ISBLANK('Data Input'!L275),"",'Data Input'!L275)</f>
        <v>5</v>
      </c>
      <c r="N275">
        <f>IF(ISBLANK('Data Input'!M275),"",'Data Input'!M275)</f>
        <v>0</v>
      </c>
      <c r="O275">
        <f>IF(ISBLANK('Data Input'!N275),"",'Data Input'!N275)</f>
        <v>2</v>
      </c>
      <c r="P275" t="str">
        <f>IF(ISBLANK('Data Input'!O275),"",'Data Input'!O275)</f>
        <v/>
      </c>
      <c r="Q275" t="str">
        <f>IF(ISBLANK('Data Input'!P275),"",'Data Input'!P275)</f>
        <v/>
      </c>
      <c r="R275" t="b">
        <f>IF(ISBLANK('Data Input'!Q275),"",'Data Input'!Q275)</f>
        <v>1</v>
      </c>
      <c r="T275" s="2">
        <f t="shared" si="18"/>
        <v>43277</v>
      </c>
      <c r="U275" s="12">
        <f t="shared" si="19"/>
        <v>0.6694444444444444</v>
      </c>
      <c r="V275" s="2">
        <f t="shared" si="20"/>
        <v>43278</v>
      </c>
      <c r="W275" s="12">
        <f t="shared" si="21"/>
        <v>0.18124999999999999</v>
      </c>
    </row>
    <row r="276" spans="1:23">
      <c r="A276">
        <f>IF(ISBLANK('Data Input'!A276),"",'Data Input'!A276)</f>
        <v>76</v>
      </c>
      <c r="B276" t="str">
        <f>IF(ISBLANK('Data Input'!B276),"",'Data Input'!B276)</f>
        <v>TH076</v>
      </c>
      <c r="C276" t="str">
        <f>IF(ISBLANK('Data Input'!C276),"",'Data Input'!C276)</f>
        <v>6/26/18 0750</v>
      </c>
      <c r="E276" t="str">
        <f>IF(ISBLANK('Data Input'!D276),"",'Data Input'!D276)</f>
        <v>6/27/18 0135</v>
      </c>
      <c r="G276">
        <f>IF(ISBLANK('Data Input'!E276),"",'Data Input'!E276)</f>
        <v>21</v>
      </c>
      <c r="H276" t="str">
        <f>IF(ISBLANK('Data Input'!F276),"",'Data Input'!F276)</f>
        <v>bb - Black</v>
      </c>
      <c r="I276" t="str">
        <f>IF(ISBLANK('Data Input'!G276),"",'Data Input'!G276)</f>
        <v>Caesarean</v>
      </c>
      <c r="J276" t="str">
        <f>IF(ISBLANK('Data Input'!I276),"",'Data Input'!I276)</f>
        <v>6=26=18 1010</v>
      </c>
      <c r="K276" t="str">
        <f>IF(ISBLANK('Data Input'!J276),"",'Data Input'!J276)</f>
        <v>te - Tylenol</v>
      </c>
      <c r="L276">
        <f>IF(ISBLANK('Data Input'!K276),"",'Data Input'!K276)</f>
        <v>1000</v>
      </c>
      <c r="M276">
        <f>IF(ISBLANK('Data Input'!L276),"",'Data Input'!L276)</f>
        <v>0</v>
      </c>
      <c r="N276">
        <f>IF(ISBLANK('Data Input'!M276),"",'Data Input'!M276)</f>
        <v>0</v>
      </c>
      <c r="O276" t="str">
        <f>IF(ISBLANK('Data Input'!N276),"",'Data Input'!N276)</f>
        <v/>
      </c>
      <c r="P276" t="str">
        <f>IF(ISBLANK('Data Input'!O276),"",'Data Input'!O276)</f>
        <v/>
      </c>
      <c r="Q276" t="str">
        <f>IF(ISBLANK('Data Input'!P276),"",'Data Input'!P276)</f>
        <v/>
      </c>
      <c r="R276" t="b">
        <f>IF(ISBLANK('Data Input'!Q276),"",'Data Input'!Q276)</f>
        <v>0</v>
      </c>
      <c r="T276" s="2">
        <f t="shared" si="18"/>
        <v>43277</v>
      </c>
      <c r="U276" s="12">
        <f t="shared" si="19"/>
        <v>0.3263888888888889</v>
      </c>
      <c r="V276" s="2">
        <f t="shared" si="20"/>
        <v>43278</v>
      </c>
      <c r="W276" s="12">
        <f t="shared" si="21"/>
        <v>6.5972222222222224E-2</v>
      </c>
    </row>
    <row r="277" spans="1:23">
      <c r="A277">
        <f>IF(ISBLANK('Data Input'!A277),"",'Data Input'!A277)</f>
        <v>76</v>
      </c>
      <c r="B277" t="str">
        <f>IF(ISBLANK('Data Input'!B277),"",'Data Input'!B277)</f>
        <v>TH076</v>
      </c>
      <c r="C277" t="str">
        <f>IF(ISBLANK('Data Input'!C277),"",'Data Input'!C277)</f>
        <v>6/26/18 0750</v>
      </c>
      <c r="E277" t="str">
        <f>IF(ISBLANK('Data Input'!D277),"",'Data Input'!D277)</f>
        <v>6/27/18 0135</v>
      </c>
      <c r="G277">
        <f>IF(ISBLANK('Data Input'!E277),"",'Data Input'!E277)</f>
        <v>21</v>
      </c>
      <c r="H277" t="str">
        <f>IF(ISBLANK('Data Input'!F277),"",'Data Input'!F277)</f>
        <v>bb - Black</v>
      </c>
      <c r="I277" t="str">
        <f>IF(ISBLANK('Data Input'!G277),"",'Data Input'!G277)</f>
        <v>Caesarean</v>
      </c>
      <c r="J277" t="str">
        <f>IF(ISBLANK('Data Input'!I277),"",'Data Input'!I277)</f>
        <v>6=26=18 2253</v>
      </c>
      <c r="K277" t="str">
        <f>IF(ISBLANK('Data Input'!J277),"",'Data Input'!J277)</f>
        <v>rr - Percocet</v>
      </c>
      <c r="L277">
        <f>IF(ISBLANK('Data Input'!K277),"",'Data Input'!K277)</f>
        <v>1</v>
      </c>
      <c r="M277">
        <f>IF(ISBLANK('Data Input'!L277),"",'Data Input'!L277)</f>
        <v>4</v>
      </c>
      <c r="N277">
        <f>IF(ISBLANK('Data Input'!M277),"",'Data Input'!M277)</f>
        <v>0</v>
      </c>
      <c r="O277" t="str">
        <f>IF(ISBLANK('Data Input'!N277),"",'Data Input'!N277)</f>
        <v/>
      </c>
      <c r="P277" t="str">
        <f>IF(ISBLANK('Data Input'!O277),"",'Data Input'!O277)</f>
        <v/>
      </c>
      <c r="Q277" t="str">
        <f>IF(ISBLANK('Data Input'!P277),"",'Data Input'!P277)</f>
        <v/>
      </c>
      <c r="R277" t="b">
        <f>IF(ISBLANK('Data Input'!Q277),"",'Data Input'!Q277)</f>
        <v>0</v>
      </c>
      <c r="T277" s="2">
        <f t="shared" si="18"/>
        <v>43277</v>
      </c>
      <c r="U277" s="12">
        <f t="shared" si="19"/>
        <v>0.3263888888888889</v>
      </c>
      <c r="V277" s="2">
        <f t="shared" si="20"/>
        <v>43278</v>
      </c>
      <c r="W277" s="12">
        <f t="shared" si="21"/>
        <v>6.5972222222222224E-2</v>
      </c>
    </row>
    <row r="278" spans="1:23">
      <c r="A278">
        <f>IF(ISBLANK('Data Input'!A278),"",'Data Input'!A278)</f>
        <v>76</v>
      </c>
      <c r="B278" t="str">
        <f>IF(ISBLANK('Data Input'!B278),"",'Data Input'!B278)</f>
        <v>TH076</v>
      </c>
      <c r="C278" t="str">
        <f>IF(ISBLANK('Data Input'!C278),"",'Data Input'!C278)</f>
        <v>6/26/18 0750</v>
      </c>
      <c r="E278" t="str">
        <f>IF(ISBLANK('Data Input'!D278),"",'Data Input'!D278)</f>
        <v>6/27/18 0135</v>
      </c>
      <c r="G278">
        <f>IF(ISBLANK('Data Input'!E278),"",'Data Input'!E278)</f>
        <v>21</v>
      </c>
      <c r="H278" t="str">
        <f>IF(ISBLANK('Data Input'!F278),"",'Data Input'!F278)</f>
        <v>bb - Black</v>
      </c>
      <c r="I278" t="str">
        <f>IF(ISBLANK('Data Input'!G278),"",'Data Input'!G278)</f>
        <v>Caesarean</v>
      </c>
      <c r="J278" t="str">
        <f>IF(ISBLANK('Data Input'!I278),"",'Data Input'!I278)</f>
        <v>6=27=18 0135</v>
      </c>
      <c r="K278" t="str">
        <f>IF(ISBLANK('Data Input'!J278),"",'Data Input'!J278)</f>
        <v>tr - Toradol</v>
      </c>
      <c r="L278">
        <f>IF(ISBLANK('Data Input'!K278),"",'Data Input'!K278)</f>
        <v>30</v>
      </c>
      <c r="M278">
        <f>IF(ISBLANK('Data Input'!L278),"",'Data Input'!L278)</f>
        <v>0</v>
      </c>
      <c r="N278">
        <f>IF(ISBLANK('Data Input'!M278),"",'Data Input'!M278)</f>
        <v>0</v>
      </c>
      <c r="O278" t="str">
        <f>IF(ISBLANK('Data Input'!N278),"",'Data Input'!N278)</f>
        <v/>
      </c>
      <c r="P278" t="str">
        <f>IF(ISBLANK('Data Input'!O278),"",'Data Input'!O278)</f>
        <v/>
      </c>
      <c r="Q278" t="str">
        <f>IF(ISBLANK('Data Input'!P278),"",'Data Input'!P278)</f>
        <v/>
      </c>
      <c r="R278" t="b">
        <f>IF(ISBLANK('Data Input'!Q278),"",'Data Input'!Q278)</f>
        <v>0</v>
      </c>
      <c r="T278" s="2">
        <f t="shared" si="18"/>
        <v>43277</v>
      </c>
      <c r="U278" s="12">
        <f t="shared" si="19"/>
        <v>0.3263888888888889</v>
      </c>
      <c r="V278" s="2">
        <f t="shared" si="20"/>
        <v>43278</v>
      </c>
      <c r="W278" s="12">
        <f t="shared" si="21"/>
        <v>6.5972222222222224E-2</v>
      </c>
    </row>
    <row r="279" spans="1:23">
      <c r="A279">
        <f>IF(ISBLANK('Data Input'!A279),"",'Data Input'!A279)</f>
        <v>77</v>
      </c>
      <c r="B279" t="str">
        <f>IF(ISBLANK('Data Input'!B279),"",'Data Input'!B279)</f>
        <v>RL077</v>
      </c>
      <c r="C279" t="str">
        <f>IF(ISBLANK('Data Input'!C279),"",'Data Input'!C279)</f>
        <v>6/26/18 0920</v>
      </c>
      <c r="E279">
        <f>IF(ISBLANK('Data Input'!D279),"",'Data Input'!D279)</f>
        <v>43278</v>
      </c>
      <c r="G279">
        <f>IF(ISBLANK('Data Input'!E279),"",'Data Input'!E279)</f>
        <v>29</v>
      </c>
      <c r="H279" t="str">
        <f>IF(ISBLANK('Data Input'!F279),"",'Data Input'!F279)</f>
        <v>bb - Black</v>
      </c>
      <c r="I279" t="str">
        <f>IF(ISBLANK('Data Input'!G279),"",'Data Input'!G279)</f>
        <v>SVD</v>
      </c>
      <c r="J279" t="str">
        <f>IF(ISBLANK('Data Input'!I279),"",'Data Input'!I279)</f>
        <v>NA</v>
      </c>
      <c r="K279" t="str">
        <f>IF(ISBLANK('Data Input'!J279),"",'Data Input'!J279)</f>
        <v>NA</v>
      </c>
      <c r="L279" t="str">
        <f>IF(ISBLANK('Data Input'!K279),"",'Data Input'!K279)</f>
        <v>NA</v>
      </c>
      <c r="M279" t="str">
        <f>IF(ISBLANK('Data Input'!L279),"",'Data Input'!L279)</f>
        <v>NA</v>
      </c>
      <c r="N279" t="str">
        <f>IF(ISBLANK('Data Input'!M279),"",'Data Input'!M279)</f>
        <v>NA</v>
      </c>
      <c r="O279" t="str">
        <f>IF(ISBLANK('Data Input'!N279),"",'Data Input'!N279)</f>
        <v>NA</v>
      </c>
      <c r="P279" t="str">
        <f>IF(ISBLANK('Data Input'!O279),"",'Data Input'!O279)</f>
        <v/>
      </c>
      <c r="Q279" t="str">
        <f>IF(ISBLANK('Data Input'!P279),"",'Data Input'!P279)</f>
        <v/>
      </c>
      <c r="R279" t="b">
        <f>IF(ISBLANK('Data Input'!Q279),"",'Data Input'!Q279)</f>
        <v>1</v>
      </c>
      <c r="T279" s="2">
        <f t="shared" si="18"/>
        <v>43277</v>
      </c>
      <c r="U279" s="12">
        <f t="shared" si="19"/>
        <v>0.3888888888888889</v>
      </c>
      <c r="V279" s="2">
        <f t="shared" si="20"/>
        <v>43278</v>
      </c>
      <c r="W279" s="12">
        <f t="shared" si="21"/>
        <v>43278</v>
      </c>
    </row>
    <row r="280" spans="1:23">
      <c r="A280">
        <f>IF(ISBLANK('Data Input'!A280),"",'Data Input'!A280)</f>
        <v>78</v>
      </c>
      <c r="B280" t="str">
        <f>IF(ISBLANK('Data Input'!B280),"",'Data Input'!B280)</f>
        <v>NM078</v>
      </c>
      <c r="C280" t="str">
        <f>IF(ISBLANK('Data Input'!C280),"",'Data Input'!C280)</f>
        <v>6/26/18 1025</v>
      </c>
      <c r="E280">
        <f>IF(ISBLANK('Data Input'!D280),"",'Data Input'!D280)</f>
        <v>43278</v>
      </c>
      <c r="G280">
        <f>IF(ISBLANK('Data Input'!E280),"",'Data Input'!E280)</f>
        <v>30</v>
      </c>
      <c r="H280" t="str">
        <f>IF(ISBLANK('Data Input'!F280),"",'Data Input'!F280)</f>
        <v>bb - Black</v>
      </c>
      <c r="I280" t="str">
        <f>IF(ISBLANK('Data Input'!G280),"",'Data Input'!G280)</f>
        <v>SVD</v>
      </c>
      <c r="J280" t="str">
        <f>IF(ISBLANK('Data Input'!I280),"",'Data Input'!I280)</f>
        <v>6=26=18 1507</v>
      </c>
      <c r="K280" t="str">
        <f>IF(ISBLANK('Data Input'!J280),"",'Data Input'!J280)</f>
        <v>bb - Ibuprofen</v>
      </c>
      <c r="L280">
        <f>IF(ISBLANK('Data Input'!K280),"",'Data Input'!K280)</f>
        <v>800</v>
      </c>
      <c r="M280">
        <f>IF(ISBLANK('Data Input'!L280),"",'Data Input'!L280)</f>
        <v>4</v>
      </c>
      <c r="N280">
        <f>IF(ISBLANK('Data Input'!M280),"",'Data Input'!M280)</f>
        <v>1</v>
      </c>
      <c r="O280">
        <f>IF(ISBLANK('Data Input'!N280),"",'Data Input'!N280)</f>
        <v>3</v>
      </c>
      <c r="P280" t="str">
        <f>IF(ISBLANK('Data Input'!O280),"",'Data Input'!O280)</f>
        <v/>
      </c>
      <c r="Q280" t="str">
        <f>IF(ISBLANK('Data Input'!P280),"",'Data Input'!P280)</f>
        <v/>
      </c>
      <c r="R280" t="b">
        <f>IF(ISBLANK('Data Input'!Q280),"",'Data Input'!Q280)</f>
        <v>0</v>
      </c>
      <c r="T280" s="2">
        <f t="shared" si="18"/>
        <v>43277</v>
      </c>
      <c r="U280" s="12">
        <f t="shared" si="19"/>
        <v>0.43402777777777773</v>
      </c>
      <c r="V280" s="2">
        <f t="shared" si="20"/>
        <v>43278</v>
      </c>
      <c r="W280" s="12">
        <f t="shared" si="21"/>
        <v>43278</v>
      </c>
    </row>
    <row r="281" spans="1:23">
      <c r="A281">
        <f>IF(ISBLANK('Data Input'!A281),"",'Data Input'!A281)</f>
        <v>78</v>
      </c>
      <c r="B281" t="str">
        <f>IF(ISBLANK('Data Input'!B281),"",'Data Input'!B281)</f>
        <v>NM078</v>
      </c>
      <c r="C281" t="str">
        <f>IF(ISBLANK('Data Input'!C281),"",'Data Input'!C281)</f>
        <v>6/26/18 1025</v>
      </c>
      <c r="E281">
        <f>IF(ISBLANK('Data Input'!D281),"",'Data Input'!D281)</f>
        <v>43278</v>
      </c>
      <c r="G281">
        <f>IF(ISBLANK('Data Input'!E281),"",'Data Input'!E281)</f>
        <v>30</v>
      </c>
      <c r="H281" t="str">
        <f>IF(ISBLANK('Data Input'!F281),"",'Data Input'!F281)</f>
        <v>bb - Black</v>
      </c>
      <c r="I281" t="str">
        <f>IF(ISBLANK('Data Input'!G281),"",'Data Input'!G281)</f>
        <v>SVD</v>
      </c>
      <c r="J281" t="str">
        <f>IF(ISBLANK('Data Input'!I281),"",'Data Input'!I281)</f>
        <v>6=26=18 1507</v>
      </c>
      <c r="K281" t="str">
        <f>IF(ISBLANK('Data Input'!J281),"",'Data Input'!J281)</f>
        <v>tt - Tylenol</v>
      </c>
      <c r="L281">
        <f>IF(ISBLANK('Data Input'!K281),"",'Data Input'!K281)</f>
        <v>650</v>
      </c>
      <c r="M281">
        <f>IF(ISBLANK('Data Input'!L281),"",'Data Input'!L281)</f>
        <v>4</v>
      </c>
      <c r="N281">
        <f>IF(ISBLANK('Data Input'!M281),"",'Data Input'!M281)</f>
        <v>1</v>
      </c>
      <c r="O281">
        <f>IF(ISBLANK('Data Input'!N281),"",'Data Input'!N281)</f>
        <v>6</v>
      </c>
      <c r="P281" t="str">
        <f>IF(ISBLANK('Data Input'!O281),"",'Data Input'!O281)</f>
        <v/>
      </c>
      <c r="Q281" t="str">
        <f>IF(ISBLANK('Data Input'!P281),"",'Data Input'!P281)</f>
        <v/>
      </c>
      <c r="R281" t="b">
        <f>IF(ISBLANK('Data Input'!Q281),"",'Data Input'!Q281)</f>
        <v>0</v>
      </c>
      <c r="T281" s="2">
        <f t="shared" si="18"/>
        <v>43277</v>
      </c>
      <c r="U281" s="12">
        <f t="shared" si="19"/>
        <v>0.43402777777777773</v>
      </c>
      <c r="V281" s="2">
        <f t="shared" si="20"/>
        <v>43278</v>
      </c>
      <c r="W281" s="12">
        <f t="shared" si="21"/>
        <v>43278</v>
      </c>
    </row>
    <row r="282" spans="1:23">
      <c r="A282">
        <f>IF(ISBLANK('Data Input'!A282),"",'Data Input'!A282)</f>
        <v>78</v>
      </c>
      <c r="B282" t="str">
        <f>IF(ISBLANK('Data Input'!B282),"",'Data Input'!B282)</f>
        <v>NM078</v>
      </c>
      <c r="C282" t="str">
        <f>IF(ISBLANK('Data Input'!C282),"",'Data Input'!C282)</f>
        <v>6/26/18 1025</v>
      </c>
      <c r="E282">
        <f>IF(ISBLANK('Data Input'!D282),"",'Data Input'!D282)</f>
        <v>43278</v>
      </c>
      <c r="G282">
        <f>IF(ISBLANK('Data Input'!E282),"",'Data Input'!E282)</f>
        <v>30</v>
      </c>
      <c r="H282" t="str">
        <f>IF(ISBLANK('Data Input'!F282),"",'Data Input'!F282)</f>
        <v>bb - Black</v>
      </c>
      <c r="I282" t="str">
        <f>IF(ISBLANK('Data Input'!G282),"",'Data Input'!G282)</f>
        <v>SVD</v>
      </c>
      <c r="J282" t="str">
        <f>IF(ISBLANK('Data Input'!I282),"",'Data Input'!I282)</f>
        <v>6=26=18 2148</v>
      </c>
      <c r="K282" t="str">
        <f>IF(ISBLANK('Data Input'!J282),"",'Data Input'!J282)</f>
        <v>bb - Ibuprofen</v>
      </c>
      <c r="L282">
        <f>IF(ISBLANK('Data Input'!K282),"",'Data Input'!K282)</f>
        <v>800</v>
      </c>
      <c r="M282">
        <f>IF(ISBLANK('Data Input'!L282),"",'Data Input'!L282)</f>
        <v>3</v>
      </c>
      <c r="N282">
        <f>IF(ISBLANK('Data Input'!M282),"",'Data Input'!M282)</f>
        <v>0</v>
      </c>
      <c r="O282">
        <f>IF(ISBLANK('Data Input'!N282),"",'Data Input'!N282)</f>
        <v>3</v>
      </c>
      <c r="P282" t="str">
        <f>IF(ISBLANK('Data Input'!O282),"",'Data Input'!O282)</f>
        <v/>
      </c>
      <c r="Q282" t="str">
        <f>IF(ISBLANK('Data Input'!P282),"",'Data Input'!P282)</f>
        <v/>
      </c>
      <c r="R282" t="b">
        <f>IF(ISBLANK('Data Input'!Q282),"",'Data Input'!Q282)</f>
        <v>0</v>
      </c>
      <c r="T282" s="2">
        <f t="shared" si="18"/>
        <v>43277</v>
      </c>
      <c r="U282" s="12">
        <f t="shared" si="19"/>
        <v>0.43402777777777773</v>
      </c>
      <c r="V282" s="2">
        <f t="shared" si="20"/>
        <v>43278</v>
      </c>
      <c r="W282" s="12">
        <f t="shared" si="21"/>
        <v>43278</v>
      </c>
    </row>
    <row r="283" spans="1:23">
      <c r="A283">
        <f>IF(ISBLANK('Data Input'!A283),"",'Data Input'!A283)</f>
        <v>78</v>
      </c>
      <c r="B283" t="str">
        <f>IF(ISBLANK('Data Input'!B283),"",'Data Input'!B283)</f>
        <v>NM078</v>
      </c>
      <c r="C283" t="str">
        <f>IF(ISBLANK('Data Input'!C283),"",'Data Input'!C283)</f>
        <v>6/26/18 1025</v>
      </c>
      <c r="E283">
        <f>IF(ISBLANK('Data Input'!D283),"",'Data Input'!D283)</f>
        <v>43278</v>
      </c>
      <c r="G283">
        <f>IF(ISBLANK('Data Input'!E283),"",'Data Input'!E283)</f>
        <v>30</v>
      </c>
      <c r="H283" t="str">
        <f>IF(ISBLANK('Data Input'!F283),"",'Data Input'!F283)</f>
        <v>bb - Black</v>
      </c>
      <c r="I283" t="str">
        <f>IF(ISBLANK('Data Input'!G283),"",'Data Input'!G283)</f>
        <v>SVD</v>
      </c>
      <c r="J283" t="str">
        <f>IF(ISBLANK('Data Input'!I283),"",'Data Input'!I283)</f>
        <v>6=26=18 2148</v>
      </c>
      <c r="K283" t="str">
        <f>IF(ISBLANK('Data Input'!J283),"",'Data Input'!J283)</f>
        <v>tt - Tylenol</v>
      </c>
      <c r="L283">
        <f>IF(ISBLANK('Data Input'!K283),"",'Data Input'!K283)</f>
        <v>650</v>
      </c>
      <c r="M283">
        <f>IF(ISBLANK('Data Input'!L283),"",'Data Input'!L283)</f>
        <v>3</v>
      </c>
      <c r="N283">
        <f>IF(ISBLANK('Data Input'!M283),"",'Data Input'!M283)</f>
        <v>0</v>
      </c>
      <c r="O283">
        <f>IF(ISBLANK('Data Input'!N283),"",'Data Input'!N283)</f>
        <v>6</v>
      </c>
      <c r="P283" t="str">
        <f>IF(ISBLANK('Data Input'!O283),"",'Data Input'!O283)</f>
        <v/>
      </c>
      <c r="Q283" t="str">
        <f>IF(ISBLANK('Data Input'!P283),"",'Data Input'!P283)</f>
        <v/>
      </c>
      <c r="R283" t="b">
        <f>IF(ISBLANK('Data Input'!Q283),"",'Data Input'!Q283)</f>
        <v>0</v>
      </c>
      <c r="T283" s="2">
        <f t="shared" si="18"/>
        <v>43277</v>
      </c>
      <c r="U283" s="12">
        <f t="shared" si="19"/>
        <v>0.43402777777777773</v>
      </c>
      <c r="V283" s="2">
        <f t="shared" si="20"/>
        <v>43278</v>
      </c>
      <c r="W283" s="12">
        <f t="shared" si="21"/>
        <v>43278</v>
      </c>
    </row>
    <row r="284" spans="1:23">
      <c r="A284">
        <f>IF(ISBLANK('Data Input'!A284),"",'Data Input'!A284)</f>
        <v>78</v>
      </c>
      <c r="B284" t="str">
        <f>IF(ISBLANK('Data Input'!B284),"",'Data Input'!B284)</f>
        <v>NM078</v>
      </c>
      <c r="C284" t="str">
        <f>IF(ISBLANK('Data Input'!C284),"",'Data Input'!C284)</f>
        <v>6/26/18 1025</v>
      </c>
      <c r="E284">
        <f>IF(ISBLANK('Data Input'!D284),"",'Data Input'!D284)</f>
        <v>43278</v>
      </c>
      <c r="G284">
        <f>IF(ISBLANK('Data Input'!E284),"",'Data Input'!E284)</f>
        <v>30</v>
      </c>
      <c r="H284" t="str">
        <f>IF(ISBLANK('Data Input'!F284),"",'Data Input'!F284)</f>
        <v>bb - Black</v>
      </c>
      <c r="I284" t="str">
        <f>IF(ISBLANK('Data Input'!G284),"",'Data Input'!G284)</f>
        <v>SVD</v>
      </c>
      <c r="J284" t="str">
        <f>IF(ISBLANK('Data Input'!I284),"",'Data Input'!I284)</f>
        <v>6=27=18 0411</v>
      </c>
      <c r="K284" t="str">
        <f>IF(ISBLANK('Data Input'!J284),"",'Data Input'!J284)</f>
        <v>bb - Ibuprofen</v>
      </c>
      <c r="L284">
        <f>IF(ISBLANK('Data Input'!K284),"",'Data Input'!K284)</f>
        <v>800</v>
      </c>
      <c r="M284">
        <f>IF(ISBLANK('Data Input'!L284),"",'Data Input'!L284)</f>
        <v>3</v>
      </c>
      <c r="N284">
        <f>IF(ISBLANK('Data Input'!M284),"",'Data Input'!M284)</f>
        <v>0</v>
      </c>
      <c r="O284">
        <f>IF(ISBLANK('Data Input'!N284),"",'Data Input'!N284)</f>
        <v>3</v>
      </c>
      <c r="P284" t="str">
        <f>IF(ISBLANK('Data Input'!O284),"",'Data Input'!O284)</f>
        <v/>
      </c>
      <c r="Q284" t="str">
        <f>IF(ISBLANK('Data Input'!P284),"",'Data Input'!P284)</f>
        <v/>
      </c>
      <c r="R284" t="b">
        <f>IF(ISBLANK('Data Input'!Q284),"",'Data Input'!Q284)</f>
        <v>0</v>
      </c>
      <c r="T284" s="2">
        <f t="shared" si="18"/>
        <v>43277</v>
      </c>
      <c r="U284" s="12">
        <f t="shared" si="19"/>
        <v>0.43402777777777773</v>
      </c>
      <c r="V284" s="2">
        <f t="shared" si="20"/>
        <v>43278</v>
      </c>
      <c r="W284" s="12">
        <f t="shared" si="21"/>
        <v>43278</v>
      </c>
    </row>
    <row r="285" spans="1:23">
      <c r="A285">
        <f>IF(ISBLANK('Data Input'!A285),"",'Data Input'!A285)</f>
        <v>78</v>
      </c>
      <c r="B285" t="str">
        <f>IF(ISBLANK('Data Input'!B285),"",'Data Input'!B285)</f>
        <v>NM078</v>
      </c>
      <c r="C285" t="str">
        <f>IF(ISBLANK('Data Input'!C285),"",'Data Input'!C285)</f>
        <v>6/26/18 1025</v>
      </c>
      <c r="E285">
        <f>IF(ISBLANK('Data Input'!D285),"",'Data Input'!D285)</f>
        <v>43278</v>
      </c>
      <c r="G285">
        <f>IF(ISBLANK('Data Input'!E285),"",'Data Input'!E285)</f>
        <v>30</v>
      </c>
      <c r="H285" t="str">
        <f>IF(ISBLANK('Data Input'!F285),"",'Data Input'!F285)</f>
        <v>bb - Black</v>
      </c>
      <c r="I285" t="str">
        <f>IF(ISBLANK('Data Input'!G285),"",'Data Input'!G285)</f>
        <v>SVD</v>
      </c>
      <c r="J285" t="str">
        <f>IF(ISBLANK('Data Input'!I285),"",'Data Input'!I285)</f>
        <v>6=27=18 0411</v>
      </c>
      <c r="K285" t="str">
        <f>IF(ISBLANK('Data Input'!J285),"",'Data Input'!J285)</f>
        <v>tt - Tylenol</v>
      </c>
      <c r="L285">
        <f>IF(ISBLANK('Data Input'!K285),"",'Data Input'!K285)</f>
        <v>650</v>
      </c>
      <c r="M285">
        <f>IF(ISBLANK('Data Input'!L285),"",'Data Input'!L285)</f>
        <v>3</v>
      </c>
      <c r="N285">
        <f>IF(ISBLANK('Data Input'!M285),"",'Data Input'!M285)</f>
        <v>0</v>
      </c>
      <c r="O285">
        <f>IF(ISBLANK('Data Input'!N285),"",'Data Input'!N285)</f>
        <v>6</v>
      </c>
      <c r="P285" t="str">
        <f>IF(ISBLANK('Data Input'!O285),"",'Data Input'!O285)</f>
        <v/>
      </c>
      <c r="Q285" t="str">
        <f>IF(ISBLANK('Data Input'!P285),"",'Data Input'!P285)</f>
        <v/>
      </c>
      <c r="R285" t="b">
        <f>IF(ISBLANK('Data Input'!Q285),"",'Data Input'!Q285)</f>
        <v>0</v>
      </c>
      <c r="T285" s="2">
        <f t="shared" si="18"/>
        <v>43277</v>
      </c>
      <c r="U285" s="12">
        <f t="shared" si="19"/>
        <v>0.43402777777777773</v>
      </c>
      <c r="V285" s="2">
        <f t="shared" si="20"/>
        <v>43278</v>
      </c>
      <c r="W285" s="12">
        <f t="shared" si="21"/>
        <v>43278</v>
      </c>
    </row>
    <row r="286" spans="1:23">
      <c r="A286">
        <f>IF(ISBLANK('Data Input'!A286),"",'Data Input'!A286)</f>
        <v>79</v>
      </c>
      <c r="B286" t="str">
        <f>IF(ISBLANK('Data Input'!B286),"",'Data Input'!B286)</f>
        <v>RP079</v>
      </c>
      <c r="C286" t="str">
        <f>IF(ISBLANK('Data Input'!C286),"",'Data Input'!C286)</f>
        <v>6/27/18 1826</v>
      </c>
      <c r="E286">
        <f>IF(ISBLANK('Data Input'!D286),"",'Data Input'!D286)</f>
        <v>43279</v>
      </c>
      <c r="G286">
        <f>IF(ISBLANK('Data Input'!E286),"",'Data Input'!E286)</f>
        <v>19</v>
      </c>
      <c r="H286" t="str">
        <f>IF(ISBLANK('Data Input'!F286),"",'Data Input'!F286)</f>
        <v>White</v>
      </c>
      <c r="I286" t="str">
        <f>IF(ISBLANK('Data Input'!G286),"",'Data Input'!G286)</f>
        <v>SVD</v>
      </c>
      <c r="J286" t="str">
        <f>IF(ISBLANK('Data Input'!I286),"",'Data Input'!I286)</f>
        <v>6=27=18 2232</v>
      </c>
      <c r="K286" t="str">
        <f>IF(ISBLANK('Data Input'!J286),"",'Data Input'!J286)</f>
        <v>bb - Ibuprofen</v>
      </c>
      <c r="L286">
        <f>IF(ISBLANK('Data Input'!K286),"",'Data Input'!K286)</f>
        <v>800</v>
      </c>
      <c r="M286">
        <f>IF(ISBLANK('Data Input'!L286),"",'Data Input'!L286)</f>
        <v>800</v>
      </c>
      <c r="N286">
        <f>IF(ISBLANK('Data Input'!M286),"",'Data Input'!M286)</f>
        <v>6</v>
      </c>
      <c r="O286" t="str">
        <f>IF(ISBLANK('Data Input'!N286),"",'Data Input'!N286)</f>
        <v/>
      </c>
      <c r="P286" t="str">
        <f>IF(ISBLANK('Data Input'!O286),"",'Data Input'!O286)</f>
        <v/>
      </c>
      <c r="Q286" t="str">
        <f>IF(ISBLANK('Data Input'!P286),"",'Data Input'!P286)</f>
        <v/>
      </c>
      <c r="R286" t="b">
        <f>IF(ISBLANK('Data Input'!Q286),"",'Data Input'!Q286)</f>
        <v>1</v>
      </c>
      <c r="T286" s="2">
        <f t="shared" si="18"/>
        <v>43278</v>
      </c>
      <c r="U286" s="12">
        <f t="shared" si="19"/>
        <v>0.7680555555555556</v>
      </c>
      <c r="V286" s="2">
        <f t="shared" si="20"/>
        <v>43279</v>
      </c>
      <c r="W286" s="12">
        <f t="shared" si="21"/>
        <v>43279</v>
      </c>
    </row>
    <row r="287" spans="1:23">
      <c r="A287">
        <f>IF(ISBLANK('Data Input'!A287),"",'Data Input'!A287)</f>
        <v>79</v>
      </c>
      <c r="B287" t="str">
        <f>IF(ISBLANK('Data Input'!B287),"",'Data Input'!B287)</f>
        <v>RP079</v>
      </c>
      <c r="C287" t="str">
        <f>IF(ISBLANK('Data Input'!C287),"",'Data Input'!C287)</f>
        <v>6/27/18 1826</v>
      </c>
      <c r="E287">
        <f>IF(ISBLANK('Data Input'!D287),"",'Data Input'!D287)</f>
        <v>43279</v>
      </c>
      <c r="G287">
        <f>IF(ISBLANK('Data Input'!E287),"",'Data Input'!E287)</f>
        <v>19</v>
      </c>
      <c r="H287" t="str">
        <f>IF(ISBLANK('Data Input'!F287),"",'Data Input'!F287)</f>
        <v>White</v>
      </c>
      <c r="I287" t="str">
        <f>IF(ISBLANK('Data Input'!G287),"",'Data Input'!G287)</f>
        <v>SVD</v>
      </c>
      <c r="J287" t="str">
        <f>IF(ISBLANK('Data Input'!I287),"",'Data Input'!I287)</f>
        <v>6=28=18 0322</v>
      </c>
      <c r="K287" t="str">
        <f>IF(ISBLANK('Data Input'!J287),"",'Data Input'!J287)</f>
        <v>rr - Percocet</v>
      </c>
      <c r="L287">
        <f>IF(ISBLANK('Data Input'!K287),"",'Data Input'!K287)</f>
        <v>1</v>
      </c>
      <c r="M287">
        <f>IF(ISBLANK('Data Input'!L287),"",'Data Input'!L287)</f>
        <v>1</v>
      </c>
      <c r="N287">
        <f>IF(ISBLANK('Data Input'!M287),"",'Data Input'!M287)</f>
        <v>7</v>
      </c>
      <c r="O287" t="str">
        <f>IF(ISBLANK('Data Input'!N287),"",'Data Input'!N287)</f>
        <v/>
      </c>
      <c r="P287" t="str">
        <f>IF(ISBLANK('Data Input'!O287),"",'Data Input'!O287)</f>
        <v/>
      </c>
      <c r="Q287" t="str">
        <f>IF(ISBLANK('Data Input'!P287),"",'Data Input'!P287)</f>
        <v/>
      </c>
      <c r="R287" t="b">
        <f>IF(ISBLANK('Data Input'!Q287),"",'Data Input'!Q287)</f>
        <v>1</v>
      </c>
      <c r="T287" s="2">
        <f t="shared" si="18"/>
        <v>43278</v>
      </c>
      <c r="U287" s="12">
        <f t="shared" si="19"/>
        <v>0.7680555555555556</v>
      </c>
      <c r="V287" s="2">
        <f t="shared" si="20"/>
        <v>43279</v>
      </c>
      <c r="W287" s="12">
        <f t="shared" si="21"/>
        <v>43279</v>
      </c>
    </row>
    <row r="288" spans="1:23">
      <c r="A288">
        <f>IF(ISBLANK('Data Input'!A288),"",'Data Input'!A288)</f>
        <v>79</v>
      </c>
      <c r="B288" t="str">
        <f>IF(ISBLANK('Data Input'!B288),"",'Data Input'!B288)</f>
        <v>RP079</v>
      </c>
      <c r="C288" t="str">
        <f>IF(ISBLANK('Data Input'!C288),"",'Data Input'!C288)</f>
        <v>6/27/18 1826</v>
      </c>
      <c r="E288">
        <f>IF(ISBLANK('Data Input'!D288),"",'Data Input'!D288)</f>
        <v>43279</v>
      </c>
      <c r="G288">
        <f>IF(ISBLANK('Data Input'!E288),"",'Data Input'!E288)</f>
        <v>19</v>
      </c>
      <c r="H288" t="str">
        <f>IF(ISBLANK('Data Input'!F288),"",'Data Input'!F288)</f>
        <v>White</v>
      </c>
      <c r="I288" t="str">
        <f>IF(ISBLANK('Data Input'!G288),"",'Data Input'!G288)</f>
        <v>SVD</v>
      </c>
      <c r="J288" t="str">
        <f>IF(ISBLANK('Data Input'!I288),"",'Data Input'!I288)</f>
        <v>6=28=18 0854</v>
      </c>
      <c r="K288" t="str">
        <f>IF(ISBLANK('Data Input'!J288),"",'Data Input'!J288)</f>
        <v>bb - Ibuprofen</v>
      </c>
      <c r="L288">
        <f>IF(ISBLANK('Data Input'!K288),"",'Data Input'!K288)</f>
        <v>800</v>
      </c>
      <c r="M288">
        <f>IF(ISBLANK('Data Input'!L288),"",'Data Input'!L288)</f>
        <v>800</v>
      </c>
      <c r="N288">
        <f>IF(ISBLANK('Data Input'!M288),"",'Data Input'!M288)</f>
        <v>7</v>
      </c>
      <c r="O288" t="str">
        <f>IF(ISBLANK('Data Input'!N288),"",'Data Input'!N288)</f>
        <v/>
      </c>
      <c r="P288" t="str">
        <f>IF(ISBLANK('Data Input'!O288),"",'Data Input'!O288)</f>
        <v/>
      </c>
      <c r="Q288" t="str">
        <f>IF(ISBLANK('Data Input'!P288),"",'Data Input'!P288)</f>
        <v/>
      </c>
      <c r="R288" t="b">
        <f>IF(ISBLANK('Data Input'!Q288),"",'Data Input'!Q288)</f>
        <v>1</v>
      </c>
      <c r="T288" s="2">
        <f t="shared" si="18"/>
        <v>43278</v>
      </c>
      <c r="U288" s="12">
        <f t="shared" si="19"/>
        <v>0.7680555555555556</v>
      </c>
      <c r="V288" s="2">
        <f t="shared" si="20"/>
        <v>43279</v>
      </c>
      <c r="W288" s="12">
        <f t="shared" si="21"/>
        <v>43279</v>
      </c>
    </row>
    <row r="289" spans="1:23">
      <c r="A289">
        <f>IF(ISBLANK('Data Input'!A289),"",'Data Input'!A289)</f>
        <v>79</v>
      </c>
      <c r="B289" t="str">
        <f>IF(ISBLANK('Data Input'!B289),"",'Data Input'!B289)</f>
        <v>RP079</v>
      </c>
      <c r="C289" t="str">
        <f>IF(ISBLANK('Data Input'!C289),"",'Data Input'!C289)</f>
        <v>6/27/18 1826</v>
      </c>
      <c r="E289">
        <f>IF(ISBLANK('Data Input'!D289),"",'Data Input'!D289)</f>
        <v>43279</v>
      </c>
      <c r="G289">
        <f>IF(ISBLANK('Data Input'!E289),"",'Data Input'!E289)</f>
        <v>19</v>
      </c>
      <c r="H289" t="str">
        <f>IF(ISBLANK('Data Input'!F289),"",'Data Input'!F289)</f>
        <v>White</v>
      </c>
      <c r="I289" t="str">
        <f>IF(ISBLANK('Data Input'!G289),"",'Data Input'!G289)</f>
        <v>SVD</v>
      </c>
      <c r="J289" t="str">
        <f>IF(ISBLANK('Data Input'!I289),"",'Data Input'!I289)</f>
        <v>6=28=18 0854</v>
      </c>
      <c r="K289" t="str">
        <f>IF(ISBLANK('Data Input'!J289),"",'Data Input'!J289)</f>
        <v>rr - Percocet</v>
      </c>
      <c r="L289">
        <f>IF(ISBLANK('Data Input'!K289),"",'Data Input'!K289)</f>
        <v>1</v>
      </c>
      <c r="M289">
        <f>IF(ISBLANK('Data Input'!L289),"",'Data Input'!L289)</f>
        <v>1</v>
      </c>
      <c r="N289">
        <f>IF(ISBLANK('Data Input'!M289),"",'Data Input'!M289)</f>
        <v>7</v>
      </c>
      <c r="O289" t="str">
        <f>IF(ISBLANK('Data Input'!N289),"",'Data Input'!N289)</f>
        <v/>
      </c>
      <c r="P289" t="str">
        <f>IF(ISBLANK('Data Input'!O289),"",'Data Input'!O289)</f>
        <v/>
      </c>
      <c r="Q289" t="str">
        <f>IF(ISBLANK('Data Input'!P289),"",'Data Input'!P289)</f>
        <v/>
      </c>
      <c r="R289" t="b">
        <f>IF(ISBLANK('Data Input'!Q289),"",'Data Input'!Q289)</f>
        <v>1</v>
      </c>
      <c r="T289" s="2">
        <f t="shared" si="18"/>
        <v>43278</v>
      </c>
      <c r="U289" s="12">
        <f t="shared" si="19"/>
        <v>0.7680555555555556</v>
      </c>
      <c r="V289" s="2">
        <f t="shared" si="20"/>
        <v>43279</v>
      </c>
      <c r="W289" s="12">
        <f t="shared" si="21"/>
        <v>43279</v>
      </c>
    </row>
    <row r="290" spans="1:23">
      <c r="A290">
        <f>IF(ISBLANK('Data Input'!A290),"",'Data Input'!A290)</f>
        <v>80</v>
      </c>
      <c r="B290" t="str">
        <f>IF(ISBLANK('Data Input'!B290),"",'Data Input'!B290)</f>
        <v>PP080</v>
      </c>
      <c r="C290" t="str">
        <f>IF(ISBLANK('Data Input'!C290),"",'Data Input'!C290)</f>
        <v>6/26/18 1635</v>
      </c>
      <c r="E290" t="str">
        <f>IF(ISBLANK('Data Input'!D290),"",'Data Input'!D290)</f>
        <v>6/27/18 1156</v>
      </c>
      <c r="G290">
        <f>IF(ISBLANK('Data Input'!E290),"",'Data Input'!E290)</f>
        <v>32</v>
      </c>
      <c r="H290" t="str">
        <f>IF(ISBLANK('Data Input'!F290),"",'Data Input'!F290)</f>
        <v>Asian</v>
      </c>
      <c r="I290" t="str">
        <f>IF(ISBLANK('Data Input'!G290),"",'Data Input'!G290)</f>
        <v>SVD</v>
      </c>
      <c r="J290" t="str">
        <f>IF(ISBLANK('Data Input'!I290),"",'Data Input'!I290)</f>
        <v>6=26=18 2300</v>
      </c>
      <c r="K290" t="str">
        <f>IF(ISBLANK('Data Input'!J290),"",'Data Input'!J290)</f>
        <v>bb - Ibuprofen</v>
      </c>
      <c r="L290">
        <f>IF(ISBLANK('Data Input'!K290),"",'Data Input'!K290)</f>
        <v>800</v>
      </c>
      <c r="M290">
        <f>IF(ISBLANK('Data Input'!L290),"",'Data Input'!L290)</f>
        <v>7</v>
      </c>
      <c r="N290">
        <f>IF(ISBLANK('Data Input'!M290),"",'Data Input'!M290)</f>
        <v>5</v>
      </c>
      <c r="O290">
        <f>IF(ISBLANK('Data Input'!N290),"",'Data Input'!N290)</f>
        <v>3</v>
      </c>
      <c r="P290" t="str">
        <f>IF(ISBLANK('Data Input'!O290),"",'Data Input'!O290)</f>
        <v/>
      </c>
      <c r="Q290" t="str">
        <f>IF(ISBLANK('Data Input'!P290),"",'Data Input'!P290)</f>
        <v/>
      </c>
      <c r="R290" t="b">
        <f>IF(ISBLANK('Data Input'!Q290),"",'Data Input'!Q290)</f>
        <v>0</v>
      </c>
      <c r="T290" s="2">
        <f t="shared" si="18"/>
        <v>43277</v>
      </c>
      <c r="U290" s="12">
        <f t="shared" si="19"/>
        <v>0.69097222222222221</v>
      </c>
      <c r="V290" s="2">
        <f t="shared" si="20"/>
        <v>43278</v>
      </c>
      <c r="W290" s="12">
        <f t="shared" si="21"/>
        <v>0.49722222222222223</v>
      </c>
    </row>
    <row r="291" spans="1:23">
      <c r="A291">
        <f>IF(ISBLANK('Data Input'!A291),"",'Data Input'!A291)</f>
        <v>80</v>
      </c>
      <c r="B291" t="str">
        <f>IF(ISBLANK('Data Input'!B291),"",'Data Input'!B291)</f>
        <v>PP080</v>
      </c>
      <c r="C291" t="str">
        <f>IF(ISBLANK('Data Input'!C291),"",'Data Input'!C291)</f>
        <v>6/26/18 1635</v>
      </c>
      <c r="E291" t="str">
        <f>IF(ISBLANK('Data Input'!D291),"",'Data Input'!D291)</f>
        <v>6/27/18 1156</v>
      </c>
      <c r="G291">
        <f>IF(ISBLANK('Data Input'!E291),"",'Data Input'!E291)</f>
        <v>32</v>
      </c>
      <c r="H291" t="str">
        <f>IF(ISBLANK('Data Input'!F291),"",'Data Input'!F291)</f>
        <v>Asian</v>
      </c>
      <c r="I291" t="str">
        <f>IF(ISBLANK('Data Input'!G291),"",'Data Input'!G291)</f>
        <v>SVD</v>
      </c>
      <c r="J291" t="str">
        <f>IF(ISBLANK('Data Input'!I291),"",'Data Input'!I291)</f>
        <v>6=27=18 0444</v>
      </c>
      <c r="K291" t="str">
        <f>IF(ISBLANK('Data Input'!J291),"",'Data Input'!J291)</f>
        <v>bb - Ibuprofen</v>
      </c>
      <c r="L291">
        <f>IF(ISBLANK('Data Input'!K291),"",'Data Input'!K291)</f>
        <v>800</v>
      </c>
      <c r="M291">
        <f>IF(ISBLANK('Data Input'!L291),"",'Data Input'!L291)</f>
        <v>7</v>
      </c>
      <c r="N291">
        <f>IF(ISBLANK('Data Input'!M291),"",'Data Input'!M291)</f>
        <v>7</v>
      </c>
      <c r="O291">
        <f>IF(ISBLANK('Data Input'!N291),"",'Data Input'!N291)</f>
        <v>3</v>
      </c>
      <c r="P291" t="str">
        <f>IF(ISBLANK('Data Input'!O291),"",'Data Input'!O291)</f>
        <v/>
      </c>
      <c r="Q291" t="str">
        <f>IF(ISBLANK('Data Input'!P291),"",'Data Input'!P291)</f>
        <v/>
      </c>
      <c r="R291" t="b">
        <f>IF(ISBLANK('Data Input'!Q291),"",'Data Input'!Q291)</f>
        <v>0</v>
      </c>
      <c r="T291" s="2">
        <f t="shared" si="18"/>
        <v>43277</v>
      </c>
      <c r="U291" s="12">
        <f t="shared" si="19"/>
        <v>0.69097222222222221</v>
      </c>
      <c r="V291" s="2">
        <f t="shared" si="20"/>
        <v>43278</v>
      </c>
      <c r="W291" s="12">
        <f t="shared" si="21"/>
        <v>0.49722222222222223</v>
      </c>
    </row>
    <row r="292" spans="1:23">
      <c r="A292">
        <f>IF(ISBLANK('Data Input'!A292),"",'Data Input'!A292)</f>
        <v>80</v>
      </c>
      <c r="B292" t="str">
        <f>IF(ISBLANK('Data Input'!B292),"",'Data Input'!B292)</f>
        <v>PP080</v>
      </c>
      <c r="C292" t="str">
        <f>IF(ISBLANK('Data Input'!C292),"",'Data Input'!C292)</f>
        <v>6/26/18 1635</v>
      </c>
      <c r="E292" t="str">
        <f>IF(ISBLANK('Data Input'!D292),"",'Data Input'!D292)</f>
        <v>6/27/18 1156</v>
      </c>
      <c r="G292">
        <f>IF(ISBLANK('Data Input'!E292),"",'Data Input'!E292)</f>
        <v>32</v>
      </c>
      <c r="H292" t="str">
        <f>IF(ISBLANK('Data Input'!F292),"",'Data Input'!F292)</f>
        <v>Asian</v>
      </c>
      <c r="I292" t="str">
        <f>IF(ISBLANK('Data Input'!G292),"",'Data Input'!G292)</f>
        <v>SVD</v>
      </c>
      <c r="J292" t="str">
        <f>IF(ISBLANK('Data Input'!I292),"",'Data Input'!I292)</f>
        <v>6=27=18 1156</v>
      </c>
      <c r="K292" t="str">
        <f>IF(ISBLANK('Data Input'!J292),"",'Data Input'!J292)</f>
        <v>bb - Ibuprofen</v>
      </c>
      <c r="L292">
        <f>IF(ISBLANK('Data Input'!K292),"",'Data Input'!K292)</f>
        <v>800</v>
      </c>
      <c r="M292">
        <f>IF(ISBLANK('Data Input'!L292),"",'Data Input'!L292)</f>
        <v>7</v>
      </c>
      <c r="N292">
        <f>IF(ISBLANK('Data Input'!M292),"",'Data Input'!M292)</f>
        <v>7</v>
      </c>
      <c r="O292">
        <f>IF(ISBLANK('Data Input'!N292),"",'Data Input'!N292)</f>
        <v>3</v>
      </c>
      <c r="P292" t="str">
        <f>IF(ISBLANK('Data Input'!O292),"",'Data Input'!O292)</f>
        <v/>
      </c>
      <c r="Q292" t="str">
        <f>IF(ISBLANK('Data Input'!P292),"",'Data Input'!P292)</f>
        <v/>
      </c>
      <c r="R292" t="b">
        <f>IF(ISBLANK('Data Input'!Q292),"",'Data Input'!Q292)</f>
        <v>0</v>
      </c>
      <c r="T292" s="2">
        <f t="shared" si="18"/>
        <v>43277</v>
      </c>
      <c r="U292" s="12">
        <f t="shared" si="19"/>
        <v>0.69097222222222221</v>
      </c>
      <c r="V292" s="2">
        <f t="shared" si="20"/>
        <v>43278</v>
      </c>
      <c r="W292" s="12">
        <f t="shared" si="21"/>
        <v>0.49722222222222223</v>
      </c>
    </row>
    <row r="293" spans="1:23">
      <c r="A293">
        <f>IF(ISBLANK('Data Input'!A293),"",'Data Input'!A293)</f>
        <v>81</v>
      </c>
      <c r="B293" t="str">
        <f>IF(ISBLANK('Data Input'!B293),"",'Data Input'!B293)</f>
        <v>AC081</v>
      </c>
      <c r="C293" t="str">
        <f>IF(ISBLANK('Data Input'!C293),"",'Data Input'!C293)</f>
        <v>6/27/18 1325</v>
      </c>
      <c r="E293" t="str">
        <f>IF(ISBLANK('Data Input'!D293),"",'Data Input'!D293)</f>
        <v>6/28/18 0750</v>
      </c>
      <c r="G293">
        <f>IF(ISBLANK('Data Input'!E293),"",'Data Input'!E293)</f>
        <v>23</v>
      </c>
      <c r="H293" t="str">
        <f>IF(ISBLANK('Data Input'!F293),"",'Data Input'!F293)</f>
        <v>bb - Black</v>
      </c>
      <c r="I293" t="str">
        <f>IF(ISBLANK('Data Input'!G293),"",'Data Input'!G293)</f>
        <v>SVD</v>
      </c>
      <c r="J293" t="str">
        <f>IF(ISBLANK('Data Input'!I293),"",'Data Input'!I293)</f>
        <v>6=27=18 2216</v>
      </c>
      <c r="K293" t="str">
        <f>IF(ISBLANK('Data Input'!J293),"",'Data Input'!J293)</f>
        <v>bb - Ibuprofen</v>
      </c>
      <c r="L293">
        <f>IF(ISBLANK('Data Input'!K293),"",'Data Input'!K293)</f>
        <v>800</v>
      </c>
      <c r="M293" t="str">
        <f>IF(ISBLANK('Data Input'!L293),"",'Data Input'!L293)</f>
        <v>dd - Missing Data</v>
      </c>
      <c r="N293" t="str">
        <f>IF(ISBLANK('Data Input'!M293),"",'Data Input'!M293)</f>
        <v>dd - Missing Data</v>
      </c>
      <c r="O293" t="str">
        <f>IF(ISBLANK('Data Input'!N293),"",'Data Input'!N293)</f>
        <v/>
      </c>
      <c r="P293" t="str">
        <f>IF(ISBLANK('Data Input'!O293),"",'Data Input'!O293)</f>
        <v/>
      </c>
      <c r="Q293" t="str">
        <f>IF(ISBLANK('Data Input'!P293),"",'Data Input'!P293)</f>
        <v/>
      </c>
      <c r="R293" t="b">
        <f>IF(ISBLANK('Data Input'!Q293),"",'Data Input'!Q293)</f>
        <v>1</v>
      </c>
      <c r="T293" s="2">
        <f t="shared" si="18"/>
        <v>43278</v>
      </c>
      <c r="U293" s="12">
        <f t="shared" si="19"/>
        <v>0.55902777777777779</v>
      </c>
      <c r="V293" s="2">
        <f t="shared" si="20"/>
        <v>43279</v>
      </c>
      <c r="W293" s="12">
        <f t="shared" si="21"/>
        <v>0.3263888888888889</v>
      </c>
    </row>
    <row r="294" spans="1:23">
      <c r="A294">
        <f>IF(ISBLANK('Data Input'!A294),"",'Data Input'!A294)</f>
        <v>81</v>
      </c>
      <c r="B294" t="str">
        <f>IF(ISBLANK('Data Input'!B294),"",'Data Input'!B294)</f>
        <v>AC081</v>
      </c>
      <c r="C294" t="str">
        <f>IF(ISBLANK('Data Input'!C294),"",'Data Input'!C294)</f>
        <v>6/27/18 1325</v>
      </c>
      <c r="E294" t="str">
        <f>IF(ISBLANK('Data Input'!D294),"",'Data Input'!D294)</f>
        <v>6/28/18 0750</v>
      </c>
      <c r="G294">
        <f>IF(ISBLANK('Data Input'!E294),"",'Data Input'!E294)</f>
        <v>23</v>
      </c>
      <c r="H294" t="str">
        <f>IF(ISBLANK('Data Input'!F294),"",'Data Input'!F294)</f>
        <v>bb - Black</v>
      </c>
      <c r="I294" t="str">
        <f>IF(ISBLANK('Data Input'!G294),"",'Data Input'!G294)</f>
        <v>SVD</v>
      </c>
      <c r="J294" t="str">
        <f>IF(ISBLANK('Data Input'!I294),"",'Data Input'!I294)</f>
        <v>6=28=18 0750</v>
      </c>
      <c r="K294" t="str">
        <f>IF(ISBLANK('Data Input'!J294),"",'Data Input'!J294)</f>
        <v>bb - Ibuprofen</v>
      </c>
      <c r="L294">
        <f>IF(ISBLANK('Data Input'!K294),"",'Data Input'!K294)</f>
        <v>800</v>
      </c>
      <c r="M294">
        <f>IF(ISBLANK('Data Input'!L294),"",'Data Input'!L294)</f>
        <v>3</v>
      </c>
      <c r="N294">
        <f>IF(ISBLANK('Data Input'!M294),"",'Data Input'!M294)</f>
        <v>0</v>
      </c>
      <c r="O294" t="str">
        <f>IF(ISBLANK('Data Input'!N294),"",'Data Input'!N294)</f>
        <v/>
      </c>
      <c r="P294" t="str">
        <f>IF(ISBLANK('Data Input'!O294),"",'Data Input'!O294)</f>
        <v/>
      </c>
      <c r="Q294" t="str">
        <f>IF(ISBLANK('Data Input'!P294),"",'Data Input'!P294)</f>
        <v/>
      </c>
      <c r="R294" t="b">
        <f>IF(ISBLANK('Data Input'!Q294),"",'Data Input'!Q294)</f>
        <v>1</v>
      </c>
      <c r="T294" s="2">
        <f t="shared" si="18"/>
        <v>43278</v>
      </c>
      <c r="U294" s="12">
        <f t="shared" si="19"/>
        <v>0.55902777777777779</v>
      </c>
      <c r="V294" s="2">
        <f t="shared" si="20"/>
        <v>43279</v>
      </c>
      <c r="W294" s="12">
        <f t="shared" si="21"/>
        <v>0.3263888888888889</v>
      </c>
    </row>
    <row r="295" spans="1:23">
      <c r="A295">
        <f>IF(ISBLANK('Data Input'!A295),"",'Data Input'!A295)</f>
        <v>82</v>
      </c>
      <c r="B295" t="str">
        <f>IF(ISBLANK('Data Input'!B295),"",'Data Input'!B295)</f>
        <v>SL082</v>
      </c>
      <c r="C295" t="str">
        <f>IF(ISBLANK('Data Input'!C295),"",'Data Input'!C295)</f>
        <v>6/27/18 1535</v>
      </c>
      <c r="E295" t="str">
        <f>IF(ISBLANK('Data Input'!D295),"",'Data Input'!D295)</f>
        <v>6/28/18 1404</v>
      </c>
      <c r="G295">
        <f>IF(ISBLANK('Data Input'!E295),"",'Data Input'!E295)</f>
        <v>28</v>
      </c>
      <c r="H295" t="str">
        <f>IF(ISBLANK('Data Input'!F295),"",'Data Input'!F295)</f>
        <v>bb - Black</v>
      </c>
      <c r="I295" t="str">
        <f>IF(ISBLANK('Data Input'!G295),"",'Data Input'!G295)</f>
        <v>SVD</v>
      </c>
      <c r="J295" t="str">
        <f>IF(ISBLANK('Data Input'!I295),"",'Data Input'!I295)</f>
        <v>6=27=18 1821</v>
      </c>
      <c r="K295" t="str">
        <f>IF(ISBLANK('Data Input'!J295),"",'Data Input'!J295)</f>
        <v>bb - Ibuprofen</v>
      </c>
      <c r="L295">
        <f>IF(ISBLANK('Data Input'!K295),"",'Data Input'!K295)</f>
        <v>800</v>
      </c>
      <c r="M295">
        <f>IF(ISBLANK('Data Input'!L295),"",'Data Input'!L295)</f>
        <v>8</v>
      </c>
      <c r="N295">
        <f>IF(ISBLANK('Data Input'!M295),"",'Data Input'!M295)</f>
        <v>0</v>
      </c>
      <c r="O295">
        <f>IF(ISBLANK('Data Input'!N295),"",'Data Input'!N295)</f>
        <v>3</v>
      </c>
      <c r="P295" t="str">
        <f>IF(ISBLANK('Data Input'!O295),"",'Data Input'!O295)</f>
        <v/>
      </c>
      <c r="Q295" t="str">
        <f>IF(ISBLANK('Data Input'!P295),"",'Data Input'!P295)</f>
        <v/>
      </c>
      <c r="R295" t="b">
        <f>IF(ISBLANK('Data Input'!Q295),"",'Data Input'!Q295)</f>
        <v>0</v>
      </c>
      <c r="T295" s="2">
        <f t="shared" si="18"/>
        <v>43278</v>
      </c>
      <c r="U295" s="12">
        <f t="shared" si="19"/>
        <v>0.64930555555555558</v>
      </c>
      <c r="V295" s="2">
        <f t="shared" si="20"/>
        <v>43279</v>
      </c>
      <c r="W295" s="12">
        <f t="shared" si="21"/>
        <v>0.58611111111111114</v>
      </c>
    </row>
    <row r="296" spans="1:23">
      <c r="A296">
        <f>IF(ISBLANK('Data Input'!A296),"",'Data Input'!A296)</f>
        <v>82</v>
      </c>
      <c r="B296" t="str">
        <f>IF(ISBLANK('Data Input'!B296),"",'Data Input'!B296)</f>
        <v>SL082</v>
      </c>
      <c r="C296" t="str">
        <f>IF(ISBLANK('Data Input'!C296),"",'Data Input'!C296)</f>
        <v>6/27/18 1535</v>
      </c>
      <c r="E296" t="str">
        <f>IF(ISBLANK('Data Input'!D296),"",'Data Input'!D296)</f>
        <v>6/28/18 1404</v>
      </c>
      <c r="G296">
        <f>IF(ISBLANK('Data Input'!E296),"",'Data Input'!E296)</f>
        <v>28</v>
      </c>
      <c r="H296" t="str">
        <f>IF(ISBLANK('Data Input'!F296),"",'Data Input'!F296)</f>
        <v>bb - Black</v>
      </c>
      <c r="I296" t="str">
        <f>IF(ISBLANK('Data Input'!G296),"",'Data Input'!G296)</f>
        <v>SVD</v>
      </c>
      <c r="J296" t="str">
        <f>IF(ISBLANK('Data Input'!I296),"",'Data Input'!I296)</f>
        <v>6=27=18 1821</v>
      </c>
      <c r="K296" t="str">
        <f>IF(ISBLANK('Data Input'!J296),"",'Data Input'!J296)</f>
        <v>rr - Percocet</v>
      </c>
      <c r="L296">
        <f>IF(ISBLANK('Data Input'!K296),"",'Data Input'!K296)</f>
        <v>1</v>
      </c>
      <c r="M296">
        <f>IF(ISBLANK('Data Input'!L296),"",'Data Input'!L296)</f>
        <v>8</v>
      </c>
      <c r="N296">
        <f>IF(ISBLANK('Data Input'!M296),"",'Data Input'!M296)</f>
        <v>0</v>
      </c>
      <c r="O296">
        <f>IF(ISBLANK('Data Input'!N296),"",'Data Input'!N296)</f>
        <v>6</v>
      </c>
      <c r="P296" t="str">
        <f>IF(ISBLANK('Data Input'!O296),"",'Data Input'!O296)</f>
        <v/>
      </c>
      <c r="Q296" t="str">
        <f>IF(ISBLANK('Data Input'!P296),"",'Data Input'!P296)</f>
        <v/>
      </c>
      <c r="R296" t="b">
        <f>IF(ISBLANK('Data Input'!Q296),"",'Data Input'!Q296)</f>
        <v>0</v>
      </c>
      <c r="T296" s="2">
        <f t="shared" si="18"/>
        <v>43278</v>
      </c>
      <c r="U296" s="12">
        <f t="shared" si="19"/>
        <v>0.64930555555555558</v>
      </c>
      <c r="V296" s="2">
        <f t="shared" si="20"/>
        <v>43279</v>
      </c>
      <c r="W296" s="12">
        <f t="shared" si="21"/>
        <v>0.58611111111111114</v>
      </c>
    </row>
    <row r="297" spans="1:23">
      <c r="A297">
        <f>IF(ISBLANK('Data Input'!A297),"",'Data Input'!A297)</f>
        <v>82</v>
      </c>
      <c r="B297" t="str">
        <f>IF(ISBLANK('Data Input'!B297),"",'Data Input'!B297)</f>
        <v>SL082</v>
      </c>
      <c r="C297" t="str">
        <f>IF(ISBLANK('Data Input'!C297),"",'Data Input'!C297)</f>
        <v>6/27/18 1535</v>
      </c>
      <c r="E297" t="str">
        <f>IF(ISBLANK('Data Input'!D297),"",'Data Input'!D297)</f>
        <v>6/28/18 1404</v>
      </c>
      <c r="G297">
        <f>IF(ISBLANK('Data Input'!E297),"",'Data Input'!E297)</f>
        <v>28</v>
      </c>
      <c r="H297" t="str">
        <f>IF(ISBLANK('Data Input'!F297),"",'Data Input'!F297)</f>
        <v>bb - Black</v>
      </c>
      <c r="I297" t="str">
        <f>IF(ISBLANK('Data Input'!G297),"",'Data Input'!G297)</f>
        <v>SVD</v>
      </c>
      <c r="J297" t="str">
        <f>IF(ISBLANK('Data Input'!I297),"",'Data Input'!I297)</f>
        <v>6=28=18 0134</v>
      </c>
      <c r="K297" t="str">
        <f>IF(ISBLANK('Data Input'!J297),"",'Data Input'!J297)</f>
        <v>bb - Ibuprofen</v>
      </c>
      <c r="L297">
        <f>IF(ISBLANK('Data Input'!K297),"",'Data Input'!K297)</f>
        <v>800</v>
      </c>
      <c r="M297">
        <f>IF(ISBLANK('Data Input'!L297),"",'Data Input'!L297)</f>
        <v>7</v>
      </c>
      <c r="N297">
        <f>IF(ISBLANK('Data Input'!M297),"",'Data Input'!M297)</f>
        <v>0</v>
      </c>
      <c r="O297">
        <f>IF(ISBLANK('Data Input'!N297),"",'Data Input'!N297)</f>
        <v>3</v>
      </c>
      <c r="P297" t="str">
        <f>IF(ISBLANK('Data Input'!O297),"",'Data Input'!O297)</f>
        <v/>
      </c>
      <c r="Q297" t="str">
        <f>IF(ISBLANK('Data Input'!P297),"",'Data Input'!P297)</f>
        <v/>
      </c>
      <c r="R297" t="b">
        <f>IF(ISBLANK('Data Input'!Q297),"",'Data Input'!Q297)</f>
        <v>0</v>
      </c>
      <c r="T297" s="2">
        <f t="shared" si="18"/>
        <v>43278</v>
      </c>
      <c r="U297" s="12">
        <f t="shared" si="19"/>
        <v>0.64930555555555558</v>
      </c>
      <c r="V297" s="2">
        <f t="shared" si="20"/>
        <v>43279</v>
      </c>
      <c r="W297" s="12">
        <f t="shared" si="21"/>
        <v>0.58611111111111114</v>
      </c>
    </row>
    <row r="298" spans="1:23">
      <c r="A298">
        <f>IF(ISBLANK('Data Input'!A298),"",'Data Input'!A298)</f>
        <v>82</v>
      </c>
      <c r="B298" t="str">
        <f>IF(ISBLANK('Data Input'!B298),"",'Data Input'!B298)</f>
        <v>SL082</v>
      </c>
      <c r="C298" t="str">
        <f>IF(ISBLANK('Data Input'!C298),"",'Data Input'!C298)</f>
        <v>6/27/18 1535</v>
      </c>
      <c r="E298" t="str">
        <f>IF(ISBLANK('Data Input'!D298),"",'Data Input'!D298)</f>
        <v>6/28/18 1404</v>
      </c>
      <c r="G298">
        <f>IF(ISBLANK('Data Input'!E298),"",'Data Input'!E298)</f>
        <v>28</v>
      </c>
      <c r="H298" t="str">
        <f>IF(ISBLANK('Data Input'!F298),"",'Data Input'!F298)</f>
        <v>bb - Black</v>
      </c>
      <c r="I298" t="str">
        <f>IF(ISBLANK('Data Input'!G298),"",'Data Input'!G298)</f>
        <v>SVD</v>
      </c>
      <c r="J298" t="str">
        <f>IF(ISBLANK('Data Input'!I298),"",'Data Input'!I298)</f>
        <v>6=28=18 0134</v>
      </c>
      <c r="K298" t="str">
        <f>IF(ISBLANK('Data Input'!J298),"",'Data Input'!J298)</f>
        <v>rr - Percocet</v>
      </c>
      <c r="L298">
        <f>IF(ISBLANK('Data Input'!K298),"",'Data Input'!K298)</f>
        <v>1</v>
      </c>
      <c r="M298">
        <f>IF(ISBLANK('Data Input'!L298),"",'Data Input'!L298)</f>
        <v>7</v>
      </c>
      <c r="N298">
        <f>IF(ISBLANK('Data Input'!M298),"",'Data Input'!M298)</f>
        <v>0</v>
      </c>
      <c r="O298">
        <f>IF(ISBLANK('Data Input'!N298),"",'Data Input'!N298)</f>
        <v>6</v>
      </c>
      <c r="P298" t="str">
        <f>IF(ISBLANK('Data Input'!O298),"",'Data Input'!O298)</f>
        <v/>
      </c>
      <c r="Q298" t="str">
        <f>IF(ISBLANK('Data Input'!P298),"",'Data Input'!P298)</f>
        <v/>
      </c>
      <c r="R298" t="b">
        <f>IF(ISBLANK('Data Input'!Q298),"",'Data Input'!Q298)</f>
        <v>0</v>
      </c>
      <c r="T298" s="2">
        <f t="shared" si="18"/>
        <v>43278</v>
      </c>
      <c r="U298" s="12">
        <f t="shared" si="19"/>
        <v>0.64930555555555558</v>
      </c>
      <c r="V298" s="2">
        <f t="shared" si="20"/>
        <v>43279</v>
      </c>
      <c r="W298" s="12">
        <f t="shared" si="21"/>
        <v>0.58611111111111114</v>
      </c>
    </row>
    <row r="299" spans="1:23">
      <c r="A299">
        <f>IF(ISBLANK('Data Input'!A299),"",'Data Input'!A299)</f>
        <v>82</v>
      </c>
      <c r="B299" t="str">
        <f>IF(ISBLANK('Data Input'!B299),"",'Data Input'!B299)</f>
        <v>SL082</v>
      </c>
      <c r="C299" t="str">
        <f>IF(ISBLANK('Data Input'!C299),"",'Data Input'!C299)</f>
        <v>6/27/18 1535</v>
      </c>
      <c r="E299" t="str">
        <f>IF(ISBLANK('Data Input'!D299),"",'Data Input'!D299)</f>
        <v>6/28/18 1404</v>
      </c>
      <c r="G299">
        <f>IF(ISBLANK('Data Input'!E299),"",'Data Input'!E299)</f>
        <v>28</v>
      </c>
      <c r="H299" t="str">
        <f>IF(ISBLANK('Data Input'!F299),"",'Data Input'!F299)</f>
        <v>bb - Black</v>
      </c>
      <c r="I299" t="str">
        <f>IF(ISBLANK('Data Input'!G299),"",'Data Input'!G299)</f>
        <v>SVD</v>
      </c>
      <c r="J299" t="str">
        <f>IF(ISBLANK('Data Input'!I299),"",'Data Input'!I299)</f>
        <v>6=28=18 0615</v>
      </c>
      <c r="K299" t="str">
        <f>IF(ISBLANK('Data Input'!J299),"",'Data Input'!J299)</f>
        <v>rr - Percocet</v>
      </c>
      <c r="L299">
        <f>IF(ISBLANK('Data Input'!K299),"",'Data Input'!K299)</f>
        <v>1</v>
      </c>
      <c r="M299">
        <f>IF(ISBLANK('Data Input'!L299),"",'Data Input'!L299)</f>
        <v>7</v>
      </c>
      <c r="N299">
        <f>IF(ISBLANK('Data Input'!M299),"",'Data Input'!M299)</f>
        <v>5</v>
      </c>
      <c r="O299">
        <f>IF(ISBLANK('Data Input'!N299),"",'Data Input'!N299)</f>
        <v>6</v>
      </c>
      <c r="P299" t="str">
        <f>IF(ISBLANK('Data Input'!O299),"",'Data Input'!O299)</f>
        <v/>
      </c>
      <c r="Q299" t="str">
        <f>IF(ISBLANK('Data Input'!P299),"",'Data Input'!P299)</f>
        <v/>
      </c>
      <c r="R299" t="b">
        <f>IF(ISBLANK('Data Input'!Q299),"",'Data Input'!Q299)</f>
        <v>0</v>
      </c>
      <c r="T299" s="2">
        <f t="shared" si="18"/>
        <v>43278</v>
      </c>
      <c r="U299" s="12">
        <f t="shared" si="19"/>
        <v>0.64930555555555558</v>
      </c>
      <c r="V299" s="2">
        <f t="shared" si="20"/>
        <v>43279</v>
      </c>
      <c r="W299" s="12">
        <f t="shared" si="21"/>
        <v>0.58611111111111114</v>
      </c>
    </row>
    <row r="300" spans="1:23">
      <c r="A300">
        <f>IF(ISBLANK('Data Input'!A300),"",'Data Input'!A300)</f>
        <v>82</v>
      </c>
      <c r="B300" t="str">
        <f>IF(ISBLANK('Data Input'!B300),"",'Data Input'!B300)</f>
        <v>SL082</v>
      </c>
      <c r="C300" t="str">
        <f>IF(ISBLANK('Data Input'!C300),"",'Data Input'!C300)</f>
        <v>6/27/18 1535</v>
      </c>
      <c r="E300" t="str">
        <f>IF(ISBLANK('Data Input'!D300),"",'Data Input'!D300)</f>
        <v>6/28/18 1404</v>
      </c>
      <c r="G300">
        <f>IF(ISBLANK('Data Input'!E300),"",'Data Input'!E300)</f>
        <v>28</v>
      </c>
      <c r="H300" t="str">
        <f>IF(ISBLANK('Data Input'!F300),"",'Data Input'!F300)</f>
        <v>bb - Black</v>
      </c>
      <c r="I300" t="str">
        <f>IF(ISBLANK('Data Input'!G300),"",'Data Input'!G300)</f>
        <v>SVD</v>
      </c>
      <c r="J300" t="str">
        <f>IF(ISBLANK('Data Input'!I300),"",'Data Input'!I300)</f>
        <v>6=28=18 0822</v>
      </c>
      <c r="K300" t="str">
        <f>IF(ISBLANK('Data Input'!J300),"",'Data Input'!J300)</f>
        <v>bb - Ibuprofen</v>
      </c>
      <c r="L300">
        <f>IF(ISBLANK('Data Input'!K300),"",'Data Input'!K300)</f>
        <v>800</v>
      </c>
      <c r="M300">
        <f>IF(ISBLANK('Data Input'!L300),"",'Data Input'!L300)</f>
        <v>6</v>
      </c>
      <c r="N300">
        <f>IF(ISBLANK('Data Input'!M300),"",'Data Input'!M300)</f>
        <v>3</v>
      </c>
      <c r="O300">
        <f>IF(ISBLANK('Data Input'!N300),"",'Data Input'!N300)</f>
        <v>3</v>
      </c>
      <c r="P300" t="str">
        <f>IF(ISBLANK('Data Input'!O300),"",'Data Input'!O300)</f>
        <v/>
      </c>
      <c r="Q300" t="str">
        <f>IF(ISBLANK('Data Input'!P300),"",'Data Input'!P300)</f>
        <v/>
      </c>
      <c r="R300" t="b">
        <f>IF(ISBLANK('Data Input'!Q300),"",'Data Input'!Q300)</f>
        <v>0</v>
      </c>
      <c r="T300" s="2">
        <f t="shared" si="18"/>
        <v>43278</v>
      </c>
      <c r="U300" s="12">
        <f t="shared" si="19"/>
        <v>0.64930555555555558</v>
      </c>
      <c r="V300" s="2">
        <f t="shared" si="20"/>
        <v>43279</v>
      </c>
      <c r="W300" s="12">
        <f t="shared" si="21"/>
        <v>0.58611111111111114</v>
      </c>
    </row>
    <row r="301" spans="1:23">
      <c r="A301">
        <f>IF(ISBLANK('Data Input'!A301),"",'Data Input'!A301)</f>
        <v>82</v>
      </c>
      <c r="B301" t="str">
        <f>IF(ISBLANK('Data Input'!B301),"",'Data Input'!B301)</f>
        <v>SL082</v>
      </c>
      <c r="C301" t="str">
        <f>IF(ISBLANK('Data Input'!C301),"",'Data Input'!C301)</f>
        <v>6/27/18 1535</v>
      </c>
      <c r="E301" t="str">
        <f>IF(ISBLANK('Data Input'!D301),"",'Data Input'!D301)</f>
        <v>6/28/18 1404</v>
      </c>
      <c r="G301">
        <f>IF(ISBLANK('Data Input'!E301),"",'Data Input'!E301)</f>
        <v>28</v>
      </c>
      <c r="H301" t="str">
        <f>IF(ISBLANK('Data Input'!F301),"",'Data Input'!F301)</f>
        <v>bb - Black</v>
      </c>
      <c r="I301" t="str">
        <f>IF(ISBLANK('Data Input'!G301),"",'Data Input'!G301)</f>
        <v>SVD</v>
      </c>
      <c r="J301" t="str">
        <f>IF(ISBLANK('Data Input'!I301),"",'Data Input'!I301)</f>
        <v>6=28=18 0822</v>
      </c>
      <c r="K301" t="str">
        <f>IF(ISBLANK('Data Input'!J301),"",'Data Input'!J301)</f>
        <v>rr - Percocet</v>
      </c>
      <c r="L301">
        <f>IF(ISBLANK('Data Input'!K301),"",'Data Input'!K301)</f>
        <v>1</v>
      </c>
      <c r="M301">
        <f>IF(ISBLANK('Data Input'!L301),"",'Data Input'!L301)</f>
        <v>6</v>
      </c>
      <c r="N301">
        <f>IF(ISBLANK('Data Input'!M301),"",'Data Input'!M301)</f>
        <v>3</v>
      </c>
      <c r="O301">
        <f>IF(ISBLANK('Data Input'!N301),"",'Data Input'!N301)</f>
        <v>6</v>
      </c>
      <c r="P301" t="str">
        <f>IF(ISBLANK('Data Input'!O301),"",'Data Input'!O301)</f>
        <v/>
      </c>
      <c r="Q301" t="str">
        <f>IF(ISBLANK('Data Input'!P301),"",'Data Input'!P301)</f>
        <v/>
      </c>
      <c r="R301" t="b">
        <f>IF(ISBLANK('Data Input'!Q301),"",'Data Input'!Q301)</f>
        <v>0</v>
      </c>
      <c r="T301" s="2">
        <f t="shared" si="18"/>
        <v>43278</v>
      </c>
      <c r="U301" s="12">
        <f t="shared" si="19"/>
        <v>0.64930555555555558</v>
      </c>
      <c r="V301" s="2">
        <f t="shared" si="20"/>
        <v>43279</v>
      </c>
      <c r="W301" s="12">
        <f t="shared" si="21"/>
        <v>0.58611111111111114</v>
      </c>
    </row>
    <row r="302" spans="1:23">
      <c r="A302">
        <f>IF(ISBLANK('Data Input'!A302),"",'Data Input'!A302)</f>
        <v>82</v>
      </c>
      <c r="B302" t="str">
        <f>IF(ISBLANK('Data Input'!B302),"",'Data Input'!B302)</f>
        <v>SL082</v>
      </c>
      <c r="C302" t="str">
        <f>IF(ISBLANK('Data Input'!C302),"",'Data Input'!C302)</f>
        <v>6/27/18 1535</v>
      </c>
      <c r="E302" t="str">
        <f>IF(ISBLANK('Data Input'!D302),"",'Data Input'!D302)</f>
        <v>6/28/18 1404</v>
      </c>
      <c r="G302">
        <f>IF(ISBLANK('Data Input'!E302),"",'Data Input'!E302)</f>
        <v>28</v>
      </c>
      <c r="H302" t="str">
        <f>IF(ISBLANK('Data Input'!F302),"",'Data Input'!F302)</f>
        <v>bb - Black</v>
      </c>
      <c r="I302" t="str">
        <f>IF(ISBLANK('Data Input'!G302),"",'Data Input'!G302)</f>
        <v>SVD</v>
      </c>
      <c r="J302" t="str">
        <f>IF(ISBLANK('Data Input'!I302),"",'Data Input'!I302)</f>
        <v>6=28=18 1251</v>
      </c>
      <c r="K302" t="str">
        <f>IF(ISBLANK('Data Input'!J302),"",'Data Input'!J302)</f>
        <v>rr - Percocet</v>
      </c>
      <c r="L302">
        <f>IF(ISBLANK('Data Input'!K302),"",'Data Input'!K302)</f>
        <v>2</v>
      </c>
      <c r="M302">
        <f>IF(ISBLANK('Data Input'!L302),"",'Data Input'!L302)</f>
        <v>9</v>
      </c>
      <c r="N302">
        <f>IF(ISBLANK('Data Input'!M302),"",'Data Input'!M302)</f>
        <v>2</v>
      </c>
      <c r="O302">
        <f>IF(ISBLANK('Data Input'!N302),"",'Data Input'!N302)</f>
        <v>6</v>
      </c>
      <c r="P302" t="str">
        <f>IF(ISBLANK('Data Input'!O302),"",'Data Input'!O302)</f>
        <v/>
      </c>
      <c r="Q302" t="str">
        <f>IF(ISBLANK('Data Input'!P302),"",'Data Input'!P302)</f>
        <v/>
      </c>
      <c r="R302" t="b">
        <f>IF(ISBLANK('Data Input'!Q302),"",'Data Input'!Q302)</f>
        <v>0</v>
      </c>
      <c r="T302" s="2">
        <f t="shared" si="18"/>
        <v>43278</v>
      </c>
      <c r="U302" s="12">
        <f t="shared" si="19"/>
        <v>0.64930555555555558</v>
      </c>
      <c r="V302" s="2">
        <f t="shared" si="20"/>
        <v>43279</v>
      </c>
      <c r="W302" s="12">
        <f t="shared" si="21"/>
        <v>0.58611111111111114</v>
      </c>
    </row>
    <row r="303" spans="1:23">
      <c r="A303">
        <f>IF(ISBLANK('Data Input'!A303),"",'Data Input'!A303)</f>
        <v>82</v>
      </c>
      <c r="B303" t="str">
        <f>IF(ISBLANK('Data Input'!B303),"",'Data Input'!B303)</f>
        <v>SL082</v>
      </c>
      <c r="C303" t="str">
        <f>IF(ISBLANK('Data Input'!C303),"",'Data Input'!C303)</f>
        <v>6/27/18 1535</v>
      </c>
      <c r="E303" t="str">
        <f>IF(ISBLANK('Data Input'!D303),"",'Data Input'!D303)</f>
        <v>6/28/18 1404</v>
      </c>
      <c r="G303">
        <f>IF(ISBLANK('Data Input'!E303),"",'Data Input'!E303)</f>
        <v>28</v>
      </c>
      <c r="H303" t="str">
        <f>IF(ISBLANK('Data Input'!F303),"",'Data Input'!F303)</f>
        <v>bb - Black</v>
      </c>
      <c r="I303" t="str">
        <f>IF(ISBLANK('Data Input'!G303),"",'Data Input'!G303)</f>
        <v>SVD</v>
      </c>
      <c r="J303" t="str">
        <f>IF(ISBLANK('Data Input'!I303),"",'Data Input'!I303)</f>
        <v>6=28=18 1404</v>
      </c>
      <c r="K303" t="str">
        <f>IF(ISBLANK('Data Input'!J303),"",'Data Input'!J303)</f>
        <v>tr - Toradol</v>
      </c>
      <c r="L303">
        <f>IF(ISBLANK('Data Input'!K303),"",'Data Input'!K303)</f>
        <v>30</v>
      </c>
      <c r="M303">
        <f>IF(ISBLANK('Data Input'!L303),"",'Data Input'!L303)</f>
        <v>8</v>
      </c>
      <c r="N303">
        <f>IF(ISBLANK('Data Input'!M303),"",'Data Input'!M303)</f>
        <v>0</v>
      </c>
      <c r="O303">
        <f>IF(ISBLANK('Data Input'!N303),"",'Data Input'!N303)</f>
        <v>1</v>
      </c>
      <c r="P303" t="str">
        <f>IF(ISBLANK('Data Input'!O303),"",'Data Input'!O303)</f>
        <v/>
      </c>
      <c r="Q303" t="str">
        <f>IF(ISBLANK('Data Input'!P303),"",'Data Input'!P303)</f>
        <v/>
      </c>
      <c r="R303" t="b">
        <f>IF(ISBLANK('Data Input'!Q303),"",'Data Input'!Q303)</f>
        <v>0</v>
      </c>
      <c r="T303" s="2">
        <f t="shared" si="18"/>
        <v>43278</v>
      </c>
      <c r="U303" s="12">
        <f t="shared" si="19"/>
        <v>0.64930555555555558</v>
      </c>
      <c r="V303" s="2">
        <f t="shared" si="20"/>
        <v>43279</v>
      </c>
      <c r="W303" s="12">
        <f t="shared" si="21"/>
        <v>0.58611111111111114</v>
      </c>
    </row>
    <row r="304" spans="1:23">
      <c r="A304">
        <f>IF(ISBLANK('Data Input'!A304),"",'Data Input'!A304)</f>
        <v>83</v>
      </c>
      <c r="B304" t="str">
        <f>IF(ISBLANK('Data Input'!B304),"",'Data Input'!B304)</f>
        <v>MR083</v>
      </c>
      <c r="C304" t="str">
        <f>IF(ISBLANK('Data Input'!C304),"",'Data Input'!C304)</f>
        <v>6/28/18 0635</v>
      </c>
      <c r="E304" t="str">
        <f>IF(ISBLANK('Data Input'!D304),"",'Data Input'!D304)</f>
        <v>6/28/18 1859</v>
      </c>
      <c r="G304">
        <f>IF(ISBLANK('Data Input'!E304),"",'Data Input'!E304)</f>
        <v>31</v>
      </c>
      <c r="H304" t="str">
        <f>IF(ISBLANK('Data Input'!F304),"",'Data Input'!F304)</f>
        <v>Hispanic</v>
      </c>
      <c r="I304" t="str">
        <f>IF(ISBLANK('Data Input'!G304),"",'Data Input'!G304)</f>
        <v>SVD</v>
      </c>
      <c r="J304" t="str">
        <f>IF(ISBLANK('Data Input'!I304),"",'Data Input'!I304)</f>
        <v>6=28=18 0703</v>
      </c>
      <c r="K304" t="str">
        <f>IF(ISBLANK('Data Input'!J304),"",'Data Input'!J304)</f>
        <v>tt - Tylenol</v>
      </c>
      <c r="L304">
        <f>IF(ISBLANK('Data Input'!K304),"",'Data Input'!K304)</f>
        <v>650</v>
      </c>
      <c r="M304" t="str">
        <f>IF(ISBLANK('Data Input'!L304),"",'Data Input'!L304)</f>
        <v>dd - Missing Data</v>
      </c>
      <c r="N304" t="str">
        <f>IF(ISBLANK('Data Input'!M304),"",'Data Input'!M304)</f>
        <v>dd - Missing Data</v>
      </c>
      <c r="O304" t="str">
        <f>IF(ISBLANK('Data Input'!N304),"",'Data Input'!N304)</f>
        <v/>
      </c>
      <c r="P304" t="str">
        <f>IF(ISBLANK('Data Input'!O304),"",'Data Input'!O304)</f>
        <v/>
      </c>
      <c r="Q304" t="str">
        <f>IF(ISBLANK('Data Input'!P304),"",'Data Input'!P304)</f>
        <v/>
      </c>
      <c r="R304" t="b">
        <f>IF(ISBLANK('Data Input'!Q304),"",'Data Input'!Q304)</f>
        <v>1</v>
      </c>
      <c r="T304" s="2">
        <f t="shared" si="18"/>
        <v>43279</v>
      </c>
      <c r="U304" s="12">
        <f t="shared" si="19"/>
        <v>0.27430555555555552</v>
      </c>
      <c r="V304" s="2">
        <f t="shared" si="20"/>
        <v>43279</v>
      </c>
      <c r="W304" s="12">
        <f t="shared" si="21"/>
        <v>0.7909722222222223</v>
      </c>
    </row>
    <row r="305" spans="1:23">
      <c r="A305">
        <f>IF(ISBLANK('Data Input'!A305),"",'Data Input'!A305)</f>
        <v>83</v>
      </c>
      <c r="B305" t="str">
        <f>IF(ISBLANK('Data Input'!B305),"",'Data Input'!B305)</f>
        <v>MR083</v>
      </c>
      <c r="C305" t="str">
        <f>IF(ISBLANK('Data Input'!C305),"",'Data Input'!C305)</f>
        <v>6/28/18 0635</v>
      </c>
      <c r="E305" t="str">
        <f>IF(ISBLANK('Data Input'!D305),"",'Data Input'!D305)</f>
        <v>6/28/18 1859</v>
      </c>
      <c r="G305">
        <f>IF(ISBLANK('Data Input'!E305),"",'Data Input'!E305)</f>
        <v>31</v>
      </c>
      <c r="H305" t="str">
        <f>IF(ISBLANK('Data Input'!F305),"",'Data Input'!F305)</f>
        <v>Hispanic</v>
      </c>
      <c r="I305" t="str">
        <f>IF(ISBLANK('Data Input'!G305),"",'Data Input'!G305)</f>
        <v>SVD</v>
      </c>
      <c r="J305" t="str">
        <f>IF(ISBLANK('Data Input'!I305),"",'Data Input'!I305)</f>
        <v>6=28=18 1006</v>
      </c>
      <c r="K305" t="str">
        <f>IF(ISBLANK('Data Input'!J305),"",'Data Input'!J305)</f>
        <v>bb - Ibuprofen</v>
      </c>
      <c r="L305">
        <f>IF(ISBLANK('Data Input'!K305),"",'Data Input'!K305)</f>
        <v>800</v>
      </c>
      <c r="M305" t="str">
        <f>IF(ISBLANK('Data Input'!L305),"",'Data Input'!L305)</f>
        <v>dd - Missing Data</v>
      </c>
      <c r="N305" t="str">
        <f>IF(ISBLANK('Data Input'!M305),"",'Data Input'!M305)</f>
        <v>dd - Missing Data</v>
      </c>
      <c r="O305" t="str">
        <f>IF(ISBLANK('Data Input'!N305),"",'Data Input'!N305)</f>
        <v/>
      </c>
      <c r="P305" t="str">
        <f>IF(ISBLANK('Data Input'!O305),"",'Data Input'!O305)</f>
        <v/>
      </c>
      <c r="Q305" t="str">
        <f>IF(ISBLANK('Data Input'!P305),"",'Data Input'!P305)</f>
        <v/>
      </c>
      <c r="R305" t="b">
        <f>IF(ISBLANK('Data Input'!Q305),"",'Data Input'!Q305)</f>
        <v>1</v>
      </c>
      <c r="T305" s="2">
        <f t="shared" si="18"/>
        <v>43279</v>
      </c>
      <c r="U305" s="12">
        <f t="shared" si="19"/>
        <v>0.27430555555555552</v>
      </c>
      <c r="V305" s="2">
        <f t="shared" si="20"/>
        <v>43279</v>
      </c>
      <c r="W305" s="12">
        <f t="shared" si="21"/>
        <v>0.7909722222222223</v>
      </c>
    </row>
    <row r="306" spans="1:23">
      <c r="A306">
        <f>IF(ISBLANK('Data Input'!A306),"",'Data Input'!A306)</f>
        <v>83</v>
      </c>
      <c r="B306" t="str">
        <f>IF(ISBLANK('Data Input'!B306),"",'Data Input'!B306)</f>
        <v>MR083</v>
      </c>
      <c r="C306" t="str">
        <f>IF(ISBLANK('Data Input'!C306),"",'Data Input'!C306)</f>
        <v>6/28/18 0635</v>
      </c>
      <c r="E306" t="str">
        <f>IF(ISBLANK('Data Input'!D306),"",'Data Input'!D306)</f>
        <v>6/28/18 1859</v>
      </c>
      <c r="G306">
        <f>IF(ISBLANK('Data Input'!E306),"",'Data Input'!E306)</f>
        <v>31</v>
      </c>
      <c r="H306" t="str">
        <f>IF(ISBLANK('Data Input'!F306),"",'Data Input'!F306)</f>
        <v>Hispanic</v>
      </c>
      <c r="I306" t="str">
        <f>IF(ISBLANK('Data Input'!G306),"",'Data Input'!G306)</f>
        <v>SVD</v>
      </c>
      <c r="J306" t="str">
        <f>IF(ISBLANK('Data Input'!I306),"",'Data Input'!I306)</f>
        <v>6=28=18 1604</v>
      </c>
      <c r="K306" t="str">
        <f>IF(ISBLANK('Data Input'!J306),"",'Data Input'!J306)</f>
        <v>tt - Tylenol</v>
      </c>
      <c r="L306">
        <f>IF(ISBLANK('Data Input'!K306),"",'Data Input'!K306)</f>
        <v>650</v>
      </c>
      <c r="M306" t="str">
        <f>IF(ISBLANK('Data Input'!L306),"",'Data Input'!L306)</f>
        <v>dd - Missing Data</v>
      </c>
      <c r="N306" t="str">
        <f>IF(ISBLANK('Data Input'!M306),"",'Data Input'!M306)</f>
        <v>dd - Missing Data</v>
      </c>
      <c r="O306" t="str">
        <f>IF(ISBLANK('Data Input'!N306),"",'Data Input'!N306)</f>
        <v/>
      </c>
      <c r="P306" t="str">
        <f>IF(ISBLANK('Data Input'!O306),"",'Data Input'!O306)</f>
        <v/>
      </c>
      <c r="Q306" t="str">
        <f>IF(ISBLANK('Data Input'!P306),"",'Data Input'!P306)</f>
        <v/>
      </c>
      <c r="R306" t="b">
        <f>IF(ISBLANK('Data Input'!Q306),"",'Data Input'!Q306)</f>
        <v>1</v>
      </c>
      <c r="T306" s="2">
        <f t="shared" si="18"/>
        <v>43279</v>
      </c>
      <c r="U306" s="12">
        <f t="shared" si="19"/>
        <v>0.27430555555555552</v>
      </c>
      <c r="V306" s="2">
        <f t="shared" si="20"/>
        <v>43279</v>
      </c>
      <c r="W306" s="12">
        <f t="shared" si="21"/>
        <v>0.7909722222222223</v>
      </c>
    </row>
    <row r="307" spans="1:23">
      <c r="A307">
        <f>IF(ISBLANK('Data Input'!A307),"",'Data Input'!A307)</f>
        <v>83</v>
      </c>
      <c r="B307" t="str">
        <f>IF(ISBLANK('Data Input'!B307),"",'Data Input'!B307)</f>
        <v>MR083</v>
      </c>
      <c r="C307" t="str">
        <f>IF(ISBLANK('Data Input'!C307),"",'Data Input'!C307)</f>
        <v>6/28/18 0635</v>
      </c>
      <c r="E307" t="str">
        <f>IF(ISBLANK('Data Input'!D307),"",'Data Input'!D307)</f>
        <v>6/28/18 1859</v>
      </c>
      <c r="G307">
        <f>IF(ISBLANK('Data Input'!E307),"",'Data Input'!E307)</f>
        <v>31</v>
      </c>
      <c r="H307" t="str">
        <f>IF(ISBLANK('Data Input'!F307),"",'Data Input'!F307)</f>
        <v>Hispanic</v>
      </c>
      <c r="I307" t="str">
        <f>IF(ISBLANK('Data Input'!G307),"",'Data Input'!G307)</f>
        <v>SVD</v>
      </c>
      <c r="J307" t="str">
        <f>IF(ISBLANK('Data Input'!I307),"",'Data Input'!I307)</f>
        <v>6=28=18 1604</v>
      </c>
      <c r="K307" t="str">
        <f>IF(ISBLANK('Data Input'!J307),"",'Data Input'!J307)</f>
        <v>bb - Ibuprofen</v>
      </c>
      <c r="L307">
        <f>IF(ISBLANK('Data Input'!K307),"",'Data Input'!K307)</f>
        <v>800</v>
      </c>
      <c r="M307" t="str">
        <f>IF(ISBLANK('Data Input'!L307),"",'Data Input'!L307)</f>
        <v>dd - Missing Data</v>
      </c>
      <c r="N307" t="str">
        <f>IF(ISBLANK('Data Input'!M307),"",'Data Input'!M307)</f>
        <v>dd - Missing Data</v>
      </c>
      <c r="O307" t="str">
        <f>IF(ISBLANK('Data Input'!N307),"",'Data Input'!N307)</f>
        <v/>
      </c>
      <c r="P307" t="str">
        <f>IF(ISBLANK('Data Input'!O307),"",'Data Input'!O307)</f>
        <v/>
      </c>
      <c r="Q307" t="str">
        <f>IF(ISBLANK('Data Input'!P307),"",'Data Input'!P307)</f>
        <v/>
      </c>
      <c r="R307" t="b">
        <f>IF(ISBLANK('Data Input'!Q307),"",'Data Input'!Q307)</f>
        <v>1</v>
      </c>
      <c r="T307" s="2">
        <f t="shared" si="18"/>
        <v>43279</v>
      </c>
      <c r="U307" s="12">
        <f t="shared" si="19"/>
        <v>0.27430555555555552</v>
      </c>
      <c r="V307" s="2">
        <f t="shared" si="20"/>
        <v>43279</v>
      </c>
      <c r="W307" s="12">
        <f t="shared" si="21"/>
        <v>0.7909722222222223</v>
      </c>
    </row>
    <row r="308" spans="1:23">
      <c r="A308">
        <f>IF(ISBLANK('Data Input'!A308),"",'Data Input'!A308)</f>
        <v>83</v>
      </c>
      <c r="B308" t="str">
        <f>IF(ISBLANK('Data Input'!B308),"",'Data Input'!B308)</f>
        <v>MR083</v>
      </c>
      <c r="C308" t="str">
        <f>IF(ISBLANK('Data Input'!C308),"",'Data Input'!C308)</f>
        <v>6/28/18 0635</v>
      </c>
      <c r="E308" t="str">
        <f>IF(ISBLANK('Data Input'!D308),"",'Data Input'!D308)</f>
        <v>6/28/18 1859</v>
      </c>
      <c r="G308">
        <f>IF(ISBLANK('Data Input'!E308),"",'Data Input'!E308)</f>
        <v>31</v>
      </c>
      <c r="H308" t="str">
        <f>IF(ISBLANK('Data Input'!F308),"",'Data Input'!F308)</f>
        <v>Hispanic</v>
      </c>
      <c r="I308" t="str">
        <f>IF(ISBLANK('Data Input'!G308),"",'Data Input'!G308)</f>
        <v>SVD</v>
      </c>
      <c r="J308" t="str">
        <f>IF(ISBLANK('Data Input'!I308),"",'Data Input'!I308)</f>
        <v>6=28=18 1859</v>
      </c>
      <c r="K308" t="str">
        <f>IF(ISBLANK('Data Input'!J308),"",'Data Input'!J308)</f>
        <v>rr - Percocet</v>
      </c>
      <c r="L308">
        <f>IF(ISBLANK('Data Input'!K308),"",'Data Input'!K308)</f>
        <v>1</v>
      </c>
      <c r="M308">
        <f>IF(ISBLANK('Data Input'!L308),"",'Data Input'!L308)</f>
        <v>4</v>
      </c>
      <c r="N308">
        <f>IF(ISBLANK('Data Input'!M308),"",'Data Input'!M308)</f>
        <v>2</v>
      </c>
      <c r="O308" t="str">
        <f>IF(ISBLANK('Data Input'!N308),"",'Data Input'!N308)</f>
        <v/>
      </c>
      <c r="P308" t="str">
        <f>IF(ISBLANK('Data Input'!O308),"",'Data Input'!O308)</f>
        <v/>
      </c>
      <c r="Q308" t="str">
        <f>IF(ISBLANK('Data Input'!P308),"",'Data Input'!P308)</f>
        <v/>
      </c>
      <c r="R308" t="b">
        <f>IF(ISBLANK('Data Input'!Q308),"",'Data Input'!Q308)</f>
        <v>1</v>
      </c>
      <c r="T308" s="2">
        <f t="shared" si="18"/>
        <v>43279</v>
      </c>
      <c r="U308" s="12">
        <f t="shared" si="19"/>
        <v>0.27430555555555552</v>
      </c>
      <c r="V308" s="2">
        <f t="shared" si="20"/>
        <v>43279</v>
      </c>
      <c r="W308" s="12">
        <f t="shared" si="21"/>
        <v>0.7909722222222223</v>
      </c>
    </row>
    <row r="309" spans="1:23">
      <c r="A309">
        <f>IF(ISBLANK('Data Input'!A309),"",'Data Input'!A309)</f>
        <v>84</v>
      </c>
      <c r="B309" t="str">
        <f>IF(ISBLANK('Data Input'!B309),"",'Data Input'!B309)</f>
        <v>ND084</v>
      </c>
      <c r="C309" t="str">
        <f>IF(ISBLANK('Data Input'!C309),"",'Data Input'!C309)</f>
        <v>6/28/18 0100</v>
      </c>
      <c r="E309" t="str">
        <f>IF(ISBLANK('Data Input'!D309),"",'Data Input'!D309)</f>
        <v>dd - Missing Data</v>
      </c>
      <c r="G309">
        <f>IF(ISBLANK('Data Input'!E309),"",'Data Input'!E309)</f>
        <v>32</v>
      </c>
      <c r="H309" t="str">
        <f>IF(ISBLANK('Data Input'!F309),"",'Data Input'!F309)</f>
        <v>bb - Black</v>
      </c>
      <c r="I309" t="str">
        <f>IF(ISBLANK('Data Input'!G309),"",'Data Input'!G309)</f>
        <v>SVD</v>
      </c>
      <c r="J309" t="str">
        <f>IF(ISBLANK('Data Input'!I309),"",'Data Input'!I309)</f>
        <v>6=28=18 0113</v>
      </c>
      <c r="K309" t="str">
        <f>IF(ISBLANK('Data Input'!J309),"",'Data Input'!J309)</f>
        <v>bb - Ibuprofen</v>
      </c>
      <c r="L309">
        <f>IF(ISBLANK('Data Input'!K309),"",'Data Input'!K309)</f>
        <v>800</v>
      </c>
      <c r="M309">
        <f>IF(ISBLANK('Data Input'!L309),"",'Data Input'!L309)</f>
        <v>5</v>
      </c>
      <c r="N309">
        <f>IF(ISBLANK('Data Input'!M309),"",'Data Input'!M309)</f>
        <v>0</v>
      </c>
      <c r="O309" t="str">
        <f>IF(ISBLANK('Data Input'!N309),"",'Data Input'!N309)</f>
        <v/>
      </c>
      <c r="P309" t="str">
        <f>IF(ISBLANK('Data Input'!O309),"",'Data Input'!O309)</f>
        <v/>
      </c>
      <c r="Q309" t="str">
        <f>IF(ISBLANK('Data Input'!P309),"",'Data Input'!P309)</f>
        <v/>
      </c>
      <c r="R309" t="b">
        <f>IF(ISBLANK('Data Input'!Q309),"",'Data Input'!Q309)</f>
        <v>0</v>
      </c>
      <c r="T309" s="2">
        <f t="shared" si="18"/>
        <v>43279</v>
      </c>
      <c r="U309" s="12">
        <f t="shared" si="19"/>
        <v>4.1666666666666664E-2</v>
      </c>
      <c r="V309" s="2" t="str">
        <f t="shared" si="20"/>
        <v>dd - Missing Data</v>
      </c>
      <c r="W309" s="12" t="str">
        <f t="shared" si="21"/>
        <v>dd - Missing Data</v>
      </c>
    </row>
    <row r="310" spans="1:23">
      <c r="A310">
        <f>IF(ISBLANK('Data Input'!A310),"",'Data Input'!A310)</f>
        <v>84</v>
      </c>
      <c r="B310" t="str">
        <f>IF(ISBLANK('Data Input'!B310),"",'Data Input'!B310)</f>
        <v>ND084</v>
      </c>
      <c r="C310" t="str">
        <f>IF(ISBLANK('Data Input'!C310),"",'Data Input'!C310)</f>
        <v>6/28/18 0100</v>
      </c>
      <c r="E310" t="str">
        <f>IF(ISBLANK('Data Input'!D310),"",'Data Input'!D310)</f>
        <v>dd - Missing Data</v>
      </c>
      <c r="G310">
        <f>IF(ISBLANK('Data Input'!E310),"",'Data Input'!E310)</f>
        <v>32</v>
      </c>
      <c r="H310" t="str">
        <f>IF(ISBLANK('Data Input'!F310),"",'Data Input'!F310)</f>
        <v>bb - Black</v>
      </c>
      <c r="I310" t="str">
        <f>IF(ISBLANK('Data Input'!G310),"",'Data Input'!G310)</f>
        <v>SVD</v>
      </c>
      <c r="J310" t="str">
        <f>IF(ISBLANK('Data Input'!I310),"",'Data Input'!I310)</f>
        <v>6=28=18 0510</v>
      </c>
      <c r="K310" t="str">
        <f>IF(ISBLANK('Data Input'!J310),"",'Data Input'!J310)</f>
        <v>rr - Percocet</v>
      </c>
      <c r="L310">
        <f>IF(ISBLANK('Data Input'!K310),"",'Data Input'!K310)</f>
        <v>1</v>
      </c>
      <c r="M310">
        <f>IF(ISBLANK('Data Input'!L310),"",'Data Input'!L310)</f>
        <v>8</v>
      </c>
      <c r="N310">
        <f>IF(ISBLANK('Data Input'!M310),"",'Data Input'!M310)</f>
        <v>0</v>
      </c>
      <c r="O310" t="str">
        <f>IF(ISBLANK('Data Input'!N310),"",'Data Input'!N310)</f>
        <v/>
      </c>
      <c r="P310" t="str">
        <f>IF(ISBLANK('Data Input'!O310),"",'Data Input'!O310)</f>
        <v/>
      </c>
      <c r="Q310" t="str">
        <f>IF(ISBLANK('Data Input'!P310),"",'Data Input'!P310)</f>
        <v/>
      </c>
      <c r="R310" t="b">
        <f>IF(ISBLANK('Data Input'!Q310),"",'Data Input'!Q310)</f>
        <v>0</v>
      </c>
      <c r="T310" s="2">
        <f t="shared" si="18"/>
        <v>43279</v>
      </c>
      <c r="U310" s="12">
        <f t="shared" si="19"/>
        <v>4.1666666666666664E-2</v>
      </c>
      <c r="V310" s="2" t="str">
        <f t="shared" si="20"/>
        <v>dd - Missing Data</v>
      </c>
      <c r="W310" s="12" t="str">
        <f t="shared" si="21"/>
        <v>dd - Missing Data</v>
      </c>
    </row>
    <row r="311" spans="1:23">
      <c r="A311">
        <f>IF(ISBLANK('Data Input'!A311),"",'Data Input'!A311)</f>
        <v>84</v>
      </c>
      <c r="B311" t="str">
        <f>IF(ISBLANK('Data Input'!B311),"",'Data Input'!B311)</f>
        <v>ND084</v>
      </c>
      <c r="C311" t="str">
        <f>IF(ISBLANK('Data Input'!C311),"",'Data Input'!C311)</f>
        <v>6/28/18 0100</v>
      </c>
      <c r="E311" t="str">
        <f>IF(ISBLANK('Data Input'!D311),"",'Data Input'!D311)</f>
        <v>dd - Missing Data</v>
      </c>
      <c r="G311">
        <f>IF(ISBLANK('Data Input'!E311),"",'Data Input'!E311)</f>
        <v>32</v>
      </c>
      <c r="H311" t="str">
        <f>IF(ISBLANK('Data Input'!F311),"",'Data Input'!F311)</f>
        <v>bb - Black</v>
      </c>
      <c r="I311" t="str">
        <f>IF(ISBLANK('Data Input'!G311),"",'Data Input'!G311)</f>
        <v>SVD</v>
      </c>
      <c r="J311" t="str">
        <f>IF(ISBLANK('Data Input'!I311),"",'Data Input'!I311)</f>
        <v>6=28=18 0717</v>
      </c>
      <c r="K311" t="str">
        <f>IF(ISBLANK('Data Input'!J311),"",'Data Input'!J311)</f>
        <v>bb - Ibuprofen</v>
      </c>
      <c r="L311">
        <f>IF(ISBLANK('Data Input'!K311),"",'Data Input'!K311)</f>
        <v>800</v>
      </c>
      <c r="M311">
        <f>IF(ISBLANK('Data Input'!L311),"",'Data Input'!L311)</f>
        <v>4</v>
      </c>
      <c r="N311">
        <f>IF(ISBLANK('Data Input'!M311),"",'Data Input'!M311)</f>
        <v>3</v>
      </c>
      <c r="O311" t="str">
        <f>IF(ISBLANK('Data Input'!N311),"",'Data Input'!N311)</f>
        <v/>
      </c>
      <c r="P311" t="str">
        <f>IF(ISBLANK('Data Input'!O311),"",'Data Input'!O311)</f>
        <v/>
      </c>
      <c r="Q311" t="str">
        <f>IF(ISBLANK('Data Input'!P311),"",'Data Input'!P311)</f>
        <v/>
      </c>
      <c r="R311" t="b">
        <f>IF(ISBLANK('Data Input'!Q311),"",'Data Input'!Q311)</f>
        <v>0</v>
      </c>
      <c r="T311" s="2">
        <f t="shared" si="18"/>
        <v>43279</v>
      </c>
      <c r="U311" s="12">
        <f t="shared" si="19"/>
        <v>4.1666666666666664E-2</v>
      </c>
      <c r="V311" s="2" t="str">
        <f t="shared" si="20"/>
        <v>dd - Missing Data</v>
      </c>
      <c r="W311" s="12" t="str">
        <f t="shared" si="21"/>
        <v>dd - Missing Data</v>
      </c>
    </row>
    <row r="312" spans="1:23">
      <c r="A312">
        <f>IF(ISBLANK('Data Input'!A312),"",'Data Input'!A312)</f>
        <v>84</v>
      </c>
      <c r="B312" t="str">
        <f>IF(ISBLANK('Data Input'!B312),"",'Data Input'!B312)</f>
        <v>ND084</v>
      </c>
      <c r="C312" t="str">
        <f>IF(ISBLANK('Data Input'!C312),"",'Data Input'!C312)</f>
        <v>6/28/18 0100</v>
      </c>
      <c r="E312" t="str">
        <f>IF(ISBLANK('Data Input'!D312),"",'Data Input'!D312)</f>
        <v>dd - Missing Data</v>
      </c>
      <c r="G312">
        <f>IF(ISBLANK('Data Input'!E312),"",'Data Input'!E312)</f>
        <v>32</v>
      </c>
      <c r="H312" t="str">
        <f>IF(ISBLANK('Data Input'!F312),"",'Data Input'!F312)</f>
        <v>bb - Black</v>
      </c>
      <c r="I312" t="str">
        <f>IF(ISBLANK('Data Input'!G312),"",'Data Input'!G312)</f>
        <v>SVD</v>
      </c>
      <c r="J312" t="str">
        <f>IF(ISBLANK('Data Input'!I312),"",'Data Input'!I312)</f>
        <v>6=28=18 0906</v>
      </c>
      <c r="K312" t="str">
        <f>IF(ISBLANK('Data Input'!J312),"",'Data Input'!J312)</f>
        <v>rr - Percocet</v>
      </c>
      <c r="L312">
        <f>IF(ISBLANK('Data Input'!K312),"",'Data Input'!K312)</f>
        <v>2</v>
      </c>
      <c r="M312">
        <f>IF(ISBLANK('Data Input'!L312),"",'Data Input'!L312)</f>
        <v>5</v>
      </c>
      <c r="N312">
        <f>IF(ISBLANK('Data Input'!M312),"",'Data Input'!M312)</f>
        <v>2</v>
      </c>
      <c r="O312" t="str">
        <f>IF(ISBLANK('Data Input'!N312),"",'Data Input'!N312)</f>
        <v/>
      </c>
      <c r="P312" t="str">
        <f>IF(ISBLANK('Data Input'!O312),"",'Data Input'!O312)</f>
        <v/>
      </c>
      <c r="Q312" t="str">
        <f>IF(ISBLANK('Data Input'!P312),"",'Data Input'!P312)</f>
        <v/>
      </c>
      <c r="R312" t="b">
        <f>IF(ISBLANK('Data Input'!Q312),"",'Data Input'!Q312)</f>
        <v>0</v>
      </c>
      <c r="T312" s="2">
        <f t="shared" si="18"/>
        <v>43279</v>
      </c>
      <c r="U312" s="12">
        <f t="shared" si="19"/>
        <v>4.1666666666666664E-2</v>
      </c>
      <c r="V312" s="2" t="str">
        <f t="shared" si="20"/>
        <v>dd - Missing Data</v>
      </c>
      <c r="W312" s="12" t="str">
        <f t="shared" si="21"/>
        <v>dd - Missing Data</v>
      </c>
    </row>
    <row r="313" spans="1:23">
      <c r="A313">
        <f>IF(ISBLANK('Data Input'!A313),"",'Data Input'!A313)</f>
        <v>84</v>
      </c>
      <c r="B313" t="str">
        <f>IF(ISBLANK('Data Input'!B313),"",'Data Input'!B313)</f>
        <v>ND084</v>
      </c>
      <c r="C313" t="str">
        <f>IF(ISBLANK('Data Input'!C313),"",'Data Input'!C313)</f>
        <v>6/28/18 0100</v>
      </c>
      <c r="E313" t="str">
        <f>IF(ISBLANK('Data Input'!D313),"",'Data Input'!D313)</f>
        <v>dd - Missing Data</v>
      </c>
      <c r="G313">
        <f>IF(ISBLANK('Data Input'!E313),"",'Data Input'!E313)</f>
        <v>32</v>
      </c>
      <c r="H313" t="str">
        <f>IF(ISBLANK('Data Input'!F313),"",'Data Input'!F313)</f>
        <v>bb - Black</v>
      </c>
      <c r="I313" t="str">
        <f>IF(ISBLANK('Data Input'!G313),"",'Data Input'!G313)</f>
        <v>SVD</v>
      </c>
      <c r="J313" t="str">
        <f>IF(ISBLANK('Data Input'!I313),"",'Data Input'!I313)</f>
        <v>6=28=18 1641</v>
      </c>
      <c r="K313" t="str">
        <f>IF(ISBLANK('Data Input'!J313),"",'Data Input'!J313)</f>
        <v>bb - Ibuprofen</v>
      </c>
      <c r="L313">
        <f>IF(ISBLANK('Data Input'!K313),"",'Data Input'!K313)</f>
        <v>800</v>
      </c>
      <c r="M313">
        <f>IF(ISBLANK('Data Input'!L313),"",'Data Input'!L313)</f>
        <v>8</v>
      </c>
      <c r="N313">
        <f>IF(ISBLANK('Data Input'!M313),"",'Data Input'!M313)</f>
        <v>4</v>
      </c>
      <c r="O313" t="str">
        <f>IF(ISBLANK('Data Input'!N313),"",'Data Input'!N313)</f>
        <v/>
      </c>
      <c r="P313" t="str">
        <f>IF(ISBLANK('Data Input'!O313),"",'Data Input'!O313)</f>
        <v/>
      </c>
      <c r="Q313" t="str">
        <f>IF(ISBLANK('Data Input'!P313),"",'Data Input'!P313)</f>
        <v/>
      </c>
      <c r="R313" t="b">
        <f>IF(ISBLANK('Data Input'!Q313),"",'Data Input'!Q313)</f>
        <v>0</v>
      </c>
      <c r="T313" s="2">
        <f t="shared" si="18"/>
        <v>43279</v>
      </c>
      <c r="U313" s="12">
        <f t="shared" si="19"/>
        <v>4.1666666666666664E-2</v>
      </c>
      <c r="V313" s="2" t="str">
        <f t="shared" si="20"/>
        <v>dd - Missing Data</v>
      </c>
      <c r="W313" s="12" t="str">
        <f t="shared" si="21"/>
        <v>dd - Missing Data</v>
      </c>
    </row>
    <row r="314" spans="1:23">
      <c r="A314">
        <f>IF(ISBLANK('Data Input'!A314),"",'Data Input'!A314)</f>
        <v>84</v>
      </c>
      <c r="B314" t="str">
        <f>IF(ISBLANK('Data Input'!B314),"",'Data Input'!B314)</f>
        <v>ND084</v>
      </c>
      <c r="C314" t="str">
        <f>IF(ISBLANK('Data Input'!C314),"",'Data Input'!C314)</f>
        <v>6/28/18 0100</v>
      </c>
      <c r="E314" t="str">
        <f>IF(ISBLANK('Data Input'!D314),"",'Data Input'!D314)</f>
        <v>dd - Missing Data</v>
      </c>
      <c r="G314">
        <f>IF(ISBLANK('Data Input'!E314),"",'Data Input'!E314)</f>
        <v>32</v>
      </c>
      <c r="H314" t="str">
        <f>IF(ISBLANK('Data Input'!F314),"",'Data Input'!F314)</f>
        <v>bb - Black</v>
      </c>
      <c r="I314" t="str">
        <f>IF(ISBLANK('Data Input'!G314),"",'Data Input'!G314)</f>
        <v>SVD</v>
      </c>
      <c r="J314" t="str">
        <f>IF(ISBLANK('Data Input'!I314),"",'Data Input'!I314)</f>
        <v>6=28=18 1641</v>
      </c>
      <c r="K314" t="str">
        <f>IF(ISBLANK('Data Input'!J314),"",'Data Input'!J314)</f>
        <v>rr - Percocet</v>
      </c>
      <c r="L314">
        <f>IF(ISBLANK('Data Input'!K314),"",'Data Input'!K314)</f>
        <v>1</v>
      </c>
      <c r="M314">
        <f>IF(ISBLANK('Data Input'!L314),"",'Data Input'!L314)</f>
        <v>8</v>
      </c>
      <c r="N314">
        <f>IF(ISBLANK('Data Input'!M314),"",'Data Input'!M314)</f>
        <v>4</v>
      </c>
      <c r="O314" t="str">
        <f>IF(ISBLANK('Data Input'!N314),"",'Data Input'!N314)</f>
        <v/>
      </c>
      <c r="P314" t="str">
        <f>IF(ISBLANK('Data Input'!O314),"",'Data Input'!O314)</f>
        <v/>
      </c>
      <c r="Q314" t="str">
        <f>IF(ISBLANK('Data Input'!P314),"",'Data Input'!P314)</f>
        <v/>
      </c>
      <c r="R314" t="b">
        <f>IF(ISBLANK('Data Input'!Q314),"",'Data Input'!Q314)</f>
        <v>0</v>
      </c>
      <c r="T314" s="2">
        <f t="shared" si="18"/>
        <v>43279</v>
      </c>
      <c r="U314" s="12">
        <f t="shared" si="19"/>
        <v>4.1666666666666664E-2</v>
      </c>
      <c r="V314" s="2" t="str">
        <f t="shared" si="20"/>
        <v>dd - Missing Data</v>
      </c>
      <c r="W314" s="12" t="str">
        <f t="shared" si="21"/>
        <v>dd - Missing Data</v>
      </c>
    </row>
    <row r="315" spans="1:23">
      <c r="A315">
        <f>IF(ISBLANK('Data Input'!A315),"",'Data Input'!A315)</f>
        <v>85</v>
      </c>
      <c r="B315" t="str">
        <f>IF(ISBLANK('Data Input'!B315),"",'Data Input'!B315)</f>
        <v>HG085</v>
      </c>
      <c r="C315" t="str">
        <f>IF(ISBLANK('Data Input'!C315),"",'Data Input'!C315)</f>
        <v>6/27/18 1650</v>
      </c>
      <c r="E315" t="str">
        <f>IF(ISBLANK('Data Input'!D315),"",'Data Input'!D315)</f>
        <v>6/28/18 1559</v>
      </c>
      <c r="G315">
        <f>IF(ISBLANK('Data Input'!E315),"",'Data Input'!E315)</f>
        <v>27</v>
      </c>
      <c r="H315" t="str">
        <f>IF(ISBLANK('Data Input'!F315),"",'Data Input'!F315)</f>
        <v>White</v>
      </c>
      <c r="I315" t="str">
        <f>IF(ISBLANK('Data Input'!G315),"",'Data Input'!G315)</f>
        <v>SVD</v>
      </c>
      <c r="J315" t="str">
        <f>IF(ISBLANK('Data Input'!I315),"",'Data Input'!I315)</f>
        <v>6=27=18 1842</v>
      </c>
      <c r="K315" t="str">
        <f>IF(ISBLANK('Data Input'!J315),"",'Data Input'!J315)</f>
        <v>bb - Ibuprofen</v>
      </c>
      <c r="L315">
        <f>IF(ISBLANK('Data Input'!K315),"",'Data Input'!K315)</f>
        <v>800</v>
      </c>
      <c r="M315">
        <f>IF(ISBLANK('Data Input'!L315),"",'Data Input'!L315)</f>
        <v>7</v>
      </c>
      <c r="N315">
        <f>IF(ISBLANK('Data Input'!M315),"",'Data Input'!M315)</f>
        <v>4</v>
      </c>
      <c r="O315" t="str">
        <f>IF(ISBLANK('Data Input'!N315),"",'Data Input'!N315)</f>
        <v/>
      </c>
      <c r="P315" t="str">
        <f>IF(ISBLANK('Data Input'!O315),"",'Data Input'!O315)</f>
        <v/>
      </c>
      <c r="Q315" t="str">
        <f>IF(ISBLANK('Data Input'!P315),"",'Data Input'!P315)</f>
        <v/>
      </c>
      <c r="R315" t="b">
        <f>IF(ISBLANK('Data Input'!Q315),"",'Data Input'!Q315)</f>
        <v>1</v>
      </c>
      <c r="T315" s="2">
        <f t="shared" si="18"/>
        <v>43278</v>
      </c>
      <c r="U315" s="12">
        <f t="shared" si="19"/>
        <v>0.70138888888888884</v>
      </c>
      <c r="V315" s="2">
        <f t="shared" si="20"/>
        <v>43279</v>
      </c>
      <c r="W315" s="12">
        <f t="shared" si="21"/>
        <v>0.66597222222222219</v>
      </c>
    </row>
    <row r="316" spans="1:23">
      <c r="A316">
        <f>IF(ISBLANK('Data Input'!A316),"",'Data Input'!A316)</f>
        <v>85</v>
      </c>
      <c r="B316" t="str">
        <f>IF(ISBLANK('Data Input'!B316),"",'Data Input'!B316)</f>
        <v>HG085</v>
      </c>
      <c r="C316" t="str">
        <f>IF(ISBLANK('Data Input'!C316),"",'Data Input'!C316)</f>
        <v>6/27/18 1650</v>
      </c>
      <c r="E316" t="str">
        <f>IF(ISBLANK('Data Input'!D316),"",'Data Input'!D316)</f>
        <v>6/28/18 1559</v>
      </c>
      <c r="G316">
        <f>IF(ISBLANK('Data Input'!E316),"",'Data Input'!E316)</f>
        <v>27</v>
      </c>
      <c r="H316" t="str">
        <f>IF(ISBLANK('Data Input'!F316),"",'Data Input'!F316)</f>
        <v>White</v>
      </c>
      <c r="I316" t="str">
        <f>IF(ISBLANK('Data Input'!G316),"",'Data Input'!G316)</f>
        <v>SVD</v>
      </c>
      <c r="J316" t="str">
        <f>IF(ISBLANK('Data Input'!I316),"",'Data Input'!I316)</f>
        <v>6=27=18 1842</v>
      </c>
      <c r="K316" t="str">
        <f>IF(ISBLANK('Data Input'!J316),"",'Data Input'!J316)</f>
        <v>rr - Percocet</v>
      </c>
      <c r="L316">
        <f>IF(ISBLANK('Data Input'!K316),"",'Data Input'!K316)</f>
        <v>1</v>
      </c>
      <c r="M316">
        <f>IF(ISBLANK('Data Input'!L316),"",'Data Input'!L316)</f>
        <v>7</v>
      </c>
      <c r="N316">
        <f>IF(ISBLANK('Data Input'!M316),"",'Data Input'!M316)</f>
        <v>4</v>
      </c>
      <c r="O316" t="str">
        <f>IF(ISBLANK('Data Input'!N316),"",'Data Input'!N316)</f>
        <v/>
      </c>
      <c r="P316" t="str">
        <f>IF(ISBLANK('Data Input'!O316),"",'Data Input'!O316)</f>
        <v/>
      </c>
      <c r="Q316" t="str">
        <f>IF(ISBLANK('Data Input'!P316),"",'Data Input'!P316)</f>
        <v/>
      </c>
      <c r="R316" t="b">
        <f>IF(ISBLANK('Data Input'!Q316),"",'Data Input'!Q316)</f>
        <v>1</v>
      </c>
      <c r="T316" s="2">
        <f t="shared" si="18"/>
        <v>43278</v>
      </c>
      <c r="U316" s="12">
        <f t="shared" si="19"/>
        <v>0.70138888888888884</v>
      </c>
      <c r="V316" s="2">
        <f t="shared" si="20"/>
        <v>43279</v>
      </c>
      <c r="W316" s="12">
        <f t="shared" si="21"/>
        <v>0.66597222222222219</v>
      </c>
    </row>
    <row r="317" spans="1:23">
      <c r="A317">
        <f>IF(ISBLANK('Data Input'!A317),"",'Data Input'!A317)</f>
        <v>85</v>
      </c>
      <c r="B317" t="str">
        <f>IF(ISBLANK('Data Input'!B317),"",'Data Input'!B317)</f>
        <v>HG085</v>
      </c>
      <c r="C317" t="str">
        <f>IF(ISBLANK('Data Input'!C317),"",'Data Input'!C317)</f>
        <v>6/27/18 1650</v>
      </c>
      <c r="E317" t="str">
        <f>IF(ISBLANK('Data Input'!D317),"",'Data Input'!D317)</f>
        <v>6/28/18 1559</v>
      </c>
      <c r="G317">
        <f>IF(ISBLANK('Data Input'!E317),"",'Data Input'!E317)</f>
        <v>27</v>
      </c>
      <c r="H317" t="str">
        <f>IF(ISBLANK('Data Input'!F317),"",'Data Input'!F317)</f>
        <v>White</v>
      </c>
      <c r="I317" t="str">
        <f>IF(ISBLANK('Data Input'!G317),"",'Data Input'!G317)</f>
        <v>SVD</v>
      </c>
      <c r="J317" t="str">
        <f>IF(ISBLANK('Data Input'!I317),"",'Data Input'!I317)</f>
        <v>6=28=18 0055</v>
      </c>
      <c r="K317" t="str">
        <f>IF(ISBLANK('Data Input'!J317),"",'Data Input'!J317)</f>
        <v>bb - Ibuprofen</v>
      </c>
      <c r="L317">
        <f>IF(ISBLANK('Data Input'!K317),"",'Data Input'!K317)</f>
        <v>800</v>
      </c>
      <c r="M317">
        <f>IF(ISBLANK('Data Input'!L317),"",'Data Input'!L317)</f>
        <v>5</v>
      </c>
      <c r="N317">
        <f>IF(ISBLANK('Data Input'!M317),"",'Data Input'!M317)</f>
        <v>3</v>
      </c>
      <c r="O317" t="str">
        <f>IF(ISBLANK('Data Input'!N317),"",'Data Input'!N317)</f>
        <v/>
      </c>
      <c r="P317" t="str">
        <f>IF(ISBLANK('Data Input'!O317),"",'Data Input'!O317)</f>
        <v/>
      </c>
      <c r="Q317" t="str">
        <f>IF(ISBLANK('Data Input'!P317),"",'Data Input'!P317)</f>
        <v/>
      </c>
      <c r="R317" t="b">
        <f>IF(ISBLANK('Data Input'!Q317),"",'Data Input'!Q317)</f>
        <v>1</v>
      </c>
      <c r="T317" s="2">
        <f t="shared" si="18"/>
        <v>43278</v>
      </c>
      <c r="U317" s="12">
        <f t="shared" si="19"/>
        <v>0.70138888888888884</v>
      </c>
      <c r="V317" s="2">
        <f t="shared" si="20"/>
        <v>43279</v>
      </c>
      <c r="W317" s="12">
        <f t="shared" si="21"/>
        <v>0.66597222222222219</v>
      </c>
    </row>
    <row r="318" spans="1:23">
      <c r="A318">
        <f>IF(ISBLANK('Data Input'!A318),"",'Data Input'!A318)</f>
        <v>85</v>
      </c>
      <c r="B318" t="str">
        <f>IF(ISBLANK('Data Input'!B318),"",'Data Input'!B318)</f>
        <v>HG085</v>
      </c>
      <c r="C318" t="str">
        <f>IF(ISBLANK('Data Input'!C318),"",'Data Input'!C318)</f>
        <v>6/27/18 1650</v>
      </c>
      <c r="E318" t="str">
        <f>IF(ISBLANK('Data Input'!D318),"",'Data Input'!D318)</f>
        <v>6/28/18 1559</v>
      </c>
      <c r="G318">
        <f>IF(ISBLANK('Data Input'!E318),"",'Data Input'!E318)</f>
        <v>27</v>
      </c>
      <c r="H318" t="str">
        <f>IF(ISBLANK('Data Input'!F318),"",'Data Input'!F318)</f>
        <v>White</v>
      </c>
      <c r="I318" t="str">
        <f>IF(ISBLANK('Data Input'!G318),"",'Data Input'!G318)</f>
        <v>SVD</v>
      </c>
      <c r="J318" t="str">
        <f>IF(ISBLANK('Data Input'!I318),"",'Data Input'!I318)</f>
        <v>6=28=16 0420</v>
      </c>
      <c r="K318" t="str">
        <f>IF(ISBLANK('Data Input'!J318),"",'Data Input'!J318)</f>
        <v>rr - Percocet</v>
      </c>
      <c r="L318">
        <f>IF(ISBLANK('Data Input'!K318),"",'Data Input'!K318)</f>
        <v>1</v>
      </c>
      <c r="M318">
        <f>IF(ISBLANK('Data Input'!L318),"",'Data Input'!L318)</f>
        <v>7</v>
      </c>
      <c r="N318">
        <f>IF(ISBLANK('Data Input'!M318),"",'Data Input'!M318)</f>
        <v>2</v>
      </c>
      <c r="O318" t="str">
        <f>IF(ISBLANK('Data Input'!N318),"",'Data Input'!N318)</f>
        <v/>
      </c>
      <c r="P318" t="str">
        <f>IF(ISBLANK('Data Input'!O318),"",'Data Input'!O318)</f>
        <v/>
      </c>
      <c r="Q318" t="str">
        <f>IF(ISBLANK('Data Input'!P318),"",'Data Input'!P318)</f>
        <v/>
      </c>
      <c r="R318" t="b">
        <f>IF(ISBLANK('Data Input'!Q318),"",'Data Input'!Q318)</f>
        <v>1</v>
      </c>
      <c r="T318" s="2">
        <f t="shared" si="18"/>
        <v>43278</v>
      </c>
      <c r="U318" s="12">
        <f t="shared" si="19"/>
        <v>0.70138888888888884</v>
      </c>
      <c r="V318" s="2">
        <f t="shared" si="20"/>
        <v>43279</v>
      </c>
      <c r="W318" s="12">
        <f t="shared" si="21"/>
        <v>0.66597222222222219</v>
      </c>
    </row>
    <row r="319" spans="1:23">
      <c r="A319">
        <f>IF(ISBLANK('Data Input'!A319),"",'Data Input'!A319)</f>
        <v>85</v>
      </c>
      <c r="B319" t="str">
        <f>IF(ISBLANK('Data Input'!B319),"",'Data Input'!B319)</f>
        <v>HG085</v>
      </c>
      <c r="C319" t="str">
        <f>IF(ISBLANK('Data Input'!C319),"",'Data Input'!C319)</f>
        <v>6/27/18 1650</v>
      </c>
      <c r="E319" t="str">
        <f>IF(ISBLANK('Data Input'!D319),"",'Data Input'!D319)</f>
        <v>6/28/18 1559</v>
      </c>
      <c r="G319">
        <f>IF(ISBLANK('Data Input'!E319),"",'Data Input'!E319)</f>
        <v>27</v>
      </c>
      <c r="H319" t="str">
        <f>IF(ISBLANK('Data Input'!F319),"",'Data Input'!F319)</f>
        <v>White</v>
      </c>
      <c r="I319" t="str">
        <f>IF(ISBLANK('Data Input'!G319),"",'Data Input'!G319)</f>
        <v>SVD</v>
      </c>
      <c r="J319" t="str">
        <f>IF(ISBLANK('Data Input'!I319),"",'Data Input'!I319)</f>
        <v>6=28=18 1559</v>
      </c>
      <c r="K319" t="str">
        <f>IF(ISBLANK('Data Input'!J319),"",'Data Input'!J319)</f>
        <v>bb - Ibuprofen</v>
      </c>
      <c r="L319">
        <f>IF(ISBLANK('Data Input'!K319),"",'Data Input'!K319)</f>
        <v>800</v>
      </c>
      <c r="M319">
        <f>IF(ISBLANK('Data Input'!L319),"",'Data Input'!L319)</f>
        <v>7</v>
      </c>
      <c r="N319">
        <f>IF(ISBLANK('Data Input'!M319),"",'Data Input'!M319)</f>
        <v>3</v>
      </c>
      <c r="O319" t="str">
        <f>IF(ISBLANK('Data Input'!N319),"",'Data Input'!N319)</f>
        <v/>
      </c>
      <c r="P319" t="str">
        <f>IF(ISBLANK('Data Input'!O319),"",'Data Input'!O319)</f>
        <v/>
      </c>
      <c r="Q319" t="str">
        <f>IF(ISBLANK('Data Input'!P319),"",'Data Input'!P319)</f>
        <v/>
      </c>
      <c r="R319" t="b">
        <f>IF(ISBLANK('Data Input'!Q319),"",'Data Input'!Q319)</f>
        <v>1</v>
      </c>
      <c r="T319" s="2">
        <f t="shared" si="18"/>
        <v>43278</v>
      </c>
      <c r="U319" s="12">
        <f t="shared" si="19"/>
        <v>0.70138888888888884</v>
      </c>
      <c r="V319" s="2">
        <f t="shared" si="20"/>
        <v>43279</v>
      </c>
      <c r="W319" s="12">
        <f t="shared" si="21"/>
        <v>0.66597222222222219</v>
      </c>
    </row>
    <row r="320" spans="1:23">
      <c r="A320">
        <f>IF(ISBLANK('Data Input'!A320),"",'Data Input'!A320)</f>
        <v>85</v>
      </c>
      <c r="B320" t="str">
        <f>IF(ISBLANK('Data Input'!B320),"",'Data Input'!B320)</f>
        <v>HG085</v>
      </c>
      <c r="C320" t="str">
        <f>IF(ISBLANK('Data Input'!C320),"",'Data Input'!C320)</f>
        <v>6/27/18 1650</v>
      </c>
      <c r="E320" t="str">
        <f>IF(ISBLANK('Data Input'!D320),"",'Data Input'!D320)</f>
        <v>6/28/18 1559</v>
      </c>
      <c r="G320">
        <f>IF(ISBLANK('Data Input'!E320),"",'Data Input'!E320)</f>
        <v>27</v>
      </c>
      <c r="H320" t="str">
        <f>IF(ISBLANK('Data Input'!F320),"",'Data Input'!F320)</f>
        <v>White</v>
      </c>
      <c r="I320" t="str">
        <f>IF(ISBLANK('Data Input'!G320),"",'Data Input'!G320)</f>
        <v>SVD</v>
      </c>
      <c r="J320" t="str">
        <f>IF(ISBLANK('Data Input'!I320),"",'Data Input'!I320)</f>
        <v>6=28=18 1559</v>
      </c>
      <c r="K320" t="str">
        <f>IF(ISBLANK('Data Input'!J320),"",'Data Input'!J320)</f>
        <v>rr - Percocet</v>
      </c>
      <c r="L320">
        <f>IF(ISBLANK('Data Input'!K320),"",'Data Input'!K320)</f>
        <v>1</v>
      </c>
      <c r="M320">
        <f>IF(ISBLANK('Data Input'!L320),"",'Data Input'!L320)</f>
        <v>7</v>
      </c>
      <c r="N320">
        <f>IF(ISBLANK('Data Input'!M320),"",'Data Input'!M320)</f>
        <v>3</v>
      </c>
      <c r="O320" t="str">
        <f>IF(ISBLANK('Data Input'!N320),"",'Data Input'!N320)</f>
        <v/>
      </c>
      <c r="P320" t="str">
        <f>IF(ISBLANK('Data Input'!O320),"",'Data Input'!O320)</f>
        <v/>
      </c>
      <c r="Q320" t="str">
        <f>IF(ISBLANK('Data Input'!P320),"",'Data Input'!P320)</f>
        <v/>
      </c>
      <c r="R320" t="b">
        <f>IF(ISBLANK('Data Input'!Q320),"",'Data Input'!Q320)</f>
        <v>1</v>
      </c>
      <c r="T320" s="2">
        <f t="shared" si="18"/>
        <v>43278</v>
      </c>
      <c r="U320" s="12">
        <f t="shared" si="19"/>
        <v>0.70138888888888884</v>
      </c>
      <c r="V320" s="2">
        <f t="shared" si="20"/>
        <v>43279</v>
      </c>
      <c r="W320" s="12">
        <f t="shared" si="21"/>
        <v>0.66597222222222219</v>
      </c>
    </row>
    <row r="321" spans="1:23">
      <c r="A321">
        <f>IF(ISBLANK('Data Input'!A321),"",'Data Input'!A321)</f>
        <v>86</v>
      </c>
      <c r="B321" t="str">
        <f>IF(ISBLANK('Data Input'!B321),"",'Data Input'!B321)</f>
        <v>BG086</v>
      </c>
      <c r="C321" t="str">
        <f>IF(ISBLANK('Data Input'!C321),"",'Data Input'!C321)</f>
        <v>6/28/18 1920</v>
      </c>
      <c r="E321" t="str">
        <f>IF(ISBLANK('Data Input'!D321),"",'Data Input'!D321)</f>
        <v>6/29/18 1756</v>
      </c>
      <c r="G321">
        <f>IF(ISBLANK('Data Input'!E321),"",'Data Input'!E321)</f>
        <v>29</v>
      </c>
      <c r="H321" t="str">
        <f>IF(ISBLANK('Data Input'!F321),"",'Data Input'!F321)</f>
        <v>White</v>
      </c>
      <c r="I321" t="str">
        <f>IF(ISBLANK('Data Input'!G321),"",'Data Input'!G321)</f>
        <v>SVD</v>
      </c>
      <c r="J321" t="str">
        <f>IF(ISBLANK('Data Input'!I321),"",'Data Input'!I321)</f>
        <v>6=28=18 2124</v>
      </c>
      <c r="K321" t="str">
        <f>IF(ISBLANK('Data Input'!J321),"",'Data Input'!J321)</f>
        <v>bb - Ibuprofen</v>
      </c>
      <c r="L321">
        <f>IF(ISBLANK('Data Input'!K321),"",'Data Input'!K321)</f>
        <v>800</v>
      </c>
      <c r="M321">
        <f>IF(ISBLANK('Data Input'!L321),"",'Data Input'!L321)</f>
        <v>4</v>
      </c>
      <c r="N321">
        <f>IF(ISBLANK('Data Input'!M321),"",'Data Input'!M321)</f>
        <v>0</v>
      </c>
      <c r="O321" t="str">
        <f>IF(ISBLANK('Data Input'!N321),"",'Data Input'!N321)</f>
        <v/>
      </c>
      <c r="P321" t="str">
        <f>IF(ISBLANK('Data Input'!O321),"",'Data Input'!O321)</f>
        <v/>
      </c>
      <c r="Q321" t="str">
        <f>IF(ISBLANK('Data Input'!P321),"",'Data Input'!P321)</f>
        <v/>
      </c>
      <c r="R321" t="b">
        <f>IF(ISBLANK('Data Input'!Q321),"",'Data Input'!Q321)</f>
        <v>0</v>
      </c>
      <c r="T321" s="2">
        <f t="shared" si="18"/>
        <v>43279</v>
      </c>
      <c r="U321" s="12">
        <f t="shared" si="19"/>
        <v>0.80555555555555547</v>
      </c>
      <c r="V321" s="2">
        <f t="shared" si="20"/>
        <v>43280</v>
      </c>
      <c r="W321" s="12">
        <f t="shared" si="21"/>
        <v>0.74722222222222223</v>
      </c>
    </row>
    <row r="322" spans="1:23">
      <c r="A322">
        <f>IF(ISBLANK('Data Input'!A322),"",'Data Input'!A322)</f>
        <v>86</v>
      </c>
      <c r="B322" t="str">
        <f>IF(ISBLANK('Data Input'!B322),"",'Data Input'!B322)</f>
        <v>BG086</v>
      </c>
      <c r="C322" t="str">
        <f>IF(ISBLANK('Data Input'!C322),"",'Data Input'!C322)</f>
        <v>6/28/18 1920</v>
      </c>
      <c r="E322" t="str">
        <f>IF(ISBLANK('Data Input'!D322),"",'Data Input'!D322)</f>
        <v>6/29/18 1756</v>
      </c>
      <c r="G322">
        <f>IF(ISBLANK('Data Input'!E322),"",'Data Input'!E322)</f>
        <v>29</v>
      </c>
      <c r="H322" t="str">
        <f>IF(ISBLANK('Data Input'!F322),"",'Data Input'!F322)</f>
        <v>White</v>
      </c>
      <c r="I322" t="str">
        <f>IF(ISBLANK('Data Input'!G322),"",'Data Input'!G322)</f>
        <v>SVD</v>
      </c>
      <c r="J322" t="str">
        <f>IF(ISBLANK('Data Input'!I322),"",'Data Input'!I322)</f>
        <v>6=29=18 0415</v>
      </c>
      <c r="K322" t="str">
        <f>IF(ISBLANK('Data Input'!J322),"",'Data Input'!J322)</f>
        <v>bb - Ibuprofen</v>
      </c>
      <c r="L322">
        <f>IF(ISBLANK('Data Input'!K322),"",'Data Input'!K322)</f>
        <v>800</v>
      </c>
      <c r="M322">
        <f>IF(ISBLANK('Data Input'!L322),"",'Data Input'!L322)</f>
        <v>3</v>
      </c>
      <c r="N322">
        <f>IF(ISBLANK('Data Input'!M322),"",'Data Input'!M322)</f>
        <v>0</v>
      </c>
      <c r="O322" t="str">
        <f>IF(ISBLANK('Data Input'!N322),"",'Data Input'!N322)</f>
        <v/>
      </c>
      <c r="P322" t="str">
        <f>IF(ISBLANK('Data Input'!O322),"",'Data Input'!O322)</f>
        <v/>
      </c>
      <c r="Q322" t="str">
        <f>IF(ISBLANK('Data Input'!P322),"",'Data Input'!P322)</f>
        <v/>
      </c>
      <c r="R322" t="b">
        <f>IF(ISBLANK('Data Input'!Q322),"",'Data Input'!Q322)</f>
        <v>0</v>
      </c>
      <c r="T322" s="2">
        <f t="shared" si="18"/>
        <v>43279</v>
      </c>
      <c r="U322" s="12">
        <f t="shared" si="19"/>
        <v>0.80555555555555547</v>
      </c>
      <c r="V322" s="2">
        <f t="shared" si="20"/>
        <v>43280</v>
      </c>
      <c r="W322" s="12">
        <f t="shared" si="21"/>
        <v>0.74722222222222223</v>
      </c>
    </row>
    <row r="323" spans="1:23">
      <c r="A323">
        <f>IF(ISBLANK('Data Input'!A323),"",'Data Input'!A323)</f>
        <v>86</v>
      </c>
      <c r="B323" t="str">
        <f>IF(ISBLANK('Data Input'!B323),"",'Data Input'!B323)</f>
        <v>BG086</v>
      </c>
      <c r="C323" t="str">
        <f>IF(ISBLANK('Data Input'!C323),"",'Data Input'!C323)</f>
        <v>6/28/18 1920</v>
      </c>
      <c r="E323" t="str">
        <f>IF(ISBLANK('Data Input'!D323),"",'Data Input'!D323)</f>
        <v>6/29/18 1756</v>
      </c>
      <c r="G323">
        <f>IF(ISBLANK('Data Input'!E323),"",'Data Input'!E323)</f>
        <v>29</v>
      </c>
      <c r="H323" t="str">
        <f>IF(ISBLANK('Data Input'!F323),"",'Data Input'!F323)</f>
        <v>White</v>
      </c>
      <c r="I323" t="str">
        <f>IF(ISBLANK('Data Input'!G323),"",'Data Input'!G323)</f>
        <v>SVD</v>
      </c>
      <c r="J323" t="str">
        <f>IF(ISBLANK('Data Input'!I323),"",'Data Input'!I323)</f>
        <v>6=29=18 1207</v>
      </c>
      <c r="K323" t="str">
        <f>IF(ISBLANK('Data Input'!J323),"",'Data Input'!J323)</f>
        <v>bb - Ibuprofen</v>
      </c>
      <c r="L323">
        <f>IF(ISBLANK('Data Input'!K323),"",'Data Input'!K323)</f>
        <v>800</v>
      </c>
      <c r="M323">
        <f>IF(ISBLANK('Data Input'!L323),"",'Data Input'!L323)</f>
        <v>4</v>
      </c>
      <c r="N323">
        <f>IF(ISBLANK('Data Input'!M323),"",'Data Input'!M323)</f>
        <v>0</v>
      </c>
      <c r="O323" t="str">
        <f>IF(ISBLANK('Data Input'!N323),"",'Data Input'!N323)</f>
        <v/>
      </c>
      <c r="P323" t="str">
        <f>IF(ISBLANK('Data Input'!O323),"",'Data Input'!O323)</f>
        <v/>
      </c>
      <c r="Q323" t="str">
        <f>IF(ISBLANK('Data Input'!P323),"",'Data Input'!P323)</f>
        <v/>
      </c>
      <c r="R323" t="b">
        <f>IF(ISBLANK('Data Input'!Q323),"",'Data Input'!Q323)</f>
        <v>0</v>
      </c>
      <c r="T323" s="2">
        <f t="shared" ref="T323:T386" si="22">DATEVALUE(LEFT(C323,FIND(" ",C323)))</f>
        <v>43279</v>
      </c>
      <c r="U323" s="12">
        <f t="shared" ref="U323:U386" si="23">TIMEVALUE(CONCATENATE(MID(C323,FIND(" ",C323)+1,2),":",RIGHT(C323,LEN(C323)-FIND(" ",C323)-2)))</f>
        <v>0.80555555555555547</v>
      </c>
      <c r="V323" s="2">
        <f t="shared" si="20"/>
        <v>43280</v>
      </c>
      <c r="W323" s="12">
        <f t="shared" si="21"/>
        <v>0.74722222222222223</v>
      </c>
    </row>
    <row r="324" spans="1:23">
      <c r="A324">
        <f>IF(ISBLANK('Data Input'!A324),"",'Data Input'!A324)</f>
        <v>86</v>
      </c>
      <c r="B324" t="str">
        <f>IF(ISBLANK('Data Input'!B324),"",'Data Input'!B324)</f>
        <v>BG086</v>
      </c>
      <c r="C324" t="str">
        <f>IF(ISBLANK('Data Input'!C324),"",'Data Input'!C324)</f>
        <v>6/28/18 1920</v>
      </c>
      <c r="E324" t="str">
        <f>IF(ISBLANK('Data Input'!D324),"",'Data Input'!D324)</f>
        <v>6/29/18 1756</v>
      </c>
      <c r="G324">
        <f>IF(ISBLANK('Data Input'!E324),"",'Data Input'!E324)</f>
        <v>29</v>
      </c>
      <c r="H324" t="str">
        <f>IF(ISBLANK('Data Input'!F324),"",'Data Input'!F324)</f>
        <v>White</v>
      </c>
      <c r="I324" t="str">
        <f>IF(ISBLANK('Data Input'!G324),"",'Data Input'!G324)</f>
        <v>SVD</v>
      </c>
      <c r="J324" t="str">
        <f>IF(ISBLANK('Data Input'!I324),"",'Data Input'!I324)</f>
        <v>6=29=18 1756</v>
      </c>
      <c r="K324" t="str">
        <f>IF(ISBLANK('Data Input'!J324),"",'Data Input'!J324)</f>
        <v>bb - Ibuprofen</v>
      </c>
      <c r="L324">
        <f>IF(ISBLANK('Data Input'!K324),"",'Data Input'!K324)</f>
        <v>800</v>
      </c>
      <c r="M324">
        <f>IF(ISBLANK('Data Input'!L324),"",'Data Input'!L324)</f>
        <v>3</v>
      </c>
      <c r="N324">
        <f>IF(ISBLANK('Data Input'!M324),"",'Data Input'!M324)</f>
        <v>0</v>
      </c>
      <c r="O324" t="str">
        <f>IF(ISBLANK('Data Input'!N324),"",'Data Input'!N324)</f>
        <v/>
      </c>
      <c r="P324" t="str">
        <f>IF(ISBLANK('Data Input'!O324),"",'Data Input'!O324)</f>
        <v/>
      </c>
      <c r="Q324" t="str">
        <f>IF(ISBLANK('Data Input'!P324),"",'Data Input'!P324)</f>
        <v/>
      </c>
      <c r="R324" t="b">
        <f>IF(ISBLANK('Data Input'!Q324),"",'Data Input'!Q324)</f>
        <v>0</v>
      </c>
      <c r="T324" s="2">
        <f t="shared" si="22"/>
        <v>43279</v>
      </c>
      <c r="U324" s="12">
        <f t="shared" si="23"/>
        <v>0.80555555555555547</v>
      </c>
      <c r="V324" s="2">
        <f t="shared" si="20"/>
        <v>43280</v>
      </c>
      <c r="W324" s="12">
        <f t="shared" si="21"/>
        <v>0.74722222222222223</v>
      </c>
    </row>
    <row r="325" spans="1:23">
      <c r="A325">
        <f>IF(ISBLANK('Data Input'!A325),"",'Data Input'!A325)</f>
        <v>87</v>
      </c>
      <c r="B325" t="str">
        <f>IF(ISBLANK('Data Input'!B325),"",'Data Input'!B325)</f>
        <v>TT087</v>
      </c>
      <c r="C325" t="str">
        <f>IF(ISBLANK('Data Input'!C325),"",'Data Input'!C325)</f>
        <v>6/29/18 1230</v>
      </c>
      <c r="E325" t="str">
        <f>IF(ISBLANK('Data Input'!D325),"",'Data Input'!D325)</f>
        <v>6/30/18 0913</v>
      </c>
      <c r="G325">
        <f>IF(ISBLANK('Data Input'!E325),"",'Data Input'!E325)</f>
        <v>21</v>
      </c>
      <c r="H325" t="str">
        <f>IF(ISBLANK('Data Input'!F325),"",'Data Input'!F325)</f>
        <v>White</v>
      </c>
      <c r="I325" t="str">
        <f>IF(ISBLANK('Data Input'!G325),"",'Data Input'!G325)</f>
        <v>SVD</v>
      </c>
      <c r="J325" t="str">
        <f>IF(ISBLANK('Data Input'!I325),"",'Data Input'!I325)</f>
        <v>6=29=18 2246</v>
      </c>
      <c r="K325" t="str">
        <f>IF(ISBLANK('Data Input'!J325),"",'Data Input'!J325)</f>
        <v>bb - Ibuprofen</v>
      </c>
      <c r="L325">
        <f>IF(ISBLANK('Data Input'!K325),"",'Data Input'!K325)</f>
        <v>800</v>
      </c>
      <c r="M325">
        <f>IF(ISBLANK('Data Input'!L325),"",'Data Input'!L325)</f>
        <v>3</v>
      </c>
      <c r="N325">
        <f>IF(ISBLANK('Data Input'!M325),"",'Data Input'!M325)</f>
        <v>2</v>
      </c>
      <c r="O325" t="str">
        <f>IF(ISBLANK('Data Input'!N325),"",'Data Input'!N325)</f>
        <v/>
      </c>
      <c r="P325" t="str">
        <f>IF(ISBLANK('Data Input'!O325),"",'Data Input'!O325)</f>
        <v/>
      </c>
      <c r="Q325" t="str">
        <f>IF(ISBLANK('Data Input'!P325),"",'Data Input'!P325)</f>
        <v/>
      </c>
      <c r="R325" t="b">
        <f>IF(ISBLANK('Data Input'!Q325),"",'Data Input'!Q325)</f>
        <v>1</v>
      </c>
      <c r="T325" s="2">
        <f t="shared" si="22"/>
        <v>43280</v>
      </c>
      <c r="U325" s="12">
        <f t="shared" si="23"/>
        <v>0.52083333333333337</v>
      </c>
      <c r="V325" s="2">
        <f t="shared" si="20"/>
        <v>43281</v>
      </c>
      <c r="W325" s="12">
        <f t="shared" si="21"/>
        <v>0.3840277777777778</v>
      </c>
    </row>
    <row r="326" spans="1:23">
      <c r="A326">
        <f>IF(ISBLANK('Data Input'!A326),"",'Data Input'!A326)</f>
        <v>87</v>
      </c>
      <c r="B326" t="str">
        <f>IF(ISBLANK('Data Input'!B326),"",'Data Input'!B326)</f>
        <v>TT087</v>
      </c>
      <c r="C326" t="str">
        <f>IF(ISBLANK('Data Input'!C326),"",'Data Input'!C326)</f>
        <v>6/29/18 1230</v>
      </c>
      <c r="E326" t="str">
        <f>IF(ISBLANK('Data Input'!D326),"",'Data Input'!D326)</f>
        <v>6/30/18 0913</v>
      </c>
      <c r="G326">
        <f>IF(ISBLANK('Data Input'!E326),"",'Data Input'!E326)</f>
        <v>21</v>
      </c>
      <c r="H326" t="str">
        <f>IF(ISBLANK('Data Input'!F326),"",'Data Input'!F326)</f>
        <v>White</v>
      </c>
      <c r="I326" t="str">
        <f>IF(ISBLANK('Data Input'!G326),"",'Data Input'!G326)</f>
        <v>SVD</v>
      </c>
      <c r="J326" t="str">
        <f>IF(ISBLANK('Data Input'!I326),"",'Data Input'!I326)</f>
        <v>6=30=18 0913</v>
      </c>
      <c r="K326" t="str">
        <f>IF(ISBLANK('Data Input'!J326),"",'Data Input'!J326)</f>
        <v>rr - Percocet</v>
      </c>
      <c r="L326">
        <f>IF(ISBLANK('Data Input'!K326),"",'Data Input'!K326)</f>
        <v>1</v>
      </c>
      <c r="M326">
        <f>IF(ISBLANK('Data Input'!L326),"",'Data Input'!L326)</f>
        <v>3</v>
      </c>
      <c r="N326">
        <f>IF(ISBLANK('Data Input'!M326),"",'Data Input'!M326)</f>
        <v>2</v>
      </c>
      <c r="O326" t="str">
        <f>IF(ISBLANK('Data Input'!N326),"",'Data Input'!N326)</f>
        <v/>
      </c>
      <c r="P326" t="str">
        <f>IF(ISBLANK('Data Input'!O326),"",'Data Input'!O326)</f>
        <v/>
      </c>
      <c r="Q326" t="str">
        <f>IF(ISBLANK('Data Input'!P326),"",'Data Input'!P326)</f>
        <v/>
      </c>
      <c r="R326" t="b">
        <f>IF(ISBLANK('Data Input'!Q326),"",'Data Input'!Q326)</f>
        <v>1</v>
      </c>
      <c r="T326" s="2">
        <f t="shared" si="22"/>
        <v>43280</v>
      </c>
      <c r="U326" s="12">
        <f t="shared" si="23"/>
        <v>0.52083333333333337</v>
      </c>
      <c r="V326" s="2">
        <f t="shared" si="20"/>
        <v>43281</v>
      </c>
      <c r="W326" s="12">
        <f t="shared" si="21"/>
        <v>0.3840277777777778</v>
      </c>
    </row>
    <row r="327" spans="1:23">
      <c r="A327">
        <f>IF(ISBLANK('Data Input'!A327),"",'Data Input'!A327)</f>
        <v>87</v>
      </c>
      <c r="B327" t="str">
        <f>IF(ISBLANK('Data Input'!B327),"",'Data Input'!B327)</f>
        <v>TT087</v>
      </c>
      <c r="C327" t="str">
        <f>IF(ISBLANK('Data Input'!C327),"",'Data Input'!C327)</f>
        <v>6/29/18 1230</v>
      </c>
      <c r="E327" t="str">
        <f>IF(ISBLANK('Data Input'!D327),"",'Data Input'!D327)</f>
        <v>6/30/18 0913</v>
      </c>
      <c r="G327">
        <f>IF(ISBLANK('Data Input'!E327),"",'Data Input'!E327)</f>
        <v>21</v>
      </c>
      <c r="H327" t="str">
        <f>IF(ISBLANK('Data Input'!F327),"",'Data Input'!F327)</f>
        <v>White</v>
      </c>
      <c r="I327" t="str">
        <f>IF(ISBLANK('Data Input'!G327),"",'Data Input'!G327)</f>
        <v>SVD</v>
      </c>
      <c r="J327" t="str">
        <f>IF(ISBLANK('Data Input'!I327),"",'Data Input'!I327)</f>
        <v>6=30=18 0913</v>
      </c>
      <c r="K327" t="str">
        <f>IF(ISBLANK('Data Input'!J327),"",'Data Input'!J327)</f>
        <v>bb - Ibuprofen</v>
      </c>
      <c r="L327">
        <f>IF(ISBLANK('Data Input'!K327),"",'Data Input'!K327)</f>
        <v>800</v>
      </c>
      <c r="M327">
        <f>IF(ISBLANK('Data Input'!L327),"",'Data Input'!L327)</f>
        <v>4</v>
      </c>
      <c r="N327">
        <f>IF(ISBLANK('Data Input'!M327),"",'Data Input'!M327)</f>
        <v>2</v>
      </c>
      <c r="O327" t="str">
        <f>IF(ISBLANK('Data Input'!N327),"",'Data Input'!N327)</f>
        <v/>
      </c>
      <c r="P327" t="str">
        <f>IF(ISBLANK('Data Input'!O327),"",'Data Input'!O327)</f>
        <v/>
      </c>
      <c r="Q327" t="str">
        <f>IF(ISBLANK('Data Input'!P327),"",'Data Input'!P327)</f>
        <v/>
      </c>
      <c r="R327" t="b">
        <f>IF(ISBLANK('Data Input'!Q327),"",'Data Input'!Q327)</f>
        <v>1</v>
      </c>
      <c r="T327" s="2">
        <f t="shared" si="22"/>
        <v>43280</v>
      </c>
      <c r="U327" s="12">
        <f t="shared" si="23"/>
        <v>0.52083333333333337</v>
      </c>
      <c r="V327" s="2">
        <f t="shared" ref="V327:V390" si="24">IFERROR(DATEVALUE(LEFT(E327,FIND(" ",E327))),E327)</f>
        <v>43281</v>
      </c>
      <c r="W327" s="12">
        <f t="shared" ref="W327:W390" si="25">IFERROR(TIMEVALUE(CONCATENATE(MID(E327,FIND(" ",E327)+1,2),":",RIGHT(E327,LEN(E327)-FIND(" ",E327)-2))),E327)</f>
        <v>0.3840277777777778</v>
      </c>
    </row>
    <row r="328" spans="1:23">
      <c r="A328">
        <f>IF(ISBLANK('Data Input'!A328),"",'Data Input'!A328)</f>
        <v>88</v>
      </c>
      <c r="B328" t="str">
        <f>IF(ISBLANK('Data Input'!B328),"",'Data Input'!B328)</f>
        <v>BY088</v>
      </c>
      <c r="C328" t="str">
        <f>IF(ISBLANK('Data Input'!C328),"",'Data Input'!C328)</f>
        <v>6/28/18 2355</v>
      </c>
      <c r="E328" t="str">
        <f>IF(ISBLANK('Data Input'!D328),"",'Data Input'!D328)</f>
        <v>dd - Missing Data</v>
      </c>
      <c r="G328">
        <f>IF(ISBLANK('Data Input'!E328),"",'Data Input'!E328)</f>
        <v>24</v>
      </c>
      <c r="H328" t="str">
        <f>IF(ISBLANK('Data Input'!F328),"",'Data Input'!F328)</f>
        <v>White</v>
      </c>
      <c r="I328" t="str">
        <f>IF(ISBLANK('Data Input'!G328),"",'Data Input'!G328)</f>
        <v>SVD</v>
      </c>
      <c r="J328" t="str">
        <f>IF(ISBLANK('Data Input'!I328),"",'Data Input'!I328)</f>
        <v>6=29=18 0129</v>
      </c>
      <c r="K328" t="str">
        <f>IF(ISBLANK('Data Input'!J328),"",'Data Input'!J328)</f>
        <v>bb - Ibuprofen</v>
      </c>
      <c r="L328">
        <f>IF(ISBLANK('Data Input'!K328),"",'Data Input'!K328)</f>
        <v>800</v>
      </c>
      <c r="M328">
        <f>IF(ISBLANK('Data Input'!L328),"",'Data Input'!L328)</f>
        <v>7</v>
      </c>
      <c r="N328">
        <f>IF(ISBLANK('Data Input'!M328),"",'Data Input'!M328)</f>
        <v>0</v>
      </c>
      <c r="O328">
        <f>IF(ISBLANK('Data Input'!N328),"",'Data Input'!N328)</f>
        <v>2</v>
      </c>
      <c r="P328" t="str">
        <f>IF(ISBLANK('Data Input'!O328),"",'Data Input'!O328)</f>
        <v/>
      </c>
      <c r="Q328" t="str">
        <f>IF(ISBLANK('Data Input'!P328),"",'Data Input'!P328)</f>
        <v/>
      </c>
      <c r="R328" t="b">
        <f>IF(ISBLANK('Data Input'!Q328),"",'Data Input'!Q328)</f>
        <v>0</v>
      </c>
      <c r="T328" s="2">
        <f t="shared" si="22"/>
        <v>43279</v>
      </c>
      <c r="U328" s="12">
        <f t="shared" si="23"/>
        <v>0.99652777777777779</v>
      </c>
      <c r="V328" s="2" t="str">
        <f t="shared" si="24"/>
        <v>dd - Missing Data</v>
      </c>
      <c r="W328" s="12" t="str">
        <f t="shared" si="25"/>
        <v>dd - Missing Data</v>
      </c>
    </row>
    <row r="329" spans="1:23">
      <c r="A329">
        <f>IF(ISBLANK('Data Input'!A329),"",'Data Input'!A329)</f>
        <v>88</v>
      </c>
      <c r="B329" t="str">
        <f>IF(ISBLANK('Data Input'!B329),"",'Data Input'!B329)</f>
        <v>BY088</v>
      </c>
      <c r="C329" t="str">
        <f>IF(ISBLANK('Data Input'!C329),"",'Data Input'!C329)</f>
        <v>6/28/18 2355</v>
      </c>
      <c r="E329" t="str">
        <f>IF(ISBLANK('Data Input'!D329),"",'Data Input'!D329)</f>
        <v>dd - Missing Data</v>
      </c>
      <c r="G329">
        <f>IF(ISBLANK('Data Input'!E329),"",'Data Input'!E329)</f>
        <v>24</v>
      </c>
      <c r="H329" t="str">
        <f>IF(ISBLANK('Data Input'!F329),"",'Data Input'!F329)</f>
        <v>White</v>
      </c>
      <c r="I329" t="str">
        <f>IF(ISBLANK('Data Input'!G329),"",'Data Input'!G329)</f>
        <v>SVD</v>
      </c>
      <c r="J329" t="str">
        <f>IF(ISBLANK('Data Input'!I329),"",'Data Input'!I329)</f>
        <v>6=29=18 0705</v>
      </c>
      <c r="K329" t="str">
        <f>IF(ISBLANK('Data Input'!J329),"",'Data Input'!J329)</f>
        <v>cc - Norco</v>
      </c>
      <c r="L329">
        <f>IF(ISBLANK('Data Input'!K329),"",'Data Input'!K329)</f>
        <v>1</v>
      </c>
      <c r="M329">
        <f>IF(ISBLANK('Data Input'!L329),"",'Data Input'!L329)</f>
        <v>8</v>
      </c>
      <c r="N329">
        <f>IF(ISBLANK('Data Input'!M329),"",'Data Input'!M329)</f>
        <v>2</v>
      </c>
      <c r="O329">
        <f>IF(ISBLANK('Data Input'!N329),"",'Data Input'!N329)</f>
        <v>2</v>
      </c>
      <c r="P329" t="str">
        <f>IF(ISBLANK('Data Input'!O329),"",'Data Input'!O329)</f>
        <v/>
      </c>
      <c r="Q329" t="str">
        <f>IF(ISBLANK('Data Input'!P329),"",'Data Input'!P329)</f>
        <v/>
      </c>
      <c r="R329" t="b">
        <f>IF(ISBLANK('Data Input'!Q329),"",'Data Input'!Q329)</f>
        <v>0</v>
      </c>
      <c r="T329" s="2">
        <f t="shared" si="22"/>
        <v>43279</v>
      </c>
      <c r="U329" s="12">
        <f t="shared" si="23"/>
        <v>0.99652777777777779</v>
      </c>
      <c r="V329" s="2" t="str">
        <f t="shared" si="24"/>
        <v>dd - Missing Data</v>
      </c>
      <c r="W329" s="12" t="str">
        <f t="shared" si="25"/>
        <v>dd - Missing Data</v>
      </c>
    </row>
    <row r="330" spans="1:23">
      <c r="A330">
        <f>IF(ISBLANK('Data Input'!A330),"",'Data Input'!A330)</f>
        <v>88</v>
      </c>
      <c r="B330" t="str">
        <f>IF(ISBLANK('Data Input'!B330),"",'Data Input'!B330)</f>
        <v>BY088</v>
      </c>
      <c r="C330" t="str">
        <f>IF(ISBLANK('Data Input'!C330),"",'Data Input'!C330)</f>
        <v>6/28/18 2355</v>
      </c>
      <c r="E330" t="str">
        <f>IF(ISBLANK('Data Input'!D330),"",'Data Input'!D330)</f>
        <v>dd - Missing Data</v>
      </c>
      <c r="G330">
        <f>IF(ISBLANK('Data Input'!E330),"",'Data Input'!E330)</f>
        <v>24</v>
      </c>
      <c r="H330" t="str">
        <f>IF(ISBLANK('Data Input'!F330),"",'Data Input'!F330)</f>
        <v>White</v>
      </c>
      <c r="I330" t="str">
        <f>IF(ISBLANK('Data Input'!G330),"",'Data Input'!G330)</f>
        <v>SVD</v>
      </c>
      <c r="J330" t="str">
        <f>IF(ISBLANK('Data Input'!I330),"",'Data Input'!I330)</f>
        <v>6=29=18 1102</v>
      </c>
      <c r="K330" t="str">
        <f>IF(ISBLANK('Data Input'!J330),"",'Data Input'!J330)</f>
        <v>cc - Norco</v>
      </c>
      <c r="L330">
        <f>IF(ISBLANK('Data Input'!K330),"",'Data Input'!K330)</f>
        <v>1</v>
      </c>
      <c r="M330">
        <f>IF(ISBLANK('Data Input'!L330),"",'Data Input'!L330)</f>
        <v>8</v>
      </c>
      <c r="N330">
        <f>IF(ISBLANK('Data Input'!M330),"",'Data Input'!M330)</f>
        <v>2</v>
      </c>
      <c r="O330">
        <f>IF(ISBLANK('Data Input'!N330),"",'Data Input'!N330)</f>
        <v>2</v>
      </c>
      <c r="P330" t="str">
        <f>IF(ISBLANK('Data Input'!O330),"",'Data Input'!O330)</f>
        <v/>
      </c>
      <c r="Q330" t="str">
        <f>IF(ISBLANK('Data Input'!P330),"",'Data Input'!P330)</f>
        <v/>
      </c>
      <c r="R330" t="b">
        <f>IF(ISBLANK('Data Input'!Q330),"",'Data Input'!Q330)</f>
        <v>0</v>
      </c>
      <c r="T330" s="2">
        <f t="shared" si="22"/>
        <v>43279</v>
      </c>
      <c r="U330" s="12">
        <f t="shared" si="23"/>
        <v>0.99652777777777779</v>
      </c>
      <c r="V330" s="2" t="str">
        <f t="shared" si="24"/>
        <v>dd - Missing Data</v>
      </c>
      <c r="W330" s="12" t="str">
        <f t="shared" si="25"/>
        <v>dd - Missing Data</v>
      </c>
    </row>
    <row r="331" spans="1:23">
      <c r="A331">
        <f>IF(ISBLANK('Data Input'!A331),"",'Data Input'!A331)</f>
        <v>88</v>
      </c>
      <c r="B331" t="str">
        <f>IF(ISBLANK('Data Input'!B331),"",'Data Input'!B331)</f>
        <v>BY088</v>
      </c>
      <c r="C331" t="str">
        <f>IF(ISBLANK('Data Input'!C331),"",'Data Input'!C331)</f>
        <v>6/28/18 2355</v>
      </c>
      <c r="E331" t="str">
        <f>IF(ISBLANK('Data Input'!D331),"",'Data Input'!D331)</f>
        <v>dd - Missing Data</v>
      </c>
      <c r="G331">
        <f>IF(ISBLANK('Data Input'!E331),"",'Data Input'!E331)</f>
        <v>24</v>
      </c>
      <c r="H331" t="str">
        <f>IF(ISBLANK('Data Input'!F331),"",'Data Input'!F331)</f>
        <v>White</v>
      </c>
      <c r="I331" t="str">
        <f>IF(ISBLANK('Data Input'!G331),"",'Data Input'!G331)</f>
        <v>SVD</v>
      </c>
      <c r="J331" t="str">
        <f>IF(ISBLANK('Data Input'!I331),"",'Data Input'!I331)</f>
        <v>6=29=13 1333</v>
      </c>
      <c r="K331" t="str">
        <f>IF(ISBLANK('Data Input'!J331),"",'Data Input'!J331)</f>
        <v>rr - Percocet</v>
      </c>
      <c r="L331">
        <f>IF(ISBLANK('Data Input'!K331),"",'Data Input'!K331)</f>
        <v>1</v>
      </c>
      <c r="M331">
        <f>IF(ISBLANK('Data Input'!L331),"",'Data Input'!L331)</f>
        <v>9</v>
      </c>
      <c r="N331">
        <f>IF(ISBLANK('Data Input'!M331),"",'Data Input'!M331)</f>
        <v>6</v>
      </c>
      <c r="O331">
        <f>IF(ISBLANK('Data Input'!N331),"",'Data Input'!N331)</f>
        <v>6</v>
      </c>
      <c r="P331" t="str">
        <f>IF(ISBLANK('Data Input'!O331),"",'Data Input'!O331)</f>
        <v/>
      </c>
      <c r="Q331" t="str">
        <f>IF(ISBLANK('Data Input'!P331),"",'Data Input'!P331)</f>
        <v/>
      </c>
      <c r="R331" t="b">
        <f>IF(ISBLANK('Data Input'!Q331),"",'Data Input'!Q331)</f>
        <v>0</v>
      </c>
      <c r="T331" s="2">
        <f t="shared" si="22"/>
        <v>43279</v>
      </c>
      <c r="U331" s="12">
        <f t="shared" si="23"/>
        <v>0.99652777777777779</v>
      </c>
      <c r="V331" s="2" t="str">
        <f t="shared" si="24"/>
        <v>dd - Missing Data</v>
      </c>
      <c r="W331" s="12" t="str">
        <f t="shared" si="25"/>
        <v>dd - Missing Data</v>
      </c>
    </row>
    <row r="332" spans="1:23">
      <c r="A332">
        <f>IF(ISBLANK('Data Input'!A332),"",'Data Input'!A332)</f>
        <v>88</v>
      </c>
      <c r="B332" t="str">
        <f>IF(ISBLANK('Data Input'!B332),"",'Data Input'!B332)</f>
        <v>BY088</v>
      </c>
      <c r="C332" t="str">
        <f>IF(ISBLANK('Data Input'!C332),"",'Data Input'!C332)</f>
        <v>6/28/18 2355</v>
      </c>
      <c r="E332" t="str">
        <f>IF(ISBLANK('Data Input'!D332),"",'Data Input'!D332)</f>
        <v>dd - Missing Data</v>
      </c>
      <c r="G332">
        <f>IF(ISBLANK('Data Input'!E332),"",'Data Input'!E332)</f>
        <v>24</v>
      </c>
      <c r="H332" t="str">
        <f>IF(ISBLANK('Data Input'!F332),"",'Data Input'!F332)</f>
        <v>White</v>
      </c>
      <c r="I332" t="str">
        <f>IF(ISBLANK('Data Input'!G332),"",'Data Input'!G332)</f>
        <v>SVD</v>
      </c>
      <c r="J332" t="str">
        <f>IF(ISBLANK('Data Input'!I332),"",'Data Input'!I332)</f>
        <v>6=29=18 1555</v>
      </c>
      <c r="K332" t="str">
        <f>IF(ISBLANK('Data Input'!J332),"",'Data Input'!J332)</f>
        <v>rr - Percocet</v>
      </c>
      <c r="L332">
        <f>IF(ISBLANK('Data Input'!K332),"",'Data Input'!K332)</f>
        <v>1</v>
      </c>
      <c r="M332">
        <f>IF(ISBLANK('Data Input'!L332),"",'Data Input'!L332)</f>
        <v>8</v>
      </c>
      <c r="N332">
        <f>IF(ISBLANK('Data Input'!M332),"",'Data Input'!M332)</f>
        <v>4</v>
      </c>
      <c r="O332">
        <f>IF(ISBLANK('Data Input'!N332),"",'Data Input'!N332)</f>
        <v>6</v>
      </c>
      <c r="P332" t="str">
        <f>IF(ISBLANK('Data Input'!O332),"",'Data Input'!O332)</f>
        <v/>
      </c>
      <c r="Q332" t="str">
        <f>IF(ISBLANK('Data Input'!P332),"",'Data Input'!P332)</f>
        <v/>
      </c>
      <c r="R332" t="b">
        <f>IF(ISBLANK('Data Input'!Q332),"",'Data Input'!Q332)</f>
        <v>0</v>
      </c>
      <c r="T332" s="2">
        <f t="shared" si="22"/>
        <v>43279</v>
      </c>
      <c r="U332" s="12">
        <f t="shared" si="23"/>
        <v>0.99652777777777779</v>
      </c>
      <c r="V332" s="2" t="str">
        <f t="shared" si="24"/>
        <v>dd - Missing Data</v>
      </c>
      <c r="W332" s="12" t="str">
        <f t="shared" si="25"/>
        <v>dd - Missing Data</v>
      </c>
    </row>
    <row r="333" spans="1:23">
      <c r="A333">
        <f>IF(ISBLANK('Data Input'!A333),"",'Data Input'!A333)</f>
        <v>88</v>
      </c>
      <c r="B333" t="str">
        <f>IF(ISBLANK('Data Input'!B333),"",'Data Input'!B333)</f>
        <v>BY088</v>
      </c>
      <c r="C333" t="str">
        <f>IF(ISBLANK('Data Input'!C333),"",'Data Input'!C333)</f>
        <v>6/28/18 2355</v>
      </c>
      <c r="E333" t="str">
        <f>IF(ISBLANK('Data Input'!D333),"",'Data Input'!D333)</f>
        <v>dd - Missing Data</v>
      </c>
      <c r="G333">
        <f>IF(ISBLANK('Data Input'!E333),"",'Data Input'!E333)</f>
        <v>24</v>
      </c>
      <c r="H333" t="str">
        <f>IF(ISBLANK('Data Input'!F333),"",'Data Input'!F333)</f>
        <v>White</v>
      </c>
      <c r="I333" t="str">
        <f>IF(ISBLANK('Data Input'!G333),"",'Data Input'!G333)</f>
        <v>SVD</v>
      </c>
      <c r="J333" t="str">
        <f>IF(ISBLANK('Data Input'!I333),"",'Data Input'!I333)</f>
        <v>6=29=18 1728</v>
      </c>
      <c r="K333" t="str">
        <f>IF(ISBLANK('Data Input'!J333),"",'Data Input'!J333)</f>
        <v>rr - Percocet</v>
      </c>
      <c r="L333">
        <f>IF(ISBLANK('Data Input'!K333),"",'Data Input'!K333)</f>
        <v>2</v>
      </c>
      <c r="M333">
        <f>IF(ISBLANK('Data Input'!L333),"",'Data Input'!L333)</f>
        <v>7</v>
      </c>
      <c r="N333">
        <f>IF(ISBLANK('Data Input'!M333),"",'Data Input'!M333)</f>
        <v>4</v>
      </c>
      <c r="O333">
        <f>IF(ISBLANK('Data Input'!N333),"",'Data Input'!N333)</f>
        <v>6</v>
      </c>
      <c r="P333" t="str">
        <f>IF(ISBLANK('Data Input'!O333),"",'Data Input'!O333)</f>
        <v/>
      </c>
      <c r="Q333" t="str">
        <f>IF(ISBLANK('Data Input'!P333),"",'Data Input'!P333)</f>
        <v/>
      </c>
      <c r="R333" t="b">
        <f>IF(ISBLANK('Data Input'!Q333),"",'Data Input'!Q333)</f>
        <v>0</v>
      </c>
      <c r="T333" s="2">
        <f t="shared" si="22"/>
        <v>43279</v>
      </c>
      <c r="U333" s="12">
        <f t="shared" si="23"/>
        <v>0.99652777777777779</v>
      </c>
      <c r="V333" s="2" t="str">
        <f t="shared" si="24"/>
        <v>dd - Missing Data</v>
      </c>
      <c r="W333" s="12" t="str">
        <f t="shared" si="25"/>
        <v>dd - Missing Data</v>
      </c>
    </row>
    <row r="334" spans="1:23">
      <c r="A334">
        <f>IF(ISBLANK('Data Input'!A334),"",'Data Input'!A334)</f>
        <v>88</v>
      </c>
      <c r="B334" t="str">
        <f>IF(ISBLANK('Data Input'!B334),"",'Data Input'!B334)</f>
        <v>BY088</v>
      </c>
      <c r="C334" t="str">
        <f>IF(ISBLANK('Data Input'!C334),"",'Data Input'!C334)</f>
        <v>6/28/18 2355</v>
      </c>
      <c r="E334" t="str">
        <f>IF(ISBLANK('Data Input'!D334),"",'Data Input'!D334)</f>
        <v>dd - Missing Data</v>
      </c>
      <c r="G334">
        <f>IF(ISBLANK('Data Input'!E334),"",'Data Input'!E334)</f>
        <v>24</v>
      </c>
      <c r="H334" t="str">
        <f>IF(ISBLANK('Data Input'!F334),"",'Data Input'!F334)</f>
        <v>White</v>
      </c>
      <c r="I334" t="str">
        <f>IF(ISBLANK('Data Input'!G334),"",'Data Input'!G334)</f>
        <v>SVD</v>
      </c>
      <c r="J334" t="str">
        <f>IF(ISBLANK('Data Input'!I334),"",'Data Input'!I334)</f>
        <v>6=29=18 1938</v>
      </c>
      <c r="K334" t="str">
        <f>IF(ISBLANK('Data Input'!J334),"",'Data Input'!J334)</f>
        <v>bb - Ibuprofen</v>
      </c>
      <c r="L334">
        <f>IF(ISBLANK('Data Input'!K334),"",'Data Input'!K334)</f>
        <v>800</v>
      </c>
      <c r="M334">
        <f>IF(ISBLANK('Data Input'!L334),"",'Data Input'!L334)</f>
        <v>5</v>
      </c>
      <c r="N334">
        <f>IF(ISBLANK('Data Input'!M334),"",'Data Input'!M334)</f>
        <v>4</v>
      </c>
      <c r="O334">
        <f>IF(ISBLANK('Data Input'!N334),"",'Data Input'!N334)</f>
        <v>2</v>
      </c>
      <c r="P334" t="str">
        <f>IF(ISBLANK('Data Input'!O334),"",'Data Input'!O334)</f>
        <v/>
      </c>
      <c r="Q334" t="str">
        <f>IF(ISBLANK('Data Input'!P334),"",'Data Input'!P334)</f>
        <v/>
      </c>
      <c r="R334" t="b">
        <f>IF(ISBLANK('Data Input'!Q334),"",'Data Input'!Q334)</f>
        <v>0</v>
      </c>
      <c r="T334" s="2">
        <f t="shared" si="22"/>
        <v>43279</v>
      </c>
      <c r="U334" s="12">
        <f t="shared" si="23"/>
        <v>0.99652777777777779</v>
      </c>
      <c r="V334" s="2" t="str">
        <f t="shared" si="24"/>
        <v>dd - Missing Data</v>
      </c>
      <c r="W334" s="12" t="str">
        <f t="shared" si="25"/>
        <v>dd - Missing Data</v>
      </c>
    </row>
    <row r="335" spans="1:23">
      <c r="A335">
        <f>IF(ISBLANK('Data Input'!A335),"",'Data Input'!A335)</f>
        <v>88</v>
      </c>
      <c r="B335" t="str">
        <f>IF(ISBLANK('Data Input'!B335),"",'Data Input'!B335)</f>
        <v>BY088</v>
      </c>
      <c r="C335" t="str">
        <f>IF(ISBLANK('Data Input'!C335),"",'Data Input'!C335)</f>
        <v>6/28/18 2355</v>
      </c>
      <c r="E335" t="str">
        <f>IF(ISBLANK('Data Input'!D335),"",'Data Input'!D335)</f>
        <v>dd - Missing Data</v>
      </c>
      <c r="G335">
        <f>IF(ISBLANK('Data Input'!E335),"",'Data Input'!E335)</f>
        <v>24</v>
      </c>
      <c r="H335" t="str">
        <f>IF(ISBLANK('Data Input'!F335),"",'Data Input'!F335)</f>
        <v>White</v>
      </c>
      <c r="I335" t="str">
        <f>IF(ISBLANK('Data Input'!G335),"",'Data Input'!G335)</f>
        <v>SVD</v>
      </c>
      <c r="J335" t="str">
        <f>IF(ISBLANK('Data Input'!I335),"",'Data Input'!I335)</f>
        <v>6=29=18 2123</v>
      </c>
      <c r="K335" t="str">
        <f>IF(ISBLANK('Data Input'!J335),"",'Data Input'!J335)</f>
        <v>rr - Percocet</v>
      </c>
      <c r="L335">
        <f>IF(ISBLANK('Data Input'!K335),"",'Data Input'!K335)</f>
        <v>2</v>
      </c>
      <c r="M335">
        <f>IF(ISBLANK('Data Input'!L335),"",'Data Input'!L335)</f>
        <v>7</v>
      </c>
      <c r="N335">
        <f>IF(ISBLANK('Data Input'!M335),"",'Data Input'!M335)</f>
        <v>3</v>
      </c>
      <c r="O335">
        <f>IF(ISBLANK('Data Input'!N335),"",'Data Input'!N335)</f>
        <v>6</v>
      </c>
      <c r="P335" t="str">
        <f>IF(ISBLANK('Data Input'!O335),"",'Data Input'!O335)</f>
        <v/>
      </c>
      <c r="Q335" t="str">
        <f>IF(ISBLANK('Data Input'!P335),"",'Data Input'!P335)</f>
        <v/>
      </c>
      <c r="R335" t="b">
        <f>IF(ISBLANK('Data Input'!Q335),"",'Data Input'!Q335)</f>
        <v>0</v>
      </c>
      <c r="T335" s="2">
        <f t="shared" si="22"/>
        <v>43279</v>
      </c>
      <c r="U335" s="12">
        <f t="shared" si="23"/>
        <v>0.99652777777777779</v>
      </c>
      <c r="V335" s="2" t="str">
        <f t="shared" si="24"/>
        <v>dd - Missing Data</v>
      </c>
      <c r="W335" s="12" t="str">
        <f t="shared" si="25"/>
        <v>dd - Missing Data</v>
      </c>
    </row>
    <row r="336" spans="1:23">
      <c r="A336">
        <f>IF(ISBLANK('Data Input'!A336),"",'Data Input'!A336)</f>
        <v>89</v>
      </c>
      <c r="B336" t="str">
        <f>IF(ISBLANK('Data Input'!B336),"",'Data Input'!B336)</f>
        <v>RT089</v>
      </c>
      <c r="C336" t="str">
        <f>IF(ISBLANK('Data Input'!C336),"",'Data Input'!C336)</f>
        <v>6/28/18 1430</v>
      </c>
      <c r="E336" t="str">
        <f>IF(ISBLANK('Data Input'!D336),"",'Data Input'!D336)</f>
        <v>6/29/18 1239</v>
      </c>
      <c r="G336">
        <f>IF(ISBLANK('Data Input'!E336),"",'Data Input'!E336)</f>
        <v>34</v>
      </c>
      <c r="H336" t="str">
        <f>IF(ISBLANK('Data Input'!F336),"",'Data Input'!F336)</f>
        <v>White</v>
      </c>
      <c r="I336" t="str">
        <f>IF(ISBLANK('Data Input'!G336),"",'Data Input'!G336)</f>
        <v>Caesarean</v>
      </c>
      <c r="J336" t="str">
        <f>IF(ISBLANK('Data Input'!I336),"",'Data Input'!I336)</f>
        <v>6=28=18 1759</v>
      </c>
      <c r="K336" t="str">
        <f>IF(ISBLANK('Data Input'!J336),"",'Data Input'!J336)</f>
        <v>tr - Toradol</v>
      </c>
      <c r="L336">
        <f>IF(ISBLANK('Data Input'!K336),"",'Data Input'!K336)</f>
        <v>30</v>
      </c>
      <c r="M336">
        <f>IF(ISBLANK('Data Input'!L336),"",'Data Input'!L336)</f>
        <v>4</v>
      </c>
      <c r="N336">
        <f>IF(ISBLANK('Data Input'!M336),"",'Data Input'!M336)</f>
        <v>0</v>
      </c>
      <c r="O336">
        <f>IF(ISBLANK('Data Input'!N336),"",'Data Input'!N336)</f>
        <v>4</v>
      </c>
      <c r="P336" t="str">
        <f>IF(ISBLANK('Data Input'!O336),"",'Data Input'!O336)</f>
        <v/>
      </c>
      <c r="Q336" t="str">
        <f>IF(ISBLANK('Data Input'!P336),"",'Data Input'!P336)</f>
        <v/>
      </c>
      <c r="R336" t="b">
        <f>IF(ISBLANK('Data Input'!Q336),"",'Data Input'!Q336)</f>
        <v>1</v>
      </c>
      <c r="T336" s="2">
        <f t="shared" si="22"/>
        <v>43279</v>
      </c>
      <c r="U336" s="12">
        <f t="shared" si="23"/>
        <v>0.60416666666666663</v>
      </c>
      <c r="V336" s="2">
        <f t="shared" si="24"/>
        <v>43280</v>
      </c>
      <c r="W336" s="12">
        <f t="shared" si="25"/>
        <v>0.52708333333333335</v>
      </c>
    </row>
    <row r="337" spans="1:23">
      <c r="A337">
        <f>IF(ISBLANK('Data Input'!A337),"",'Data Input'!A337)</f>
        <v>89</v>
      </c>
      <c r="B337" t="str">
        <f>IF(ISBLANK('Data Input'!B337),"",'Data Input'!B337)</f>
        <v>RT089</v>
      </c>
      <c r="C337" t="str">
        <f>IF(ISBLANK('Data Input'!C337),"",'Data Input'!C337)</f>
        <v>6/28/18 1430</v>
      </c>
      <c r="E337" t="str">
        <f>IF(ISBLANK('Data Input'!D337),"",'Data Input'!D337)</f>
        <v>6/29/18 1239</v>
      </c>
      <c r="G337">
        <f>IF(ISBLANK('Data Input'!E337),"",'Data Input'!E337)</f>
        <v>34</v>
      </c>
      <c r="H337" t="str">
        <f>IF(ISBLANK('Data Input'!F337),"",'Data Input'!F337)</f>
        <v>White</v>
      </c>
      <c r="I337" t="str">
        <f>IF(ISBLANK('Data Input'!G337),"",'Data Input'!G337)</f>
        <v>Caesarean</v>
      </c>
      <c r="J337" t="str">
        <f>IF(ISBLANK('Data Input'!I337),"",'Data Input'!I337)</f>
        <v>6=28=18 2343</v>
      </c>
      <c r="K337" t="str">
        <f>IF(ISBLANK('Data Input'!J337),"",'Data Input'!J337)</f>
        <v>tr - Toradol</v>
      </c>
      <c r="L337">
        <f>IF(ISBLANK('Data Input'!K337),"",'Data Input'!K337)</f>
        <v>30</v>
      </c>
      <c r="M337">
        <f>IF(ISBLANK('Data Input'!L337),"",'Data Input'!L337)</f>
        <v>4</v>
      </c>
      <c r="N337">
        <f>IF(ISBLANK('Data Input'!M337),"",'Data Input'!M337)</f>
        <v>0</v>
      </c>
      <c r="O337">
        <f>IF(ISBLANK('Data Input'!N337),"",'Data Input'!N337)</f>
        <v>4</v>
      </c>
      <c r="P337" t="str">
        <f>IF(ISBLANK('Data Input'!O337),"",'Data Input'!O337)</f>
        <v/>
      </c>
      <c r="Q337" t="str">
        <f>IF(ISBLANK('Data Input'!P337),"",'Data Input'!P337)</f>
        <v/>
      </c>
      <c r="R337" t="b">
        <f>IF(ISBLANK('Data Input'!Q337),"",'Data Input'!Q337)</f>
        <v>1</v>
      </c>
      <c r="T337" s="2">
        <f t="shared" si="22"/>
        <v>43279</v>
      </c>
      <c r="U337" s="12">
        <f t="shared" si="23"/>
        <v>0.60416666666666663</v>
      </c>
      <c r="V337" s="2">
        <f t="shared" si="24"/>
        <v>43280</v>
      </c>
      <c r="W337" s="12">
        <f t="shared" si="25"/>
        <v>0.52708333333333335</v>
      </c>
    </row>
    <row r="338" spans="1:23">
      <c r="A338">
        <f>IF(ISBLANK('Data Input'!A338),"",'Data Input'!A338)</f>
        <v>89</v>
      </c>
      <c r="B338" t="str">
        <f>IF(ISBLANK('Data Input'!B338),"",'Data Input'!B338)</f>
        <v>RT089</v>
      </c>
      <c r="C338" t="str">
        <f>IF(ISBLANK('Data Input'!C338),"",'Data Input'!C338)</f>
        <v>6/28/18 1430</v>
      </c>
      <c r="E338" t="str">
        <f>IF(ISBLANK('Data Input'!D338),"",'Data Input'!D338)</f>
        <v>6/29/18 1239</v>
      </c>
      <c r="G338">
        <f>IF(ISBLANK('Data Input'!E338),"",'Data Input'!E338)</f>
        <v>34</v>
      </c>
      <c r="H338" t="str">
        <f>IF(ISBLANK('Data Input'!F338),"",'Data Input'!F338)</f>
        <v>White</v>
      </c>
      <c r="I338" t="str">
        <f>IF(ISBLANK('Data Input'!G338),"",'Data Input'!G338)</f>
        <v>Caesarean</v>
      </c>
      <c r="J338" t="str">
        <f>IF(ISBLANK('Data Input'!I338),"",'Data Input'!I338)</f>
        <v>6=29=18 0521</v>
      </c>
      <c r="K338" t="str">
        <f>IF(ISBLANK('Data Input'!J338),"",'Data Input'!J338)</f>
        <v>tr - Toradol</v>
      </c>
      <c r="L338">
        <f>IF(ISBLANK('Data Input'!K338),"",'Data Input'!K338)</f>
        <v>30</v>
      </c>
      <c r="M338">
        <f>IF(ISBLANK('Data Input'!L338),"",'Data Input'!L338)</f>
        <v>5</v>
      </c>
      <c r="N338">
        <f>IF(ISBLANK('Data Input'!M338),"",'Data Input'!M338)</f>
        <v>1</v>
      </c>
      <c r="O338">
        <f>IF(ISBLANK('Data Input'!N338),"",'Data Input'!N338)</f>
        <v>4</v>
      </c>
      <c r="P338" t="str">
        <f>IF(ISBLANK('Data Input'!O338),"",'Data Input'!O338)</f>
        <v/>
      </c>
      <c r="Q338" t="str">
        <f>IF(ISBLANK('Data Input'!P338),"",'Data Input'!P338)</f>
        <v/>
      </c>
      <c r="R338" t="b">
        <f>IF(ISBLANK('Data Input'!Q338),"",'Data Input'!Q338)</f>
        <v>1</v>
      </c>
      <c r="T338" s="2">
        <f t="shared" si="22"/>
        <v>43279</v>
      </c>
      <c r="U338" s="12">
        <f t="shared" si="23"/>
        <v>0.60416666666666663</v>
      </c>
      <c r="V338" s="2">
        <f t="shared" si="24"/>
        <v>43280</v>
      </c>
      <c r="W338" s="12">
        <f t="shared" si="25"/>
        <v>0.52708333333333335</v>
      </c>
    </row>
    <row r="339" spans="1:23">
      <c r="A339">
        <f>IF(ISBLANK('Data Input'!A339),"",'Data Input'!A339)</f>
        <v>89</v>
      </c>
      <c r="B339" t="str">
        <f>IF(ISBLANK('Data Input'!B339),"",'Data Input'!B339)</f>
        <v>RT089</v>
      </c>
      <c r="C339" t="str">
        <f>IF(ISBLANK('Data Input'!C339),"",'Data Input'!C339)</f>
        <v>6/28/18 1430</v>
      </c>
      <c r="E339" t="str">
        <f>IF(ISBLANK('Data Input'!D339),"",'Data Input'!D339)</f>
        <v>6/29/18 1239</v>
      </c>
      <c r="G339">
        <f>IF(ISBLANK('Data Input'!E339),"",'Data Input'!E339)</f>
        <v>34</v>
      </c>
      <c r="H339" t="str">
        <f>IF(ISBLANK('Data Input'!F339),"",'Data Input'!F339)</f>
        <v>White</v>
      </c>
      <c r="I339" t="str">
        <f>IF(ISBLANK('Data Input'!G339),"",'Data Input'!G339)</f>
        <v>Caesarean</v>
      </c>
      <c r="J339" t="str">
        <f>IF(ISBLANK('Data Input'!I339),"",'Data Input'!I339)</f>
        <v>6=29=18 1119</v>
      </c>
      <c r="K339" t="str">
        <f>IF(ISBLANK('Data Input'!J339),"",'Data Input'!J339)</f>
        <v>tr - Toradol</v>
      </c>
      <c r="L339">
        <f>IF(ISBLANK('Data Input'!K339),"",'Data Input'!K339)</f>
        <v>30</v>
      </c>
      <c r="M339">
        <f>IF(ISBLANK('Data Input'!L339),"",'Data Input'!L339)</f>
        <v>7</v>
      </c>
      <c r="N339">
        <f>IF(ISBLANK('Data Input'!M339),"",'Data Input'!M339)</f>
        <v>3</v>
      </c>
      <c r="O339">
        <f>IF(ISBLANK('Data Input'!N339),"",'Data Input'!N339)</f>
        <v>4</v>
      </c>
      <c r="P339" t="str">
        <f>IF(ISBLANK('Data Input'!O339),"",'Data Input'!O339)</f>
        <v/>
      </c>
      <c r="Q339" t="str">
        <f>IF(ISBLANK('Data Input'!P339),"",'Data Input'!P339)</f>
        <v/>
      </c>
      <c r="R339" t="b">
        <f>IF(ISBLANK('Data Input'!Q339),"",'Data Input'!Q339)</f>
        <v>1</v>
      </c>
      <c r="T339" s="2">
        <f t="shared" si="22"/>
        <v>43279</v>
      </c>
      <c r="U339" s="12">
        <f t="shared" si="23"/>
        <v>0.60416666666666663</v>
      </c>
      <c r="V339" s="2">
        <f t="shared" si="24"/>
        <v>43280</v>
      </c>
      <c r="W339" s="12">
        <f t="shared" si="25"/>
        <v>0.52708333333333335</v>
      </c>
    </row>
    <row r="340" spans="1:23">
      <c r="A340">
        <f>IF(ISBLANK('Data Input'!A340),"",'Data Input'!A340)</f>
        <v>89</v>
      </c>
      <c r="B340" t="str">
        <f>IF(ISBLANK('Data Input'!B340),"",'Data Input'!B340)</f>
        <v>RT089</v>
      </c>
      <c r="C340" t="str">
        <f>IF(ISBLANK('Data Input'!C340),"",'Data Input'!C340)</f>
        <v>6/28/18 1430</v>
      </c>
      <c r="E340" t="str">
        <f>IF(ISBLANK('Data Input'!D340),"",'Data Input'!D340)</f>
        <v>6/29/18 1239</v>
      </c>
      <c r="G340">
        <f>IF(ISBLANK('Data Input'!E340),"",'Data Input'!E340)</f>
        <v>34</v>
      </c>
      <c r="H340" t="str">
        <f>IF(ISBLANK('Data Input'!F340),"",'Data Input'!F340)</f>
        <v>White</v>
      </c>
      <c r="I340" t="str">
        <f>IF(ISBLANK('Data Input'!G340),"",'Data Input'!G340)</f>
        <v>Caesarean</v>
      </c>
      <c r="J340" t="str">
        <f>IF(ISBLANK('Data Input'!I340),"",'Data Input'!I340)</f>
        <v>6=29=18 1239</v>
      </c>
      <c r="K340" t="str">
        <f>IF(ISBLANK('Data Input'!J340),"",'Data Input'!J340)</f>
        <v>rr - Percocet</v>
      </c>
      <c r="L340">
        <f>IF(ISBLANK('Data Input'!K340),"",'Data Input'!K340)</f>
        <v>1</v>
      </c>
      <c r="M340">
        <f>IF(ISBLANK('Data Input'!L340),"",'Data Input'!L340)</f>
        <v>6</v>
      </c>
      <c r="N340">
        <f>IF(ISBLANK('Data Input'!M340),"",'Data Input'!M340)</f>
        <v>1</v>
      </c>
      <c r="O340">
        <f>IF(ISBLANK('Data Input'!N340),"",'Data Input'!N340)</f>
        <v>1</v>
      </c>
      <c r="P340" t="str">
        <f>IF(ISBLANK('Data Input'!O340),"",'Data Input'!O340)</f>
        <v/>
      </c>
      <c r="Q340" t="str">
        <f>IF(ISBLANK('Data Input'!P340),"",'Data Input'!P340)</f>
        <v/>
      </c>
      <c r="R340" t="b">
        <f>IF(ISBLANK('Data Input'!Q340),"",'Data Input'!Q340)</f>
        <v>1</v>
      </c>
      <c r="T340" s="2">
        <f t="shared" si="22"/>
        <v>43279</v>
      </c>
      <c r="U340" s="12">
        <f t="shared" si="23"/>
        <v>0.60416666666666663</v>
      </c>
      <c r="V340" s="2">
        <f t="shared" si="24"/>
        <v>43280</v>
      </c>
      <c r="W340" s="12">
        <f t="shared" si="25"/>
        <v>0.52708333333333335</v>
      </c>
    </row>
    <row r="341" spans="1:23">
      <c r="A341">
        <f>IF(ISBLANK('Data Input'!A341),"",'Data Input'!A341)</f>
        <v>90</v>
      </c>
      <c r="B341" t="str">
        <f>IF(ISBLANK('Data Input'!B341),"",'Data Input'!B341)</f>
        <v>CW090</v>
      </c>
      <c r="C341" t="str">
        <f>IF(ISBLANK('Data Input'!C341),"",'Data Input'!C341)</f>
        <v>6/28/18 0215</v>
      </c>
      <c r="E341" t="str">
        <f>IF(ISBLANK('Data Input'!D341),"",'Data Input'!D341)</f>
        <v>6/29/18 0215</v>
      </c>
      <c r="G341">
        <f>IF(ISBLANK('Data Input'!E341),"",'Data Input'!E341)</f>
        <v>27</v>
      </c>
      <c r="H341" t="str">
        <f>IF(ISBLANK('Data Input'!F341),"",'Data Input'!F341)</f>
        <v>White</v>
      </c>
      <c r="I341" t="str">
        <f>IF(ISBLANK('Data Input'!G341),"",'Data Input'!G341)</f>
        <v>SVD</v>
      </c>
      <c r="J341" t="str">
        <f>IF(ISBLANK('Data Input'!I341),"",'Data Input'!I341)</f>
        <v>NA</v>
      </c>
      <c r="K341" t="str">
        <f>IF(ISBLANK('Data Input'!J341),"",'Data Input'!J341)</f>
        <v>NA</v>
      </c>
      <c r="L341" t="str">
        <f>IF(ISBLANK('Data Input'!K341),"",'Data Input'!K341)</f>
        <v>NA</v>
      </c>
      <c r="M341" t="str">
        <f>IF(ISBLANK('Data Input'!L341),"",'Data Input'!L341)</f>
        <v>NA</v>
      </c>
      <c r="N341" t="str">
        <f>IF(ISBLANK('Data Input'!M341),"",'Data Input'!M341)</f>
        <v>NA</v>
      </c>
      <c r="O341" t="str">
        <f>IF(ISBLANK('Data Input'!N341),"",'Data Input'!N341)</f>
        <v>NA</v>
      </c>
      <c r="P341" t="str">
        <f>IF(ISBLANK('Data Input'!O341),"",'Data Input'!O341)</f>
        <v/>
      </c>
      <c r="Q341" t="str">
        <f>IF(ISBLANK('Data Input'!P341),"",'Data Input'!P341)</f>
        <v/>
      </c>
      <c r="R341" t="b">
        <f>IF(ISBLANK('Data Input'!Q341),"",'Data Input'!Q341)</f>
        <v>0</v>
      </c>
      <c r="T341" s="2">
        <f t="shared" si="22"/>
        <v>43279</v>
      </c>
      <c r="U341" s="12">
        <f t="shared" si="23"/>
        <v>9.375E-2</v>
      </c>
      <c r="V341" s="2">
        <f t="shared" si="24"/>
        <v>43280</v>
      </c>
      <c r="W341" s="12">
        <f t="shared" si="25"/>
        <v>9.375E-2</v>
      </c>
    </row>
    <row r="342" spans="1:23">
      <c r="A342">
        <f>IF(ISBLANK('Data Input'!A342),"",'Data Input'!A342)</f>
        <v>91</v>
      </c>
      <c r="B342" t="str">
        <f>IF(ISBLANK('Data Input'!B342),"",'Data Input'!B342)</f>
        <v>CR091</v>
      </c>
      <c r="C342" t="str">
        <f>IF(ISBLANK('Data Input'!C342),"",'Data Input'!C342)</f>
        <v>6/28/18 1805</v>
      </c>
      <c r="E342" t="str">
        <f>IF(ISBLANK('Data Input'!D342),"",'Data Input'!D342)</f>
        <v>6/29/18 1733</v>
      </c>
      <c r="G342">
        <f>IF(ISBLANK('Data Input'!E342),"",'Data Input'!E342)</f>
        <v>34</v>
      </c>
      <c r="H342" t="str">
        <f>IF(ISBLANK('Data Input'!F342),"",'Data Input'!F342)</f>
        <v>White</v>
      </c>
      <c r="I342" t="str">
        <f>IF(ISBLANK('Data Input'!G342),"",'Data Input'!G342)</f>
        <v>SVD</v>
      </c>
      <c r="J342" t="str">
        <f>IF(ISBLANK('Data Input'!I342),"",'Data Input'!I342)</f>
        <v>6=28=18 1915</v>
      </c>
      <c r="K342" t="str">
        <f>IF(ISBLANK('Data Input'!J342),"",'Data Input'!J342)</f>
        <v>rr - Percocet</v>
      </c>
      <c r="L342">
        <f>IF(ISBLANK('Data Input'!K342),"",'Data Input'!K342)</f>
        <v>1</v>
      </c>
      <c r="M342">
        <f>IF(ISBLANK('Data Input'!L342),"",'Data Input'!L342)</f>
        <v>2</v>
      </c>
      <c r="N342">
        <f>IF(ISBLANK('Data Input'!M342),"",'Data Input'!M342)</f>
        <v>1</v>
      </c>
      <c r="O342">
        <f>IF(ISBLANK('Data Input'!N342),"",'Data Input'!N342)</f>
        <v>8</v>
      </c>
      <c r="P342" t="str">
        <f>IF(ISBLANK('Data Input'!O342),"",'Data Input'!O342)</f>
        <v/>
      </c>
      <c r="Q342" t="str">
        <f>IF(ISBLANK('Data Input'!P342),"",'Data Input'!P342)</f>
        <v/>
      </c>
      <c r="R342" t="b">
        <f>IF(ISBLANK('Data Input'!Q342),"",'Data Input'!Q342)</f>
        <v>1</v>
      </c>
      <c r="T342" s="2">
        <f t="shared" si="22"/>
        <v>43279</v>
      </c>
      <c r="U342" s="12">
        <f t="shared" si="23"/>
        <v>0.75347222222222221</v>
      </c>
      <c r="V342" s="2">
        <f t="shared" si="24"/>
        <v>43280</v>
      </c>
      <c r="W342" s="12">
        <f t="shared" si="25"/>
        <v>0.73125000000000007</v>
      </c>
    </row>
    <row r="343" spans="1:23">
      <c r="A343">
        <f>IF(ISBLANK('Data Input'!A343),"",'Data Input'!A343)</f>
        <v>91</v>
      </c>
      <c r="B343" t="str">
        <f>IF(ISBLANK('Data Input'!B343),"",'Data Input'!B343)</f>
        <v>CR091</v>
      </c>
      <c r="C343" t="str">
        <f>IF(ISBLANK('Data Input'!C343),"",'Data Input'!C343)</f>
        <v>6/28/18 1805</v>
      </c>
      <c r="E343" t="str">
        <f>IF(ISBLANK('Data Input'!D343),"",'Data Input'!D343)</f>
        <v>6/29/18 1733</v>
      </c>
      <c r="G343">
        <f>IF(ISBLANK('Data Input'!E343),"",'Data Input'!E343)</f>
        <v>34</v>
      </c>
      <c r="H343" t="str">
        <f>IF(ISBLANK('Data Input'!F343),"",'Data Input'!F343)</f>
        <v>White</v>
      </c>
      <c r="I343" t="str">
        <f>IF(ISBLANK('Data Input'!G343),"",'Data Input'!G343)</f>
        <v>SVD</v>
      </c>
      <c r="J343" t="str">
        <f>IF(ISBLANK('Data Input'!I343),"",'Data Input'!I343)</f>
        <v>6=28=18 1938</v>
      </c>
      <c r="K343" t="str">
        <f>IF(ISBLANK('Data Input'!J343),"",'Data Input'!J343)</f>
        <v>rr - Percocet</v>
      </c>
      <c r="L343">
        <f>IF(ISBLANK('Data Input'!K343),"",'Data Input'!K343)</f>
        <v>1</v>
      </c>
      <c r="M343">
        <f>IF(ISBLANK('Data Input'!L343),"",'Data Input'!L343)</f>
        <v>2</v>
      </c>
      <c r="N343">
        <f>IF(ISBLANK('Data Input'!M343),"",'Data Input'!M343)</f>
        <v>1</v>
      </c>
      <c r="O343">
        <f>IF(ISBLANK('Data Input'!N343),"",'Data Input'!N343)</f>
        <v>8</v>
      </c>
      <c r="P343" t="str">
        <f>IF(ISBLANK('Data Input'!O343),"",'Data Input'!O343)</f>
        <v/>
      </c>
      <c r="Q343" t="str">
        <f>IF(ISBLANK('Data Input'!P343),"",'Data Input'!P343)</f>
        <v/>
      </c>
      <c r="R343" t="b">
        <f>IF(ISBLANK('Data Input'!Q343),"",'Data Input'!Q343)</f>
        <v>1</v>
      </c>
      <c r="T343" s="2">
        <f t="shared" si="22"/>
        <v>43279</v>
      </c>
      <c r="U343" s="12">
        <f t="shared" si="23"/>
        <v>0.75347222222222221</v>
      </c>
      <c r="V343" s="2">
        <f t="shared" si="24"/>
        <v>43280</v>
      </c>
      <c r="W343" s="12">
        <f t="shared" si="25"/>
        <v>0.73125000000000007</v>
      </c>
    </row>
    <row r="344" spans="1:23">
      <c r="A344">
        <f>IF(ISBLANK('Data Input'!A344),"",'Data Input'!A344)</f>
        <v>91</v>
      </c>
      <c r="B344" t="str">
        <f>IF(ISBLANK('Data Input'!B344),"",'Data Input'!B344)</f>
        <v>CR091</v>
      </c>
      <c r="C344" t="str">
        <f>IF(ISBLANK('Data Input'!C344),"",'Data Input'!C344)</f>
        <v>6/28/18 1805</v>
      </c>
      <c r="E344" t="str">
        <f>IF(ISBLANK('Data Input'!D344),"",'Data Input'!D344)</f>
        <v>6/29/18 1733</v>
      </c>
      <c r="G344">
        <f>IF(ISBLANK('Data Input'!E344),"",'Data Input'!E344)</f>
        <v>34</v>
      </c>
      <c r="H344" t="str">
        <f>IF(ISBLANK('Data Input'!F344),"",'Data Input'!F344)</f>
        <v>White</v>
      </c>
      <c r="I344" t="str">
        <f>IF(ISBLANK('Data Input'!G344),"",'Data Input'!G344)</f>
        <v>SVD</v>
      </c>
      <c r="J344" t="str">
        <f>IF(ISBLANK('Data Input'!I344),"",'Data Input'!I344)</f>
        <v>6=28=18 2256</v>
      </c>
      <c r="K344" t="str">
        <f>IF(ISBLANK('Data Input'!J344),"",'Data Input'!J344)</f>
        <v>rr - Percocet</v>
      </c>
      <c r="L344">
        <f>IF(ISBLANK('Data Input'!K344),"",'Data Input'!K344)</f>
        <v>2</v>
      </c>
      <c r="M344">
        <f>IF(ISBLANK('Data Input'!L344),"",'Data Input'!L344)</f>
        <v>6</v>
      </c>
      <c r="N344">
        <f>IF(ISBLANK('Data Input'!M344),"",'Data Input'!M344)</f>
        <v>2</v>
      </c>
      <c r="O344">
        <f>IF(ISBLANK('Data Input'!N344),"",'Data Input'!N344)</f>
        <v>8</v>
      </c>
      <c r="P344" t="str">
        <f>IF(ISBLANK('Data Input'!O344),"",'Data Input'!O344)</f>
        <v/>
      </c>
      <c r="Q344" t="str">
        <f>IF(ISBLANK('Data Input'!P344),"",'Data Input'!P344)</f>
        <v/>
      </c>
      <c r="R344" t="b">
        <f>IF(ISBLANK('Data Input'!Q344),"",'Data Input'!Q344)</f>
        <v>1</v>
      </c>
      <c r="T344" s="2">
        <f t="shared" si="22"/>
        <v>43279</v>
      </c>
      <c r="U344" s="12">
        <f t="shared" si="23"/>
        <v>0.75347222222222221</v>
      </c>
      <c r="V344" s="2">
        <f t="shared" si="24"/>
        <v>43280</v>
      </c>
      <c r="W344" s="12">
        <f t="shared" si="25"/>
        <v>0.73125000000000007</v>
      </c>
    </row>
    <row r="345" spans="1:23">
      <c r="A345">
        <f>IF(ISBLANK('Data Input'!A345),"",'Data Input'!A345)</f>
        <v>91</v>
      </c>
      <c r="B345" t="str">
        <f>IF(ISBLANK('Data Input'!B345),"",'Data Input'!B345)</f>
        <v>CR091</v>
      </c>
      <c r="C345" t="str">
        <f>IF(ISBLANK('Data Input'!C345),"",'Data Input'!C345)</f>
        <v>6/28/18 1805</v>
      </c>
      <c r="E345" t="str">
        <f>IF(ISBLANK('Data Input'!D345),"",'Data Input'!D345)</f>
        <v>6/29/18 1733</v>
      </c>
      <c r="G345">
        <f>IF(ISBLANK('Data Input'!E345),"",'Data Input'!E345)</f>
        <v>34</v>
      </c>
      <c r="H345" t="str">
        <f>IF(ISBLANK('Data Input'!F345),"",'Data Input'!F345)</f>
        <v>White</v>
      </c>
      <c r="I345" t="str">
        <f>IF(ISBLANK('Data Input'!G345),"",'Data Input'!G345)</f>
        <v>SVD</v>
      </c>
      <c r="J345" t="str">
        <f>IF(ISBLANK('Data Input'!I345),"",'Data Input'!I345)</f>
        <v>6=29=18 0254</v>
      </c>
      <c r="K345" t="str">
        <f>IF(ISBLANK('Data Input'!J345),"",'Data Input'!J345)</f>
        <v>rr - Percocet</v>
      </c>
      <c r="L345">
        <f>IF(ISBLANK('Data Input'!K345),"",'Data Input'!K345)</f>
        <v>2</v>
      </c>
      <c r="M345" t="str">
        <f>IF(ISBLANK('Data Input'!L345),"",'Data Input'!L345)</f>
        <v>dd - Missing Data</v>
      </c>
      <c r="N345" t="str">
        <f>IF(ISBLANK('Data Input'!M345),"",'Data Input'!M345)</f>
        <v>dd - Missing Data</v>
      </c>
      <c r="O345" t="str">
        <f>IF(ISBLANK('Data Input'!N345),"",'Data Input'!N345)</f>
        <v/>
      </c>
      <c r="P345" t="str">
        <f>IF(ISBLANK('Data Input'!O345),"",'Data Input'!O345)</f>
        <v>Did they take it or not? Sum given for Percocet used is 8, but there are 12 Percocet on record as delivered to the patient</v>
      </c>
      <c r="Q345" t="str">
        <f>IF(ISBLANK('Data Input'!P345),"",'Data Input'!P345)</f>
        <v/>
      </c>
      <c r="R345" t="b">
        <f>IF(ISBLANK('Data Input'!Q345),"",'Data Input'!Q345)</f>
        <v>1</v>
      </c>
      <c r="T345" s="2">
        <f t="shared" si="22"/>
        <v>43279</v>
      </c>
      <c r="U345" s="12">
        <f t="shared" si="23"/>
        <v>0.75347222222222221</v>
      </c>
      <c r="V345" s="2">
        <f t="shared" si="24"/>
        <v>43280</v>
      </c>
      <c r="W345" s="12">
        <f t="shared" si="25"/>
        <v>0.73125000000000007</v>
      </c>
    </row>
    <row r="346" spans="1:23">
      <c r="A346">
        <f>IF(ISBLANK('Data Input'!A346),"",'Data Input'!A346)</f>
        <v>91</v>
      </c>
      <c r="B346" t="str">
        <f>IF(ISBLANK('Data Input'!B346),"",'Data Input'!B346)</f>
        <v>CR091</v>
      </c>
      <c r="C346" t="str">
        <f>IF(ISBLANK('Data Input'!C346),"",'Data Input'!C346)</f>
        <v>6/28/18 1805</v>
      </c>
      <c r="E346" t="str">
        <f>IF(ISBLANK('Data Input'!D346),"",'Data Input'!D346)</f>
        <v>6/29/18 1733</v>
      </c>
      <c r="G346">
        <f>IF(ISBLANK('Data Input'!E346),"",'Data Input'!E346)</f>
        <v>34</v>
      </c>
      <c r="H346" t="str">
        <f>IF(ISBLANK('Data Input'!F346),"",'Data Input'!F346)</f>
        <v>White</v>
      </c>
      <c r="I346" t="str">
        <f>IF(ISBLANK('Data Input'!G346),"",'Data Input'!G346)</f>
        <v>SVD</v>
      </c>
      <c r="J346" t="str">
        <f>IF(ISBLANK('Data Input'!I346),"",'Data Input'!I346)</f>
        <v>6=29=18 0852</v>
      </c>
      <c r="K346" t="str">
        <f>IF(ISBLANK('Data Input'!J346),"",'Data Input'!J346)</f>
        <v>rr - Percocet</v>
      </c>
      <c r="L346">
        <f>IF(ISBLANK('Data Input'!K346),"",'Data Input'!K346)</f>
        <v>2</v>
      </c>
      <c r="M346">
        <f>IF(ISBLANK('Data Input'!L346),"",'Data Input'!L346)</f>
        <v>2</v>
      </c>
      <c r="N346">
        <f>IF(ISBLANK('Data Input'!M346),"",'Data Input'!M346)</f>
        <v>2</v>
      </c>
      <c r="O346">
        <f>IF(ISBLANK('Data Input'!N346),"",'Data Input'!N346)</f>
        <v>8</v>
      </c>
      <c r="P346" t="str">
        <f>IF(ISBLANK('Data Input'!O346),"",'Data Input'!O346)</f>
        <v/>
      </c>
      <c r="Q346" t="str">
        <f>IF(ISBLANK('Data Input'!P346),"",'Data Input'!P346)</f>
        <v/>
      </c>
      <c r="R346" t="b">
        <f>IF(ISBLANK('Data Input'!Q346),"",'Data Input'!Q346)</f>
        <v>1</v>
      </c>
      <c r="T346" s="2">
        <f t="shared" si="22"/>
        <v>43279</v>
      </c>
      <c r="U346" s="12">
        <f t="shared" si="23"/>
        <v>0.75347222222222221</v>
      </c>
      <c r="V346" s="2">
        <f t="shared" si="24"/>
        <v>43280</v>
      </c>
      <c r="W346" s="12">
        <f t="shared" si="25"/>
        <v>0.73125000000000007</v>
      </c>
    </row>
    <row r="347" spans="1:23">
      <c r="A347">
        <f>IF(ISBLANK('Data Input'!A347),"",'Data Input'!A347)</f>
        <v>91</v>
      </c>
      <c r="B347" t="str">
        <f>IF(ISBLANK('Data Input'!B347),"",'Data Input'!B347)</f>
        <v>CR091</v>
      </c>
      <c r="C347" t="str">
        <f>IF(ISBLANK('Data Input'!C347),"",'Data Input'!C347)</f>
        <v>6/28/18 1805</v>
      </c>
      <c r="E347" t="str">
        <f>IF(ISBLANK('Data Input'!D347),"",'Data Input'!D347)</f>
        <v>6/29/18 1733</v>
      </c>
      <c r="G347">
        <f>IF(ISBLANK('Data Input'!E347),"",'Data Input'!E347)</f>
        <v>34</v>
      </c>
      <c r="H347" t="str">
        <f>IF(ISBLANK('Data Input'!F347),"",'Data Input'!F347)</f>
        <v>White</v>
      </c>
      <c r="I347" t="str">
        <f>IF(ISBLANK('Data Input'!G347),"",'Data Input'!G347)</f>
        <v>SVD</v>
      </c>
      <c r="J347" t="str">
        <f>IF(ISBLANK('Data Input'!I347),"",'Data Input'!I347)</f>
        <v>6=29=18 1352</v>
      </c>
      <c r="K347" t="str">
        <f>IF(ISBLANK('Data Input'!J347),"",'Data Input'!J347)</f>
        <v>rr - Percocet</v>
      </c>
      <c r="L347">
        <f>IF(ISBLANK('Data Input'!K347),"",'Data Input'!K347)</f>
        <v>2</v>
      </c>
      <c r="M347">
        <f>IF(ISBLANK('Data Input'!L347),"",'Data Input'!L347)</f>
        <v>5</v>
      </c>
      <c r="N347">
        <f>IF(ISBLANK('Data Input'!M347),"",'Data Input'!M347)</f>
        <v>2</v>
      </c>
      <c r="O347">
        <f>IF(ISBLANK('Data Input'!N347),"",'Data Input'!N347)</f>
        <v>8</v>
      </c>
      <c r="P347" t="str">
        <f>IF(ISBLANK('Data Input'!O347),"",'Data Input'!O347)</f>
        <v/>
      </c>
      <c r="Q347" t="str">
        <f>IF(ISBLANK('Data Input'!P347),"",'Data Input'!P347)</f>
        <v/>
      </c>
      <c r="R347" t="b">
        <f>IF(ISBLANK('Data Input'!Q347),"",'Data Input'!Q347)</f>
        <v>1</v>
      </c>
      <c r="T347" s="2">
        <f t="shared" si="22"/>
        <v>43279</v>
      </c>
      <c r="U347" s="12">
        <f t="shared" si="23"/>
        <v>0.75347222222222221</v>
      </c>
      <c r="V347" s="2">
        <f t="shared" si="24"/>
        <v>43280</v>
      </c>
      <c r="W347" s="12">
        <f t="shared" si="25"/>
        <v>0.73125000000000007</v>
      </c>
    </row>
    <row r="348" spans="1:23">
      <c r="A348">
        <f>IF(ISBLANK('Data Input'!A348),"",'Data Input'!A348)</f>
        <v>91</v>
      </c>
      <c r="B348" t="str">
        <f>IF(ISBLANK('Data Input'!B348),"",'Data Input'!B348)</f>
        <v>CR091</v>
      </c>
      <c r="C348" t="str">
        <f>IF(ISBLANK('Data Input'!C348),"",'Data Input'!C348)</f>
        <v>6/28/18 1805</v>
      </c>
      <c r="E348" t="str">
        <f>IF(ISBLANK('Data Input'!D348),"",'Data Input'!D348)</f>
        <v>6/29/18 1733</v>
      </c>
      <c r="G348">
        <f>IF(ISBLANK('Data Input'!E348),"",'Data Input'!E348)</f>
        <v>34</v>
      </c>
      <c r="H348" t="str">
        <f>IF(ISBLANK('Data Input'!F348),"",'Data Input'!F348)</f>
        <v>White</v>
      </c>
      <c r="I348" t="str">
        <f>IF(ISBLANK('Data Input'!G348),"",'Data Input'!G348)</f>
        <v>SVD</v>
      </c>
      <c r="J348" t="str">
        <f>IF(ISBLANK('Data Input'!I348),"",'Data Input'!I348)</f>
        <v>6=29=18 1733</v>
      </c>
      <c r="K348" t="str">
        <f>IF(ISBLANK('Data Input'!J348),"",'Data Input'!J348)</f>
        <v>rr - Percocet</v>
      </c>
      <c r="L348">
        <f>IF(ISBLANK('Data Input'!K348),"",'Data Input'!K348)</f>
        <v>2</v>
      </c>
      <c r="M348" t="str">
        <f>IF(ISBLANK('Data Input'!L348),"",'Data Input'!L348)</f>
        <v>dd - Missing Data</v>
      </c>
      <c r="N348" t="str">
        <f>IF(ISBLANK('Data Input'!M348),"",'Data Input'!M348)</f>
        <v>dd - Missing Data</v>
      </c>
      <c r="O348" t="str">
        <f>IF(ISBLANK('Data Input'!N348),"",'Data Input'!N348)</f>
        <v/>
      </c>
      <c r="P348" t="str">
        <f>IF(ISBLANK('Data Input'!O348),"",'Data Input'!O348)</f>
        <v>Did they take it or not? Sum given for Percocet used is 8, but there are 12 Percocet on record as delivered to the patient</v>
      </c>
      <c r="Q348" t="str">
        <f>IF(ISBLANK('Data Input'!P348),"",'Data Input'!P348)</f>
        <v/>
      </c>
      <c r="R348" t="b">
        <f>IF(ISBLANK('Data Input'!Q348),"",'Data Input'!Q348)</f>
        <v>1</v>
      </c>
      <c r="T348" s="2">
        <f t="shared" si="22"/>
        <v>43279</v>
      </c>
      <c r="U348" s="12">
        <f t="shared" si="23"/>
        <v>0.75347222222222221</v>
      </c>
      <c r="V348" s="2">
        <f t="shared" si="24"/>
        <v>43280</v>
      </c>
      <c r="W348" s="12">
        <f t="shared" si="25"/>
        <v>0.73125000000000007</v>
      </c>
    </row>
    <row r="349" spans="1:23">
      <c r="A349">
        <f>IF(ISBLANK('Data Input'!A349),"",'Data Input'!A349)</f>
        <v>92</v>
      </c>
      <c r="B349" t="str">
        <f>IF(ISBLANK('Data Input'!B349),"",'Data Input'!B349)</f>
        <v>JF092</v>
      </c>
      <c r="C349" t="str">
        <f>IF(ISBLANK('Data Input'!C349),"",'Data Input'!C349)</f>
        <v>6/28/18 1945</v>
      </c>
      <c r="E349" t="str">
        <f>IF(ISBLANK('Data Input'!D349),"",'Data Input'!D349)</f>
        <v>6/29/18 1752</v>
      </c>
      <c r="G349">
        <f>IF(ISBLANK('Data Input'!E349),"",'Data Input'!E349)</f>
        <v>23</v>
      </c>
      <c r="H349" t="str">
        <f>IF(ISBLANK('Data Input'!F349),"",'Data Input'!F349)</f>
        <v>bb - Black</v>
      </c>
      <c r="I349" t="str">
        <f>IF(ISBLANK('Data Input'!G349),"",'Data Input'!G349)</f>
        <v>SVD</v>
      </c>
      <c r="J349" t="str">
        <f>IF(ISBLANK('Data Input'!I349),"",'Data Input'!I349)</f>
        <v>6=28=18 2233</v>
      </c>
      <c r="K349" t="str">
        <f>IF(ISBLANK('Data Input'!J349),"",'Data Input'!J349)</f>
        <v>bb - Ibuprofen</v>
      </c>
      <c r="L349">
        <f>IF(ISBLANK('Data Input'!K349),"",'Data Input'!K349)</f>
        <v>800</v>
      </c>
      <c r="M349" t="str">
        <f>IF(ISBLANK('Data Input'!L349),"",'Data Input'!L349)</f>
        <v>dd - Missing Data</v>
      </c>
      <c r="N349" t="str">
        <f>IF(ISBLANK('Data Input'!M349),"",'Data Input'!M349)</f>
        <v>dd - Missing Data</v>
      </c>
      <c r="O349" t="str">
        <f>IF(ISBLANK('Data Input'!N349),"",'Data Input'!N349)</f>
        <v/>
      </c>
      <c r="P349" t="str">
        <f>IF(ISBLANK('Data Input'!O349),"",'Data Input'!O349)</f>
        <v/>
      </c>
      <c r="Q349" t="str">
        <f>IF(ISBLANK('Data Input'!P349),"",'Data Input'!P349)</f>
        <v/>
      </c>
      <c r="R349" t="b">
        <f>IF(ISBLANK('Data Input'!Q349),"",'Data Input'!Q349)</f>
        <v>0</v>
      </c>
      <c r="T349" s="2">
        <f t="shared" si="22"/>
        <v>43279</v>
      </c>
      <c r="U349" s="12">
        <f t="shared" si="23"/>
        <v>0.82291666666666663</v>
      </c>
      <c r="V349" s="2">
        <f t="shared" si="24"/>
        <v>43280</v>
      </c>
      <c r="W349" s="12">
        <f t="shared" si="25"/>
        <v>0.74444444444444446</v>
      </c>
    </row>
    <row r="350" spans="1:23">
      <c r="A350">
        <f>IF(ISBLANK('Data Input'!A350),"",'Data Input'!A350)</f>
        <v>92</v>
      </c>
      <c r="B350" t="str">
        <f>IF(ISBLANK('Data Input'!B350),"",'Data Input'!B350)</f>
        <v>JF092</v>
      </c>
      <c r="C350" t="str">
        <f>IF(ISBLANK('Data Input'!C350),"",'Data Input'!C350)</f>
        <v>6/28/18 1945</v>
      </c>
      <c r="E350" t="str">
        <f>IF(ISBLANK('Data Input'!D350),"",'Data Input'!D350)</f>
        <v>6/29/18 1752</v>
      </c>
      <c r="G350">
        <f>IF(ISBLANK('Data Input'!E350),"",'Data Input'!E350)</f>
        <v>23</v>
      </c>
      <c r="H350" t="str">
        <f>IF(ISBLANK('Data Input'!F350),"",'Data Input'!F350)</f>
        <v>bb - Black</v>
      </c>
      <c r="I350" t="str">
        <f>IF(ISBLANK('Data Input'!G350),"",'Data Input'!G350)</f>
        <v>SVD</v>
      </c>
      <c r="J350" t="str">
        <f>IF(ISBLANK('Data Input'!I350),"",'Data Input'!I350)</f>
        <v>6=29=18 0531</v>
      </c>
      <c r="K350" t="str">
        <f>IF(ISBLANK('Data Input'!J350),"",'Data Input'!J350)</f>
        <v>bb - Ibuprofen</v>
      </c>
      <c r="L350">
        <f>IF(ISBLANK('Data Input'!K350),"",'Data Input'!K350)</f>
        <v>800</v>
      </c>
      <c r="M350" t="str">
        <f>IF(ISBLANK('Data Input'!L350),"",'Data Input'!L350)</f>
        <v>dd - Missing Data</v>
      </c>
      <c r="N350" t="str">
        <f>IF(ISBLANK('Data Input'!M350),"",'Data Input'!M350)</f>
        <v>dd - Missing Data</v>
      </c>
      <c r="O350" t="str">
        <f>IF(ISBLANK('Data Input'!N350),"",'Data Input'!N350)</f>
        <v/>
      </c>
      <c r="P350" t="str">
        <f>IF(ISBLANK('Data Input'!O350),"",'Data Input'!O350)</f>
        <v/>
      </c>
      <c r="Q350" t="str">
        <f>IF(ISBLANK('Data Input'!P350),"",'Data Input'!P350)</f>
        <v/>
      </c>
      <c r="R350" t="b">
        <f>IF(ISBLANK('Data Input'!Q350),"",'Data Input'!Q350)</f>
        <v>0</v>
      </c>
      <c r="T350" s="2">
        <f t="shared" si="22"/>
        <v>43279</v>
      </c>
      <c r="U350" s="12">
        <f t="shared" si="23"/>
        <v>0.82291666666666663</v>
      </c>
      <c r="V350" s="2">
        <f t="shared" si="24"/>
        <v>43280</v>
      </c>
      <c r="W350" s="12">
        <f t="shared" si="25"/>
        <v>0.74444444444444446</v>
      </c>
    </row>
    <row r="351" spans="1:23">
      <c r="A351">
        <f>IF(ISBLANK('Data Input'!A351),"",'Data Input'!A351)</f>
        <v>92</v>
      </c>
      <c r="B351" t="str">
        <f>IF(ISBLANK('Data Input'!B351),"",'Data Input'!B351)</f>
        <v>JF092</v>
      </c>
      <c r="C351" t="str">
        <f>IF(ISBLANK('Data Input'!C351),"",'Data Input'!C351)</f>
        <v>6/28/18 1945</v>
      </c>
      <c r="E351" t="str">
        <f>IF(ISBLANK('Data Input'!D351),"",'Data Input'!D351)</f>
        <v>6/29/18 1752</v>
      </c>
      <c r="G351">
        <f>IF(ISBLANK('Data Input'!E351),"",'Data Input'!E351)</f>
        <v>23</v>
      </c>
      <c r="H351" t="str">
        <f>IF(ISBLANK('Data Input'!F351),"",'Data Input'!F351)</f>
        <v>bb - Black</v>
      </c>
      <c r="I351" t="str">
        <f>IF(ISBLANK('Data Input'!G351),"",'Data Input'!G351)</f>
        <v>SVD</v>
      </c>
      <c r="J351" t="str">
        <f>IF(ISBLANK('Data Input'!I351),"",'Data Input'!I351)</f>
        <v>6=29=18 1223</v>
      </c>
      <c r="K351" t="str">
        <f>IF(ISBLANK('Data Input'!J351),"",'Data Input'!J351)</f>
        <v>bb - Ibuprofen</v>
      </c>
      <c r="L351">
        <f>IF(ISBLANK('Data Input'!K351),"",'Data Input'!K351)</f>
        <v>800</v>
      </c>
      <c r="M351" t="str">
        <f>IF(ISBLANK('Data Input'!L351),"",'Data Input'!L351)</f>
        <v>dd - Missing Data</v>
      </c>
      <c r="N351" t="str">
        <f>IF(ISBLANK('Data Input'!M351),"",'Data Input'!M351)</f>
        <v>dd - Missing Data</v>
      </c>
      <c r="O351" t="str">
        <f>IF(ISBLANK('Data Input'!N351),"",'Data Input'!N351)</f>
        <v/>
      </c>
      <c r="P351" t="str">
        <f>IF(ISBLANK('Data Input'!O351),"",'Data Input'!O351)</f>
        <v/>
      </c>
      <c r="Q351" t="str">
        <f>IF(ISBLANK('Data Input'!P351),"",'Data Input'!P351)</f>
        <v/>
      </c>
      <c r="R351" t="b">
        <f>IF(ISBLANK('Data Input'!Q351),"",'Data Input'!Q351)</f>
        <v>0</v>
      </c>
      <c r="T351" s="2">
        <f t="shared" si="22"/>
        <v>43279</v>
      </c>
      <c r="U351" s="12">
        <f t="shared" si="23"/>
        <v>0.82291666666666663</v>
      </c>
      <c r="V351" s="2">
        <f t="shared" si="24"/>
        <v>43280</v>
      </c>
      <c r="W351" s="12">
        <f t="shared" si="25"/>
        <v>0.74444444444444446</v>
      </c>
    </row>
    <row r="352" spans="1:23">
      <c r="A352">
        <f>IF(ISBLANK('Data Input'!A352),"",'Data Input'!A352)</f>
        <v>92</v>
      </c>
      <c r="B352" t="str">
        <f>IF(ISBLANK('Data Input'!B352),"",'Data Input'!B352)</f>
        <v>JF092</v>
      </c>
      <c r="C352" t="str">
        <f>IF(ISBLANK('Data Input'!C352),"",'Data Input'!C352)</f>
        <v>6/28/18 1945</v>
      </c>
      <c r="E352" t="str">
        <f>IF(ISBLANK('Data Input'!D352),"",'Data Input'!D352)</f>
        <v>6/29/18 1752</v>
      </c>
      <c r="G352">
        <f>IF(ISBLANK('Data Input'!E352),"",'Data Input'!E352)</f>
        <v>23</v>
      </c>
      <c r="H352" t="str">
        <f>IF(ISBLANK('Data Input'!F352),"",'Data Input'!F352)</f>
        <v>bb - Black</v>
      </c>
      <c r="I352" t="str">
        <f>IF(ISBLANK('Data Input'!G352),"",'Data Input'!G352)</f>
        <v>SVD</v>
      </c>
      <c r="J352" t="str">
        <f>IF(ISBLANK('Data Input'!I352),"",'Data Input'!I352)</f>
        <v>6=29=18 1752</v>
      </c>
      <c r="K352" t="str">
        <f>IF(ISBLANK('Data Input'!J352),"",'Data Input'!J352)</f>
        <v>cc - Norco</v>
      </c>
      <c r="L352">
        <f>IF(ISBLANK('Data Input'!K352),"",'Data Input'!K352)</f>
        <v>1</v>
      </c>
      <c r="M352">
        <f>IF(ISBLANK('Data Input'!L352),"",'Data Input'!L352)</f>
        <v>5</v>
      </c>
      <c r="N352">
        <f>IF(ISBLANK('Data Input'!M352),"",'Data Input'!M352)</f>
        <v>0</v>
      </c>
      <c r="O352">
        <f>IF(ISBLANK('Data Input'!N352),"",'Data Input'!N352)</f>
        <v>1</v>
      </c>
      <c r="P352" t="str">
        <f>IF(ISBLANK('Data Input'!O352),"",'Data Input'!O352)</f>
        <v/>
      </c>
      <c r="Q352" t="str">
        <f>IF(ISBLANK('Data Input'!P352),"",'Data Input'!P352)</f>
        <v/>
      </c>
      <c r="R352" t="b">
        <f>IF(ISBLANK('Data Input'!Q352),"",'Data Input'!Q352)</f>
        <v>0</v>
      </c>
      <c r="T352" s="2">
        <f t="shared" si="22"/>
        <v>43279</v>
      </c>
      <c r="U352" s="12">
        <f t="shared" si="23"/>
        <v>0.82291666666666663</v>
      </c>
      <c r="V352" s="2">
        <f t="shared" si="24"/>
        <v>43280</v>
      </c>
      <c r="W352" s="12">
        <f t="shared" si="25"/>
        <v>0.74444444444444446</v>
      </c>
    </row>
    <row r="353" spans="1:23">
      <c r="A353">
        <f>IF(ISBLANK('Data Input'!A353),"",'Data Input'!A353)</f>
        <v>93</v>
      </c>
      <c r="B353" t="str">
        <f>IF(ISBLANK('Data Input'!B353),"",'Data Input'!B353)</f>
        <v>KM093</v>
      </c>
      <c r="C353" t="str">
        <f>IF(ISBLANK('Data Input'!C353),"",'Data Input'!C353)</f>
        <v>6/29/18 0949</v>
      </c>
      <c r="E353" t="str">
        <f>IF(ISBLANK('Data Input'!D353),"",'Data Input'!D353)</f>
        <v>6/30/18 0849</v>
      </c>
      <c r="G353">
        <f>IF(ISBLANK('Data Input'!E353),"",'Data Input'!E353)</f>
        <v>30</v>
      </c>
      <c r="H353" t="str">
        <f>IF(ISBLANK('Data Input'!F353),"",'Data Input'!F353)</f>
        <v>White</v>
      </c>
      <c r="I353" t="str">
        <f>IF(ISBLANK('Data Input'!G353),"",'Data Input'!G353)</f>
        <v>Caesarean</v>
      </c>
      <c r="J353" t="str">
        <f>IF(ISBLANK('Data Input'!I353),"",'Data Input'!I353)</f>
        <v>6=29=18 1245</v>
      </c>
      <c r="K353" t="str">
        <f>IF(ISBLANK('Data Input'!J353),"",'Data Input'!J353)</f>
        <v>tr - Toradol</v>
      </c>
      <c r="L353">
        <f>IF(ISBLANK('Data Input'!K353),"",'Data Input'!K353)</f>
        <v>30</v>
      </c>
      <c r="M353">
        <f>IF(ISBLANK('Data Input'!L353),"",'Data Input'!L353)</f>
        <v>0</v>
      </c>
      <c r="N353">
        <f>IF(ISBLANK('Data Input'!M353),"",'Data Input'!M353)</f>
        <v>0</v>
      </c>
      <c r="O353" t="str">
        <f>IF(ISBLANK('Data Input'!N353),"",'Data Input'!N353)</f>
        <v/>
      </c>
      <c r="P353" t="str">
        <f>IF(ISBLANK('Data Input'!O353),"",'Data Input'!O353)</f>
        <v/>
      </c>
      <c r="Q353" t="str">
        <f>IF(ISBLANK('Data Input'!P353),"",'Data Input'!P353)</f>
        <v/>
      </c>
      <c r="R353" t="b">
        <f>IF(ISBLANK('Data Input'!Q353),"",'Data Input'!Q353)</f>
        <v>1</v>
      </c>
      <c r="T353" s="2">
        <f t="shared" si="22"/>
        <v>43280</v>
      </c>
      <c r="U353" s="12">
        <f t="shared" si="23"/>
        <v>0.40902777777777777</v>
      </c>
      <c r="V353" s="2">
        <f t="shared" si="24"/>
        <v>43281</v>
      </c>
      <c r="W353" s="12">
        <f t="shared" si="25"/>
        <v>0.36736111111111108</v>
      </c>
    </row>
    <row r="354" spans="1:23">
      <c r="A354">
        <f>IF(ISBLANK('Data Input'!A354),"",'Data Input'!A354)</f>
        <v>93</v>
      </c>
      <c r="B354" t="str">
        <f>IF(ISBLANK('Data Input'!B354),"",'Data Input'!B354)</f>
        <v>KM093</v>
      </c>
      <c r="C354" t="str">
        <f>IF(ISBLANK('Data Input'!C354),"",'Data Input'!C354)</f>
        <v>6/29/18 0949</v>
      </c>
      <c r="E354" t="str">
        <f>IF(ISBLANK('Data Input'!D354),"",'Data Input'!D354)</f>
        <v>6/30/18 0849</v>
      </c>
      <c r="G354">
        <f>IF(ISBLANK('Data Input'!E354),"",'Data Input'!E354)</f>
        <v>30</v>
      </c>
      <c r="H354" t="str">
        <f>IF(ISBLANK('Data Input'!F354),"",'Data Input'!F354)</f>
        <v>White</v>
      </c>
      <c r="I354" t="str">
        <f>IF(ISBLANK('Data Input'!G354),"",'Data Input'!G354)</f>
        <v>Caesarean</v>
      </c>
      <c r="J354" t="str">
        <f>IF(ISBLANK('Data Input'!I354),"",'Data Input'!I354)</f>
        <v>6=29=18 2052</v>
      </c>
      <c r="K354" t="str">
        <f>IF(ISBLANK('Data Input'!J354),"",'Data Input'!J354)</f>
        <v>tr - Toradol</v>
      </c>
      <c r="L354">
        <f>IF(ISBLANK('Data Input'!K354),"",'Data Input'!K354)</f>
        <v>30</v>
      </c>
      <c r="M354">
        <f>IF(ISBLANK('Data Input'!L354),"",'Data Input'!L354)</f>
        <v>0</v>
      </c>
      <c r="N354">
        <f>IF(ISBLANK('Data Input'!M354),"",'Data Input'!M354)</f>
        <v>0</v>
      </c>
      <c r="O354" t="str">
        <f>IF(ISBLANK('Data Input'!N354),"",'Data Input'!N354)</f>
        <v/>
      </c>
      <c r="P354" t="str">
        <f>IF(ISBLANK('Data Input'!O354),"",'Data Input'!O354)</f>
        <v/>
      </c>
      <c r="Q354" t="str">
        <f>IF(ISBLANK('Data Input'!P354),"",'Data Input'!P354)</f>
        <v/>
      </c>
      <c r="R354" t="b">
        <f>IF(ISBLANK('Data Input'!Q354),"",'Data Input'!Q354)</f>
        <v>1</v>
      </c>
      <c r="T354" s="2">
        <f t="shared" si="22"/>
        <v>43280</v>
      </c>
      <c r="U354" s="12">
        <f t="shared" si="23"/>
        <v>0.40902777777777777</v>
      </c>
      <c r="V354" s="2">
        <f t="shared" si="24"/>
        <v>43281</v>
      </c>
      <c r="W354" s="12">
        <f t="shared" si="25"/>
        <v>0.36736111111111108</v>
      </c>
    </row>
    <row r="355" spans="1:23">
      <c r="A355">
        <f>IF(ISBLANK('Data Input'!A355),"",'Data Input'!A355)</f>
        <v>93</v>
      </c>
      <c r="B355" t="str">
        <f>IF(ISBLANK('Data Input'!B355),"",'Data Input'!B355)</f>
        <v>KM093</v>
      </c>
      <c r="C355" t="str">
        <f>IF(ISBLANK('Data Input'!C355),"",'Data Input'!C355)</f>
        <v>6/29/18 0949</v>
      </c>
      <c r="E355" t="str">
        <f>IF(ISBLANK('Data Input'!D355),"",'Data Input'!D355)</f>
        <v>6/30/18 0849</v>
      </c>
      <c r="G355">
        <f>IF(ISBLANK('Data Input'!E355),"",'Data Input'!E355)</f>
        <v>30</v>
      </c>
      <c r="H355" t="str">
        <f>IF(ISBLANK('Data Input'!F355),"",'Data Input'!F355)</f>
        <v>White</v>
      </c>
      <c r="I355" t="str">
        <f>IF(ISBLANK('Data Input'!G355),"",'Data Input'!G355)</f>
        <v>Caesarean</v>
      </c>
      <c r="J355" t="str">
        <f>IF(ISBLANK('Data Input'!I355),"",'Data Input'!I355)</f>
        <v>6=30=18 0302</v>
      </c>
      <c r="K355" t="str">
        <f>IF(ISBLANK('Data Input'!J355),"",'Data Input'!J355)</f>
        <v>tr - Toradol</v>
      </c>
      <c r="L355">
        <f>IF(ISBLANK('Data Input'!K355),"",'Data Input'!K355)</f>
        <v>30</v>
      </c>
      <c r="M355">
        <f>IF(ISBLANK('Data Input'!L355),"",'Data Input'!L355)</f>
        <v>0</v>
      </c>
      <c r="N355">
        <f>IF(ISBLANK('Data Input'!M355),"",'Data Input'!M355)</f>
        <v>0</v>
      </c>
      <c r="O355" t="str">
        <f>IF(ISBLANK('Data Input'!N355),"",'Data Input'!N355)</f>
        <v/>
      </c>
      <c r="P355" t="str">
        <f>IF(ISBLANK('Data Input'!O355),"",'Data Input'!O355)</f>
        <v/>
      </c>
      <c r="Q355" t="str">
        <f>IF(ISBLANK('Data Input'!P355),"",'Data Input'!P355)</f>
        <v/>
      </c>
      <c r="R355" t="b">
        <f>IF(ISBLANK('Data Input'!Q355),"",'Data Input'!Q355)</f>
        <v>1</v>
      </c>
      <c r="T355" s="2">
        <f t="shared" si="22"/>
        <v>43280</v>
      </c>
      <c r="U355" s="12">
        <f t="shared" si="23"/>
        <v>0.40902777777777777</v>
      </c>
      <c r="V355" s="2">
        <f t="shared" si="24"/>
        <v>43281</v>
      </c>
      <c r="W355" s="12">
        <f t="shared" si="25"/>
        <v>0.36736111111111108</v>
      </c>
    </row>
    <row r="356" spans="1:23">
      <c r="A356">
        <f>IF(ISBLANK('Data Input'!A356),"",'Data Input'!A356)</f>
        <v>93</v>
      </c>
      <c r="B356" t="str">
        <f>IF(ISBLANK('Data Input'!B356),"",'Data Input'!B356)</f>
        <v>KM093</v>
      </c>
      <c r="C356" t="str">
        <f>IF(ISBLANK('Data Input'!C356),"",'Data Input'!C356)</f>
        <v>6/29/18 0949</v>
      </c>
      <c r="E356" t="str">
        <f>IF(ISBLANK('Data Input'!D356),"",'Data Input'!D356)</f>
        <v>6/30/18 0849</v>
      </c>
      <c r="G356">
        <f>IF(ISBLANK('Data Input'!E356),"",'Data Input'!E356)</f>
        <v>30</v>
      </c>
      <c r="H356" t="str">
        <f>IF(ISBLANK('Data Input'!F356),"",'Data Input'!F356)</f>
        <v>White</v>
      </c>
      <c r="I356" t="str">
        <f>IF(ISBLANK('Data Input'!G356),"",'Data Input'!G356)</f>
        <v>Caesarean</v>
      </c>
      <c r="J356" t="str">
        <f>IF(ISBLANK('Data Input'!I356),"",'Data Input'!I356)</f>
        <v>6=30=18 0849</v>
      </c>
      <c r="K356" t="str">
        <f>IF(ISBLANK('Data Input'!J356),"",'Data Input'!J356)</f>
        <v>tr - Toradol</v>
      </c>
      <c r="L356">
        <f>IF(ISBLANK('Data Input'!K356),"",'Data Input'!K356)</f>
        <v>30</v>
      </c>
      <c r="M356">
        <f>IF(ISBLANK('Data Input'!L356),"",'Data Input'!L356)</f>
        <v>1</v>
      </c>
      <c r="N356">
        <f>IF(ISBLANK('Data Input'!M356),"",'Data Input'!M356)</f>
        <v>0</v>
      </c>
      <c r="O356" t="str">
        <f>IF(ISBLANK('Data Input'!N356),"",'Data Input'!N356)</f>
        <v/>
      </c>
      <c r="P356" t="str">
        <f>IF(ISBLANK('Data Input'!O356),"",'Data Input'!O356)</f>
        <v/>
      </c>
      <c r="Q356" t="str">
        <f>IF(ISBLANK('Data Input'!P356),"",'Data Input'!P356)</f>
        <v/>
      </c>
      <c r="R356" t="b">
        <f>IF(ISBLANK('Data Input'!Q356),"",'Data Input'!Q356)</f>
        <v>1</v>
      </c>
      <c r="T356" s="2">
        <f t="shared" si="22"/>
        <v>43280</v>
      </c>
      <c r="U356" s="12">
        <f t="shared" si="23"/>
        <v>0.40902777777777777</v>
      </c>
      <c r="V356" s="2">
        <f t="shared" si="24"/>
        <v>43281</v>
      </c>
      <c r="W356" s="12">
        <f t="shared" si="25"/>
        <v>0.36736111111111108</v>
      </c>
    </row>
    <row r="357" spans="1:23">
      <c r="A357">
        <f>IF(ISBLANK('Data Input'!A357),"",'Data Input'!A357)</f>
        <v>94</v>
      </c>
      <c r="B357" t="str">
        <f>IF(ISBLANK('Data Input'!B357),"",'Data Input'!B357)</f>
        <v>JK094</v>
      </c>
      <c r="C357" t="str">
        <f>IF(ISBLANK('Data Input'!C357),"",'Data Input'!C357)</f>
        <v>6/27/18 1900</v>
      </c>
      <c r="E357" t="str">
        <f>IF(ISBLANK('Data Input'!D357),"",'Data Input'!D357)</f>
        <v>6/28/18 1900</v>
      </c>
      <c r="G357">
        <f>IF(ISBLANK('Data Input'!E357),"",'Data Input'!E357)</f>
        <v>26</v>
      </c>
      <c r="H357" t="str">
        <f>IF(ISBLANK('Data Input'!F357),"",'Data Input'!F357)</f>
        <v>bb - Black</v>
      </c>
      <c r="I357" t="str">
        <f>IF(ISBLANK('Data Input'!G357),"",'Data Input'!G357)</f>
        <v>SVD</v>
      </c>
      <c r="J357" t="str">
        <f>IF(ISBLANK('Data Input'!I357),"",'Data Input'!I357)</f>
        <v>6=28=18 0842</v>
      </c>
      <c r="K357" t="str">
        <f>IF(ISBLANK('Data Input'!J357),"",'Data Input'!J357)</f>
        <v>bb - Ibuprofen</v>
      </c>
      <c r="L357">
        <f>IF(ISBLANK('Data Input'!K357),"",'Data Input'!K357)</f>
        <v>800</v>
      </c>
      <c r="M357">
        <f>IF(ISBLANK('Data Input'!L357),"",'Data Input'!L357)</f>
        <v>2</v>
      </c>
      <c r="N357">
        <f>IF(ISBLANK('Data Input'!M357),"",'Data Input'!M357)</f>
        <v>0</v>
      </c>
      <c r="O357" t="str">
        <f>IF(ISBLANK('Data Input'!N357),"",'Data Input'!N357)</f>
        <v/>
      </c>
      <c r="P357" t="str">
        <f>IF(ISBLANK('Data Input'!O357),"",'Data Input'!O357)</f>
        <v/>
      </c>
      <c r="Q357" t="str">
        <f>IF(ISBLANK('Data Input'!P357),"",'Data Input'!P357)</f>
        <v/>
      </c>
      <c r="R357" t="b">
        <f>IF(ISBLANK('Data Input'!Q357),"",'Data Input'!Q357)</f>
        <v>0</v>
      </c>
      <c r="T357" s="2">
        <f t="shared" si="22"/>
        <v>43278</v>
      </c>
      <c r="U357" s="12">
        <f t="shared" si="23"/>
        <v>0.79166666666666663</v>
      </c>
      <c r="V357" s="2">
        <f t="shared" si="24"/>
        <v>43279</v>
      </c>
      <c r="W357" s="12">
        <f t="shared" si="25"/>
        <v>0.79166666666666663</v>
      </c>
    </row>
    <row r="358" spans="1:23">
      <c r="A358">
        <f>IF(ISBLANK('Data Input'!A358),"",'Data Input'!A358)</f>
        <v>95</v>
      </c>
      <c r="B358" t="str">
        <f>IF(ISBLANK('Data Input'!B358),"",'Data Input'!B358)</f>
        <v>AB095</v>
      </c>
      <c r="C358" t="str">
        <f>IF(ISBLANK('Data Input'!C358),"",'Data Input'!C358)</f>
        <v>6/28/18 2000</v>
      </c>
      <c r="E358">
        <f>IF(ISBLANK('Data Input'!D358),"",'Data Input'!D358)</f>
        <v>43280</v>
      </c>
      <c r="G358">
        <f>IF(ISBLANK('Data Input'!E358),"",'Data Input'!E358)</f>
        <v>25</v>
      </c>
      <c r="H358" t="str">
        <f>IF(ISBLANK('Data Input'!F358),"",'Data Input'!F358)</f>
        <v>bb - Black</v>
      </c>
      <c r="I358" t="str">
        <f>IF(ISBLANK('Data Input'!G358),"",'Data Input'!G358)</f>
        <v>Caesarean</v>
      </c>
      <c r="J358" t="str">
        <f>IF(ISBLANK('Data Input'!I358),"",'Data Input'!I358)</f>
        <v>6=29=18 1006</v>
      </c>
      <c r="K358" t="str">
        <f>IF(ISBLANK('Data Input'!J358),"",'Data Input'!J358)</f>
        <v>bb - Ibuprofen</v>
      </c>
      <c r="L358">
        <f>IF(ISBLANK('Data Input'!K358),"",'Data Input'!K358)</f>
        <v>800</v>
      </c>
      <c r="M358" t="str">
        <f>IF(ISBLANK('Data Input'!L358),"",'Data Input'!L358)</f>
        <v>dd - Missing Data</v>
      </c>
      <c r="N358" t="str">
        <f>IF(ISBLANK('Data Input'!M358),"",'Data Input'!M358)</f>
        <v>dd - Missing Data</v>
      </c>
      <c r="O358" t="str">
        <f>IF(ISBLANK('Data Input'!N358),"",'Data Input'!N358)</f>
        <v/>
      </c>
      <c r="P358" t="str">
        <f>IF(ISBLANK('Data Input'!O358),"",'Data Input'!O358)</f>
        <v/>
      </c>
      <c r="Q358" t="str">
        <f>IF(ISBLANK('Data Input'!P358),"",'Data Input'!P358)</f>
        <v/>
      </c>
      <c r="R358" t="b">
        <f>IF(ISBLANK('Data Input'!Q358),"",'Data Input'!Q358)</f>
        <v>1</v>
      </c>
      <c r="T358" s="2">
        <f t="shared" si="22"/>
        <v>43279</v>
      </c>
      <c r="U358" s="12">
        <f t="shared" si="23"/>
        <v>0.83333333333333337</v>
      </c>
      <c r="V358" s="2">
        <f t="shared" si="24"/>
        <v>43280</v>
      </c>
      <c r="W358" s="12">
        <f t="shared" si="25"/>
        <v>43280</v>
      </c>
    </row>
    <row r="359" spans="1:23">
      <c r="A359">
        <f>IF(ISBLANK('Data Input'!A359),"",'Data Input'!A359)</f>
        <v>95</v>
      </c>
      <c r="B359" t="str">
        <f>IF(ISBLANK('Data Input'!B359),"",'Data Input'!B359)</f>
        <v>AB095</v>
      </c>
      <c r="C359" t="str">
        <f>IF(ISBLANK('Data Input'!C359),"",'Data Input'!C359)</f>
        <v>6/28/18 2000</v>
      </c>
      <c r="E359">
        <f>IF(ISBLANK('Data Input'!D359),"",'Data Input'!D359)</f>
        <v>43280</v>
      </c>
      <c r="G359">
        <f>IF(ISBLANK('Data Input'!E359),"",'Data Input'!E359)</f>
        <v>25</v>
      </c>
      <c r="H359" t="str">
        <f>IF(ISBLANK('Data Input'!F359),"",'Data Input'!F359)</f>
        <v>bb - Black</v>
      </c>
      <c r="I359" t="str">
        <f>IF(ISBLANK('Data Input'!G359),"",'Data Input'!G359)</f>
        <v>Caesarean</v>
      </c>
      <c r="J359" t="str">
        <f>IF(ISBLANK('Data Input'!I359),"",'Data Input'!I359)</f>
        <v>6=29=18 1814</v>
      </c>
      <c r="K359" t="str">
        <f>IF(ISBLANK('Data Input'!J359),"",'Data Input'!J359)</f>
        <v>tr - Toradol</v>
      </c>
      <c r="L359">
        <f>IF(ISBLANK('Data Input'!K359),"",'Data Input'!K359)</f>
        <v>30</v>
      </c>
      <c r="M359">
        <f>IF(ISBLANK('Data Input'!L359),"",'Data Input'!L359)</f>
        <v>3</v>
      </c>
      <c r="N359">
        <f>IF(ISBLANK('Data Input'!M359),"",'Data Input'!M359)</f>
        <v>0</v>
      </c>
      <c r="O359">
        <f>IF(ISBLANK('Data Input'!N359),"",'Data Input'!N359)</f>
        <v>1</v>
      </c>
      <c r="P359" t="str">
        <f>IF(ISBLANK('Data Input'!O359),"",'Data Input'!O359)</f>
        <v/>
      </c>
      <c r="Q359" t="str">
        <f>IF(ISBLANK('Data Input'!P359),"",'Data Input'!P359)</f>
        <v/>
      </c>
      <c r="R359" t="b">
        <f>IF(ISBLANK('Data Input'!Q359),"",'Data Input'!Q359)</f>
        <v>1</v>
      </c>
      <c r="T359" s="2">
        <f t="shared" si="22"/>
        <v>43279</v>
      </c>
      <c r="U359" s="12">
        <f t="shared" si="23"/>
        <v>0.83333333333333337</v>
      </c>
      <c r="V359" s="2">
        <f t="shared" si="24"/>
        <v>43280</v>
      </c>
      <c r="W359" s="12">
        <f t="shared" si="25"/>
        <v>43280</v>
      </c>
    </row>
    <row r="360" spans="1:23">
      <c r="A360">
        <f>IF(ISBLANK('Data Input'!A360),"",'Data Input'!A360)</f>
        <v>96</v>
      </c>
      <c r="B360" t="str">
        <f>IF(ISBLANK('Data Input'!B360),"",'Data Input'!B360)</f>
        <v>JW096</v>
      </c>
      <c r="C360" t="str">
        <f>IF(ISBLANK('Data Input'!C360),"",'Data Input'!C360)</f>
        <v>6/29/18 1812</v>
      </c>
      <c r="E360" t="str">
        <f>IF(ISBLANK('Data Input'!D360),"",'Data Input'!D360)</f>
        <v>6/30/18 1131</v>
      </c>
      <c r="G360">
        <f>IF(ISBLANK('Data Input'!E360),"",'Data Input'!E360)</f>
        <v>30</v>
      </c>
      <c r="H360" t="str">
        <f>IF(ISBLANK('Data Input'!F360),"",'Data Input'!F360)</f>
        <v>bb - Black</v>
      </c>
      <c r="I360" t="str">
        <f>IF(ISBLANK('Data Input'!G360),"",'Data Input'!G360)</f>
        <v>SVD</v>
      </c>
      <c r="J360" t="str">
        <f>IF(ISBLANK('Data Input'!I360),"",'Data Input'!I360)</f>
        <v>6=29=18 2200</v>
      </c>
      <c r="K360" t="str">
        <f>IF(ISBLANK('Data Input'!J360),"",'Data Input'!J360)</f>
        <v>tt - Tylenol</v>
      </c>
      <c r="L360">
        <f>IF(ISBLANK('Data Input'!K360),"",'Data Input'!K360)</f>
        <v>650</v>
      </c>
      <c r="M360">
        <f>IF(ISBLANK('Data Input'!L360),"",'Data Input'!L360)</f>
        <v>8</v>
      </c>
      <c r="N360">
        <f>IF(ISBLANK('Data Input'!M360),"",'Data Input'!M360)</f>
        <v>2</v>
      </c>
      <c r="O360" t="str">
        <f>IF(ISBLANK('Data Input'!N360),"",'Data Input'!N360)</f>
        <v/>
      </c>
      <c r="P360" t="str">
        <f>IF(ISBLANK('Data Input'!O360),"",'Data Input'!O360)</f>
        <v/>
      </c>
      <c r="Q360" t="str">
        <f>IF(ISBLANK('Data Input'!P360),"",'Data Input'!P360)</f>
        <v/>
      </c>
      <c r="R360" t="b">
        <f>IF(ISBLANK('Data Input'!Q360),"",'Data Input'!Q360)</f>
        <v>0</v>
      </c>
      <c r="T360" s="2">
        <f t="shared" si="22"/>
        <v>43280</v>
      </c>
      <c r="U360" s="12">
        <f t="shared" si="23"/>
        <v>0.7583333333333333</v>
      </c>
      <c r="V360" s="2">
        <f t="shared" si="24"/>
        <v>43281</v>
      </c>
      <c r="W360" s="12">
        <f t="shared" si="25"/>
        <v>0.47986111111111113</v>
      </c>
    </row>
    <row r="361" spans="1:23">
      <c r="A361">
        <f>IF(ISBLANK('Data Input'!A361),"",'Data Input'!A361)</f>
        <v>96</v>
      </c>
      <c r="B361" t="str">
        <f>IF(ISBLANK('Data Input'!B361),"",'Data Input'!B361)</f>
        <v>JW096</v>
      </c>
      <c r="C361" t="str">
        <f>IF(ISBLANK('Data Input'!C361),"",'Data Input'!C361)</f>
        <v>6/29/18 1812</v>
      </c>
      <c r="E361" t="str">
        <f>IF(ISBLANK('Data Input'!D361),"",'Data Input'!D361)</f>
        <v>6/30/18 1131</v>
      </c>
      <c r="G361">
        <f>IF(ISBLANK('Data Input'!E361),"",'Data Input'!E361)</f>
        <v>30</v>
      </c>
      <c r="H361" t="str">
        <f>IF(ISBLANK('Data Input'!F361),"",'Data Input'!F361)</f>
        <v>bb - Black</v>
      </c>
      <c r="I361" t="str">
        <f>IF(ISBLANK('Data Input'!G361),"",'Data Input'!G361)</f>
        <v>SVD</v>
      </c>
      <c r="J361" t="str">
        <f>IF(ISBLANK('Data Input'!I361),"",'Data Input'!I361)</f>
        <v>6=29=18 2200</v>
      </c>
      <c r="K361" t="str">
        <f>IF(ISBLANK('Data Input'!J361),"",'Data Input'!J361)</f>
        <v>bb - Ibuprofen</v>
      </c>
      <c r="L361">
        <f>IF(ISBLANK('Data Input'!K361),"",'Data Input'!K361)</f>
        <v>800</v>
      </c>
      <c r="M361">
        <f>IF(ISBLANK('Data Input'!L361),"",'Data Input'!L361)</f>
        <v>8</v>
      </c>
      <c r="N361">
        <f>IF(ISBLANK('Data Input'!M361),"",'Data Input'!M361)</f>
        <v>2</v>
      </c>
      <c r="O361" t="str">
        <f>IF(ISBLANK('Data Input'!N361),"",'Data Input'!N361)</f>
        <v/>
      </c>
      <c r="P361" t="str">
        <f>IF(ISBLANK('Data Input'!O361),"",'Data Input'!O361)</f>
        <v/>
      </c>
      <c r="Q361" t="str">
        <f>IF(ISBLANK('Data Input'!P361),"",'Data Input'!P361)</f>
        <v/>
      </c>
      <c r="R361" t="b">
        <f>IF(ISBLANK('Data Input'!Q361),"",'Data Input'!Q361)</f>
        <v>0</v>
      </c>
      <c r="T361" s="2">
        <f t="shared" si="22"/>
        <v>43280</v>
      </c>
      <c r="U361" s="12">
        <f t="shared" si="23"/>
        <v>0.7583333333333333</v>
      </c>
      <c r="V361" s="2">
        <f t="shared" si="24"/>
        <v>43281</v>
      </c>
      <c r="W361" s="12">
        <f t="shared" si="25"/>
        <v>0.47986111111111113</v>
      </c>
    </row>
    <row r="362" spans="1:23">
      <c r="A362">
        <f>IF(ISBLANK('Data Input'!A362),"",'Data Input'!A362)</f>
        <v>96</v>
      </c>
      <c r="B362" t="str">
        <f>IF(ISBLANK('Data Input'!B362),"",'Data Input'!B362)</f>
        <v>JW096</v>
      </c>
      <c r="C362" t="str">
        <f>IF(ISBLANK('Data Input'!C362),"",'Data Input'!C362)</f>
        <v>6/29/18 1812</v>
      </c>
      <c r="E362" t="str">
        <f>IF(ISBLANK('Data Input'!D362),"",'Data Input'!D362)</f>
        <v>6/30/18 1131</v>
      </c>
      <c r="G362">
        <f>IF(ISBLANK('Data Input'!E362),"",'Data Input'!E362)</f>
        <v>30</v>
      </c>
      <c r="H362" t="str">
        <f>IF(ISBLANK('Data Input'!F362),"",'Data Input'!F362)</f>
        <v>bb - Black</v>
      </c>
      <c r="I362" t="str">
        <f>IF(ISBLANK('Data Input'!G362),"",'Data Input'!G362)</f>
        <v>SVD</v>
      </c>
      <c r="J362" t="str">
        <f>IF(ISBLANK('Data Input'!I362),"",'Data Input'!I362)</f>
        <v>6=30=18 0402</v>
      </c>
      <c r="K362" t="str">
        <f>IF(ISBLANK('Data Input'!J362),"",'Data Input'!J362)</f>
        <v>bb - Ibuprofen</v>
      </c>
      <c r="L362">
        <f>IF(ISBLANK('Data Input'!K362),"",'Data Input'!K362)</f>
        <v>800</v>
      </c>
      <c r="M362">
        <f>IF(ISBLANK('Data Input'!L362),"",'Data Input'!L362)</f>
        <v>8</v>
      </c>
      <c r="N362">
        <f>IF(ISBLANK('Data Input'!M362),"",'Data Input'!M362)</f>
        <v>2</v>
      </c>
      <c r="O362" t="str">
        <f>IF(ISBLANK('Data Input'!N362),"",'Data Input'!N362)</f>
        <v/>
      </c>
      <c r="P362" t="str">
        <f>IF(ISBLANK('Data Input'!O362),"",'Data Input'!O362)</f>
        <v/>
      </c>
      <c r="Q362" t="str">
        <f>IF(ISBLANK('Data Input'!P362),"",'Data Input'!P362)</f>
        <v/>
      </c>
      <c r="R362" t="b">
        <f>IF(ISBLANK('Data Input'!Q362),"",'Data Input'!Q362)</f>
        <v>0</v>
      </c>
      <c r="T362" s="2">
        <f t="shared" si="22"/>
        <v>43280</v>
      </c>
      <c r="U362" s="12">
        <f t="shared" si="23"/>
        <v>0.7583333333333333</v>
      </c>
      <c r="V362" s="2">
        <f t="shared" si="24"/>
        <v>43281</v>
      </c>
      <c r="W362" s="12">
        <f t="shared" si="25"/>
        <v>0.47986111111111113</v>
      </c>
    </row>
    <row r="363" spans="1:23">
      <c r="A363">
        <f>IF(ISBLANK('Data Input'!A363),"",'Data Input'!A363)</f>
        <v>96</v>
      </c>
      <c r="B363" t="str">
        <f>IF(ISBLANK('Data Input'!B363),"",'Data Input'!B363)</f>
        <v>JW096</v>
      </c>
      <c r="C363" t="str">
        <f>IF(ISBLANK('Data Input'!C363),"",'Data Input'!C363)</f>
        <v>6/29/18 1812</v>
      </c>
      <c r="E363" t="str">
        <f>IF(ISBLANK('Data Input'!D363),"",'Data Input'!D363)</f>
        <v>6/30/18 1131</v>
      </c>
      <c r="G363">
        <f>IF(ISBLANK('Data Input'!E363),"",'Data Input'!E363)</f>
        <v>30</v>
      </c>
      <c r="H363" t="str">
        <f>IF(ISBLANK('Data Input'!F363),"",'Data Input'!F363)</f>
        <v>bb - Black</v>
      </c>
      <c r="I363" t="str">
        <f>IF(ISBLANK('Data Input'!G363),"",'Data Input'!G363)</f>
        <v>SVD</v>
      </c>
      <c r="J363" t="str">
        <f>IF(ISBLANK('Data Input'!I363),"",'Data Input'!I363)</f>
        <v>6=30=18 0402</v>
      </c>
      <c r="K363" t="str">
        <f>IF(ISBLANK('Data Input'!J363),"",'Data Input'!J363)</f>
        <v>rr - Percocet</v>
      </c>
      <c r="L363">
        <f>IF(ISBLANK('Data Input'!K363),"",'Data Input'!K363)</f>
        <v>1</v>
      </c>
      <c r="M363">
        <f>IF(ISBLANK('Data Input'!L363),"",'Data Input'!L363)</f>
        <v>8</v>
      </c>
      <c r="N363">
        <f>IF(ISBLANK('Data Input'!M363),"",'Data Input'!M363)</f>
        <v>2</v>
      </c>
      <c r="O363" t="str">
        <f>IF(ISBLANK('Data Input'!N363),"",'Data Input'!N363)</f>
        <v/>
      </c>
      <c r="P363" t="str">
        <f>IF(ISBLANK('Data Input'!O363),"",'Data Input'!O363)</f>
        <v/>
      </c>
      <c r="Q363" t="str">
        <f>IF(ISBLANK('Data Input'!P363),"",'Data Input'!P363)</f>
        <v/>
      </c>
      <c r="R363" t="b">
        <f>IF(ISBLANK('Data Input'!Q363),"",'Data Input'!Q363)</f>
        <v>0</v>
      </c>
      <c r="T363" s="2">
        <f t="shared" si="22"/>
        <v>43280</v>
      </c>
      <c r="U363" s="12">
        <f t="shared" si="23"/>
        <v>0.7583333333333333</v>
      </c>
      <c r="V363" s="2">
        <f t="shared" si="24"/>
        <v>43281</v>
      </c>
      <c r="W363" s="12">
        <f t="shared" si="25"/>
        <v>0.47986111111111113</v>
      </c>
    </row>
    <row r="364" spans="1:23">
      <c r="A364">
        <f>IF(ISBLANK('Data Input'!A364),"",'Data Input'!A364)</f>
        <v>96</v>
      </c>
      <c r="B364" t="str">
        <f>IF(ISBLANK('Data Input'!B364),"",'Data Input'!B364)</f>
        <v>JW096</v>
      </c>
      <c r="C364" t="str">
        <f>IF(ISBLANK('Data Input'!C364),"",'Data Input'!C364)</f>
        <v>6/29/18 1812</v>
      </c>
      <c r="E364" t="str">
        <f>IF(ISBLANK('Data Input'!D364),"",'Data Input'!D364)</f>
        <v>6/30/18 1131</v>
      </c>
      <c r="G364">
        <f>IF(ISBLANK('Data Input'!E364),"",'Data Input'!E364)</f>
        <v>30</v>
      </c>
      <c r="H364" t="str">
        <f>IF(ISBLANK('Data Input'!F364),"",'Data Input'!F364)</f>
        <v>bb - Black</v>
      </c>
      <c r="I364" t="str">
        <f>IF(ISBLANK('Data Input'!G364),"",'Data Input'!G364)</f>
        <v>SVD</v>
      </c>
      <c r="J364" t="str">
        <f>IF(ISBLANK('Data Input'!I364),"",'Data Input'!I364)</f>
        <v>6=30=18 1131</v>
      </c>
      <c r="K364" t="str">
        <f>IF(ISBLANK('Data Input'!J364),"",'Data Input'!J364)</f>
        <v>bb - Ibuprofen</v>
      </c>
      <c r="L364">
        <f>IF(ISBLANK('Data Input'!K364),"",'Data Input'!K364)</f>
        <v>800</v>
      </c>
      <c r="M364" t="str">
        <f>IF(ISBLANK('Data Input'!L364),"",'Data Input'!L364)</f>
        <v>dd - Missing Data</v>
      </c>
      <c r="N364" t="str">
        <f>IF(ISBLANK('Data Input'!M364),"",'Data Input'!M364)</f>
        <v>dd - Missing Data</v>
      </c>
      <c r="O364" t="str">
        <f>IF(ISBLANK('Data Input'!N364),"",'Data Input'!N364)</f>
        <v/>
      </c>
      <c r="P364" t="str">
        <f>IF(ISBLANK('Data Input'!O364),"",'Data Input'!O364)</f>
        <v/>
      </c>
      <c r="Q364" t="str">
        <f>IF(ISBLANK('Data Input'!P364),"",'Data Input'!P364)</f>
        <v/>
      </c>
      <c r="R364" t="b">
        <f>IF(ISBLANK('Data Input'!Q364),"",'Data Input'!Q364)</f>
        <v>0</v>
      </c>
      <c r="T364" s="2">
        <f t="shared" si="22"/>
        <v>43280</v>
      </c>
      <c r="U364" s="12">
        <f t="shared" si="23"/>
        <v>0.7583333333333333</v>
      </c>
      <c r="V364" s="2">
        <f t="shared" si="24"/>
        <v>43281</v>
      </c>
      <c r="W364" s="12">
        <f t="shared" si="25"/>
        <v>0.47986111111111113</v>
      </c>
    </row>
    <row r="365" spans="1:23">
      <c r="A365">
        <f>IF(ISBLANK('Data Input'!A365),"",'Data Input'!A365)</f>
        <v>97</v>
      </c>
      <c r="B365" t="str">
        <f>IF(ISBLANK('Data Input'!B365),"",'Data Input'!B365)</f>
        <v>LB097</v>
      </c>
      <c r="C365" t="str">
        <f>IF(ISBLANK('Data Input'!C365),"",'Data Input'!C365)</f>
        <v>6/29/18 1402</v>
      </c>
      <c r="E365">
        <f>IF(ISBLANK('Data Input'!D365),"",'Data Input'!D365)</f>
        <v>43281</v>
      </c>
      <c r="G365">
        <f>IF(ISBLANK('Data Input'!E365),"",'Data Input'!E365)</f>
        <v>34</v>
      </c>
      <c r="H365" t="str">
        <f>IF(ISBLANK('Data Input'!F365),"",'Data Input'!F365)</f>
        <v>bb - Black</v>
      </c>
      <c r="I365" t="str">
        <f>IF(ISBLANK('Data Input'!G365),"",'Data Input'!G365)</f>
        <v>Caesarean</v>
      </c>
      <c r="J365" t="str">
        <f>IF(ISBLANK('Data Input'!I365),"",'Data Input'!I365)</f>
        <v>6=29=18 1533</v>
      </c>
      <c r="K365" t="str">
        <f>IF(ISBLANK('Data Input'!J365),"",'Data Input'!J365)</f>
        <v>te - Tylenol</v>
      </c>
      <c r="L365">
        <f>IF(ISBLANK('Data Input'!K365),"",'Data Input'!K365)</f>
        <v>1000</v>
      </c>
      <c r="M365">
        <f>IF(ISBLANK('Data Input'!L365),"",'Data Input'!L365)</f>
        <v>8</v>
      </c>
      <c r="N365">
        <f>IF(ISBLANK('Data Input'!M365),"",'Data Input'!M365)</f>
        <v>5</v>
      </c>
      <c r="O365" t="str">
        <f>IF(ISBLANK('Data Input'!N365),"",'Data Input'!N365)</f>
        <v>dd - Missing Data</v>
      </c>
      <c r="P365" t="str">
        <f>IF(ISBLANK('Data Input'!O365),"",'Data Input'!O365)</f>
        <v/>
      </c>
      <c r="Q365" t="str">
        <f>IF(ISBLANK('Data Input'!P365),"",'Data Input'!P365)</f>
        <v/>
      </c>
      <c r="R365" t="b">
        <f>IF(ISBLANK('Data Input'!Q365),"",'Data Input'!Q365)</f>
        <v>1</v>
      </c>
      <c r="T365" s="2">
        <f t="shared" si="22"/>
        <v>43280</v>
      </c>
      <c r="U365" s="12">
        <f t="shared" si="23"/>
        <v>0.58472222222222225</v>
      </c>
      <c r="V365" s="2">
        <f t="shared" si="24"/>
        <v>43281</v>
      </c>
      <c r="W365" s="12">
        <f t="shared" si="25"/>
        <v>43281</v>
      </c>
    </row>
    <row r="366" spans="1:23">
      <c r="A366">
        <f>IF(ISBLANK('Data Input'!A366),"",'Data Input'!A366)</f>
        <v>97</v>
      </c>
      <c r="B366" t="str">
        <f>IF(ISBLANK('Data Input'!B366),"",'Data Input'!B366)</f>
        <v>LB097</v>
      </c>
      <c r="C366" t="str">
        <f>IF(ISBLANK('Data Input'!C366),"",'Data Input'!C366)</f>
        <v>6/29/18 1402</v>
      </c>
      <c r="E366">
        <f>IF(ISBLANK('Data Input'!D366),"",'Data Input'!D366)</f>
        <v>43281</v>
      </c>
      <c r="G366">
        <f>IF(ISBLANK('Data Input'!E366),"",'Data Input'!E366)</f>
        <v>34</v>
      </c>
      <c r="H366" t="str">
        <f>IF(ISBLANK('Data Input'!F366),"",'Data Input'!F366)</f>
        <v>bb - Black</v>
      </c>
      <c r="I366" t="str">
        <f>IF(ISBLANK('Data Input'!G366),"",'Data Input'!G366)</f>
        <v>Caesarean</v>
      </c>
      <c r="J366" t="str">
        <f>IF(ISBLANK('Data Input'!I366),"",'Data Input'!I366)</f>
        <v>6=29=18 1648</v>
      </c>
      <c r="K366" t="str">
        <f>IF(ISBLANK('Data Input'!J366),"",'Data Input'!J366)</f>
        <v>tr - Toradol</v>
      </c>
      <c r="L366">
        <f>IF(ISBLANK('Data Input'!K366),"",'Data Input'!K366)</f>
        <v>30</v>
      </c>
      <c r="M366">
        <f>IF(ISBLANK('Data Input'!L366),"",'Data Input'!L366)</f>
        <v>8</v>
      </c>
      <c r="N366">
        <f>IF(ISBLANK('Data Input'!M366),"",'Data Input'!M366)</f>
        <v>3</v>
      </c>
      <c r="O366">
        <f>IF(ISBLANK('Data Input'!N366),"",'Data Input'!N366)</f>
        <v>4</v>
      </c>
      <c r="P366" t="str">
        <f>IF(ISBLANK('Data Input'!O366),"",'Data Input'!O366)</f>
        <v/>
      </c>
      <c r="Q366" t="str">
        <f>IF(ISBLANK('Data Input'!P366),"",'Data Input'!P366)</f>
        <v/>
      </c>
      <c r="R366" t="b">
        <f>IF(ISBLANK('Data Input'!Q366),"",'Data Input'!Q366)</f>
        <v>1</v>
      </c>
      <c r="T366" s="2">
        <f t="shared" si="22"/>
        <v>43280</v>
      </c>
      <c r="U366" s="12">
        <f t="shared" si="23"/>
        <v>0.58472222222222225</v>
      </c>
      <c r="V366" s="2">
        <f t="shared" si="24"/>
        <v>43281</v>
      </c>
      <c r="W366" s="12">
        <f t="shared" si="25"/>
        <v>43281</v>
      </c>
    </row>
    <row r="367" spans="1:23">
      <c r="A367">
        <f>IF(ISBLANK('Data Input'!A367),"",'Data Input'!A367)</f>
        <v>97</v>
      </c>
      <c r="B367" t="str">
        <f>IF(ISBLANK('Data Input'!B367),"",'Data Input'!B367)</f>
        <v>LB097</v>
      </c>
      <c r="C367" t="str">
        <f>IF(ISBLANK('Data Input'!C367),"",'Data Input'!C367)</f>
        <v>6/29/18 1402</v>
      </c>
      <c r="E367">
        <f>IF(ISBLANK('Data Input'!D367),"",'Data Input'!D367)</f>
        <v>43281</v>
      </c>
      <c r="G367">
        <f>IF(ISBLANK('Data Input'!E367),"",'Data Input'!E367)</f>
        <v>34</v>
      </c>
      <c r="H367" t="str">
        <f>IF(ISBLANK('Data Input'!F367),"",'Data Input'!F367)</f>
        <v>bb - Black</v>
      </c>
      <c r="I367" t="str">
        <f>IF(ISBLANK('Data Input'!G367),"",'Data Input'!G367)</f>
        <v>Caesarean</v>
      </c>
      <c r="J367" t="str">
        <f>IF(ISBLANK('Data Input'!I367),"",'Data Input'!I367)</f>
        <v>6=30=18 0354</v>
      </c>
      <c r="K367" t="str">
        <f>IF(ISBLANK('Data Input'!J367),"",'Data Input'!J367)</f>
        <v>tr - Toradol</v>
      </c>
      <c r="L367">
        <f>IF(ISBLANK('Data Input'!K367),"",'Data Input'!K367)</f>
        <v>30</v>
      </c>
      <c r="M367">
        <f>IF(ISBLANK('Data Input'!L367),"",'Data Input'!L367)</f>
        <v>6</v>
      </c>
      <c r="N367">
        <f>IF(ISBLANK('Data Input'!M367),"",'Data Input'!M367)</f>
        <v>3</v>
      </c>
      <c r="O367">
        <f>IF(ISBLANK('Data Input'!N367),"",'Data Input'!N367)</f>
        <v>4</v>
      </c>
      <c r="P367" t="str">
        <f>IF(ISBLANK('Data Input'!O367),"",'Data Input'!O367)</f>
        <v/>
      </c>
      <c r="Q367" t="str">
        <f>IF(ISBLANK('Data Input'!P367),"",'Data Input'!P367)</f>
        <v/>
      </c>
      <c r="R367" t="b">
        <f>IF(ISBLANK('Data Input'!Q367),"",'Data Input'!Q367)</f>
        <v>1</v>
      </c>
      <c r="T367" s="2">
        <f t="shared" si="22"/>
        <v>43280</v>
      </c>
      <c r="U367" s="12">
        <f t="shared" si="23"/>
        <v>0.58472222222222225</v>
      </c>
      <c r="V367" s="2">
        <f t="shared" si="24"/>
        <v>43281</v>
      </c>
      <c r="W367" s="12">
        <f t="shared" si="25"/>
        <v>43281</v>
      </c>
    </row>
    <row r="368" spans="1:23">
      <c r="A368">
        <f>IF(ISBLANK('Data Input'!A368),"",'Data Input'!A368)</f>
        <v>97</v>
      </c>
      <c r="B368" t="str">
        <f>IF(ISBLANK('Data Input'!B368),"",'Data Input'!B368)</f>
        <v>LB097</v>
      </c>
      <c r="C368" t="str">
        <f>IF(ISBLANK('Data Input'!C368),"",'Data Input'!C368)</f>
        <v>6/29/18 1402</v>
      </c>
      <c r="E368">
        <f>IF(ISBLANK('Data Input'!D368),"",'Data Input'!D368)</f>
        <v>43281</v>
      </c>
      <c r="G368">
        <f>IF(ISBLANK('Data Input'!E368),"",'Data Input'!E368)</f>
        <v>34</v>
      </c>
      <c r="H368" t="str">
        <f>IF(ISBLANK('Data Input'!F368),"",'Data Input'!F368)</f>
        <v>bb - Black</v>
      </c>
      <c r="I368" t="str">
        <f>IF(ISBLANK('Data Input'!G368),"",'Data Input'!G368)</f>
        <v>Caesarean</v>
      </c>
      <c r="J368" t="str">
        <f>IF(ISBLANK('Data Input'!I368),"",'Data Input'!I368)</f>
        <v>6=30=18 0829</v>
      </c>
      <c r="K368" t="str">
        <f>IF(ISBLANK('Data Input'!J368),"",'Data Input'!J368)</f>
        <v>rr - Percocet</v>
      </c>
      <c r="L368">
        <f>IF(ISBLANK('Data Input'!K368),"",'Data Input'!K368)</f>
        <v>1</v>
      </c>
      <c r="M368">
        <f>IF(ISBLANK('Data Input'!L368),"",'Data Input'!L368)</f>
        <v>5</v>
      </c>
      <c r="N368">
        <f>IF(ISBLANK('Data Input'!M368),"",'Data Input'!M368)</f>
        <v>4</v>
      </c>
      <c r="O368">
        <f>IF(ISBLANK('Data Input'!N368),"",'Data Input'!N368)</f>
        <v>2</v>
      </c>
      <c r="P368" t="str">
        <f>IF(ISBLANK('Data Input'!O368),"",'Data Input'!O368)</f>
        <v/>
      </c>
      <c r="Q368" t="str">
        <f>IF(ISBLANK('Data Input'!P368),"",'Data Input'!P368)</f>
        <v/>
      </c>
      <c r="R368" t="b">
        <f>IF(ISBLANK('Data Input'!Q368),"",'Data Input'!Q368)</f>
        <v>1</v>
      </c>
      <c r="T368" s="2">
        <f t="shared" si="22"/>
        <v>43280</v>
      </c>
      <c r="U368" s="12">
        <f t="shared" si="23"/>
        <v>0.58472222222222225</v>
      </c>
      <c r="V368" s="2">
        <f t="shared" si="24"/>
        <v>43281</v>
      </c>
      <c r="W368" s="12">
        <f t="shared" si="25"/>
        <v>43281</v>
      </c>
    </row>
    <row r="369" spans="1:23">
      <c r="A369">
        <f>IF(ISBLANK('Data Input'!A369),"",'Data Input'!A369)</f>
        <v>97</v>
      </c>
      <c r="B369" t="str">
        <f>IF(ISBLANK('Data Input'!B369),"",'Data Input'!B369)</f>
        <v>LB097</v>
      </c>
      <c r="C369" t="str">
        <f>IF(ISBLANK('Data Input'!C369),"",'Data Input'!C369)</f>
        <v>6/29/18 1402</v>
      </c>
      <c r="E369">
        <f>IF(ISBLANK('Data Input'!D369),"",'Data Input'!D369)</f>
        <v>43281</v>
      </c>
      <c r="G369">
        <f>IF(ISBLANK('Data Input'!E369),"",'Data Input'!E369)</f>
        <v>34</v>
      </c>
      <c r="H369" t="str">
        <f>IF(ISBLANK('Data Input'!F369),"",'Data Input'!F369)</f>
        <v>bb - Black</v>
      </c>
      <c r="I369" t="str">
        <f>IF(ISBLANK('Data Input'!G369),"",'Data Input'!G369)</f>
        <v>Caesarean</v>
      </c>
      <c r="J369" t="str">
        <f>IF(ISBLANK('Data Input'!I369),"",'Data Input'!I369)</f>
        <v>6=30=18 1059</v>
      </c>
      <c r="K369" t="str">
        <f>IF(ISBLANK('Data Input'!J369),"",'Data Input'!J369)</f>
        <v>tr - Toradol</v>
      </c>
      <c r="L369">
        <f>IF(ISBLANK('Data Input'!K369),"",'Data Input'!K369)</f>
        <v>30</v>
      </c>
      <c r="M369">
        <f>IF(ISBLANK('Data Input'!L369),"",'Data Input'!L369)</f>
        <v>3</v>
      </c>
      <c r="N369">
        <f>IF(ISBLANK('Data Input'!M369),"",'Data Input'!M369)</f>
        <v>5</v>
      </c>
      <c r="O369">
        <f>IF(ISBLANK('Data Input'!N369),"",'Data Input'!N369)</f>
        <v>4</v>
      </c>
      <c r="P369" t="str">
        <f>IF(ISBLANK('Data Input'!O369),"",'Data Input'!O369)</f>
        <v/>
      </c>
      <c r="Q369" t="str">
        <f>IF(ISBLANK('Data Input'!P369),"",'Data Input'!P369)</f>
        <v/>
      </c>
      <c r="R369" t="b">
        <f>IF(ISBLANK('Data Input'!Q369),"",'Data Input'!Q369)</f>
        <v>1</v>
      </c>
      <c r="T369" s="2">
        <f t="shared" si="22"/>
        <v>43280</v>
      </c>
      <c r="U369" s="12">
        <f t="shared" si="23"/>
        <v>0.58472222222222225</v>
      </c>
      <c r="V369" s="2">
        <f t="shared" si="24"/>
        <v>43281</v>
      </c>
      <c r="W369" s="12">
        <f t="shared" si="25"/>
        <v>43281</v>
      </c>
    </row>
    <row r="370" spans="1:23">
      <c r="A370">
        <f>IF(ISBLANK('Data Input'!A370),"",'Data Input'!A370)</f>
        <v>97</v>
      </c>
      <c r="B370" t="str">
        <f>IF(ISBLANK('Data Input'!B370),"",'Data Input'!B370)</f>
        <v>LB097</v>
      </c>
      <c r="C370" t="str">
        <f>IF(ISBLANK('Data Input'!C370),"",'Data Input'!C370)</f>
        <v>6/29/18 1402</v>
      </c>
      <c r="E370">
        <f>IF(ISBLANK('Data Input'!D370),"",'Data Input'!D370)</f>
        <v>43281</v>
      </c>
      <c r="G370">
        <f>IF(ISBLANK('Data Input'!E370),"",'Data Input'!E370)</f>
        <v>34</v>
      </c>
      <c r="H370" t="str">
        <f>IF(ISBLANK('Data Input'!F370),"",'Data Input'!F370)</f>
        <v>bb - Black</v>
      </c>
      <c r="I370" t="str">
        <f>IF(ISBLANK('Data Input'!G370),"",'Data Input'!G370)</f>
        <v>Caesarean</v>
      </c>
      <c r="J370" t="str">
        <f>IF(ISBLANK('Data Input'!I370),"",'Data Input'!I370)</f>
        <v>6=30=18 1246</v>
      </c>
      <c r="K370" t="str">
        <f>IF(ISBLANK('Data Input'!J370),"",'Data Input'!J370)</f>
        <v>rr - Percocet</v>
      </c>
      <c r="L370">
        <f>IF(ISBLANK('Data Input'!K370),"",'Data Input'!K370)</f>
        <v>1</v>
      </c>
      <c r="M370">
        <f>IF(ISBLANK('Data Input'!L370),"",'Data Input'!L370)</f>
        <v>5</v>
      </c>
      <c r="N370">
        <f>IF(ISBLANK('Data Input'!M370),"",'Data Input'!M370)</f>
        <v>4</v>
      </c>
      <c r="O370">
        <f>IF(ISBLANK('Data Input'!N370),"",'Data Input'!N370)</f>
        <v>2</v>
      </c>
      <c r="P370" t="str">
        <f>IF(ISBLANK('Data Input'!O370),"",'Data Input'!O370)</f>
        <v/>
      </c>
      <c r="Q370" t="str">
        <f>IF(ISBLANK('Data Input'!P370),"",'Data Input'!P370)</f>
        <v/>
      </c>
      <c r="R370" t="b">
        <f>IF(ISBLANK('Data Input'!Q370),"",'Data Input'!Q370)</f>
        <v>1</v>
      </c>
      <c r="T370" s="2">
        <f t="shared" si="22"/>
        <v>43280</v>
      </c>
      <c r="U370" s="12">
        <f t="shared" si="23"/>
        <v>0.58472222222222225</v>
      </c>
      <c r="V370" s="2">
        <f t="shared" si="24"/>
        <v>43281</v>
      </c>
      <c r="W370" s="12">
        <f t="shared" si="25"/>
        <v>43281</v>
      </c>
    </row>
    <row r="371" spans="1:23">
      <c r="A371">
        <f>IF(ISBLANK('Data Input'!A371),"",'Data Input'!A371)</f>
        <v>98</v>
      </c>
      <c r="B371" t="str">
        <f>IF(ISBLANK('Data Input'!B371),"",'Data Input'!B371)</f>
        <v>KR098</v>
      </c>
      <c r="C371" t="str">
        <f>IF(ISBLANK('Data Input'!C371),"",'Data Input'!C371)</f>
        <v>6/30/18 2130</v>
      </c>
      <c r="E371" t="str">
        <f>IF(ISBLANK('Data Input'!D371),"",'Data Input'!D371)</f>
        <v>7/1/18 2130</v>
      </c>
      <c r="G371">
        <f>IF(ISBLANK('Data Input'!E371),"",'Data Input'!E371)</f>
        <v>32</v>
      </c>
      <c r="H371" t="str">
        <f>IF(ISBLANK('Data Input'!F371),"",'Data Input'!F371)</f>
        <v>White</v>
      </c>
      <c r="I371" t="str">
        <f>IF(ISBLANK('Data Input'!G371),"",'Data Input'!G371)</f>
        <v>SVD</v>
      </c>
      <c r="J371" t="str">
        <f>IF(ISBLANK('Data Input'!I371),"",'Data Input'!I371)</f>
        <v>7=1=18 0401</v>
      </c>
      <c r="K371" t="str">
        <f>IF(ISBLANK('Data Input'!J371),"",'Data Input'!J371)</f>
        <v>bb - Ibuprofen</v>
      </c>
      <c r="L371">
        <f>IF(ISBLANK('Data Input'!K371),"",'Data Input'!K371)</f>
        <v>800</v>
      </c>
      <c r="M371">
        <f>IF(ISBLANK('Data Input'!L371),"",'Data Input'!L371)</f>
        <v>3</v>
      </c>
      <c r="N371">
        <f>IF(ISBLANK('Data Input'!M371),"",'Data Input'!M371)</f>
        <v>0</v>
      </c>
      <c r="O371" t="str">
        <f>IF(ISBLANK('Data Input'!N371),"",'Data Input'!N371)</f>
        <v/>
      </c>
      <c r="P371" t="str">
        <f>IF(ISBLANK('Data Input'!O371),"",'Data Input'!O371)</f>
        <v/>
      </c>
      <c r="Q371" t="str">
        <f>IF(ISBLANK('Data Input'!P371),"",'Data Input'!P371)</f>
        <v/>
      </c>
      <c r="R371" t="b">
        <f>IF(ISBLANK('Data Input'!Q371),"",'Data Input'!Q371)</f>
        <v>0</v>
      </c>
      <c r="T371" s="2">
        <f t="shared" si="22"/>
        <v>43281</v>
      </c>
      <c r="U371" s="12">
        <f t="shared" si="23"/>
        <v>0.89583333333333337</v>
      </c>
      <c r="V371" s="2">
        <f t="shared" si="24"/>
        <v>43282</v>
      </c>
      <c r="W371" s="12">
        <f t="shared" si="25"/>
        <v>0.89583333333333337</v>
      </c>
    </row>
    <row r="372" spans="1:23">
      <c r="A372">
        <f>IF(ISBLANK('Data Input'!A372),"",'Data Input'!A372)</f>
        <v>98</v>
      </c>
      <c r="B372" t="str">
        <f>IF(ISBLANK('Data Input'!B372),"",'Data Input'!B372)</f>
        <v>KR098</v>
      </c>
      <c r="C372" t="str">
        <f>IF(ISBLANK('Data Input'!C372),"",'Data Input'!C372)</f>
        <v>6/30/18 2130</v>
      </c>
      <c r="E372" t="str">
        <f>IF(ISBLANK('Data Input'!D372),"",'Data Input'!D372)</f>
        <v>7/1/18 2130</v>
      </c>
      <c r="G372">
        <f>IF(ISBLANK('Data Input'!E372),"",'Data Input'!E372)</f>
        <v>32</v>
      </c>
      <c r="H372" t="str">
        <f>IF(ISBLANK('Data Input'!F372),"",'Data Input'!F372)</f>
        <v>White</v>
      </c>
      <c r="I372" t="str">
        <f>IF(ISBLANK('Data Input'!G372),"",'Data Input'!G372)</f>
        <v>SVD</v>
      </c>
      <c r="J372" t="str">
        <f>IF(ISBLANK('Data Input'!I372),"",'Data Input'!I372)</f>
        <v>7=1=18 1753</v>
      </c>
      <c r="K372" t="str">
        <f>IF(ISBLANK('Data Input'!J372),"",'Data Input'!J372)</f>
        <v>bb - Ibuprofen</v>
      </c>
      <c r="L372">
        <f>IF(ISBLANK('Data Input'!K372),"",'Data Input'!K372)</f>
        <v>800</v>
      </c>
      <c r="M372">
        <f>IF(ISBLANK('Data Input'!L372),"",'Data Input'!L372)</f>
        <v>3</v>
      </c>
      <c r="N372">
        <f>IF(ISBLANK('Data Input'!M372),"",'Data Input'!M372)</f>
        <v>0</v>
      </c>
      <c r="O372" t="str">
        <f>IF(ISBLANK('Data Input'!N372),"",'Data Input'!N372)</f>
        <v/>
      </c>
      <c r="P372" t="str">
        <f>IF(ISBLANK('Data Input'!O372),"",'Data Input'!O372)</f>
        <v/>
      </c>
      <c r="Q372" t="str">
        <f>IF(ISBLANK('Data Input'!P372),"",'Data Input'!P372)</f>
        <v/>
      </c>
      <c r="R372" t="b">
        <f>IF(ISBLANK('Data Input'!Q372),"",'Data Input'!Q372)</f>
        <v>0</v>
      </c>
      <c r="T372" s="2">
        <f t="shared" si="22"/>
        <v>43281</v>
      </c>
      <c r="U372" s="12">
        <f t="shared" si="23"/>
        <v>0.89583333333333337</v>
      </c>
      <c r="V372" s="2">
        <f t="shared" si="24"/>
        <v>43282</v>
      </c>
      <c r="W372" s="12">
        <f t="shared" si="25"/>
        <v>0.89583333333333337</v>
      </c>
    </row>
    <row r="373" spans="1:23">
      <c r="A373">
        <f>IF(ISBLANK('Data Input'!A373),"",'Data Input'!A373)</f>
        <v>99</v>
      </c>
      <c r="B373" t="str">
        <f>IF(ISBLANK('Data Input'!B373),"",'Data Input'!B373)</f>
        <v>SD099</v>
      </c>
      <c r="C373" t="str">
        <f>IF(ISBLANK('Data Input'!C373),"",'Data Input'!C373)</f>
        <v>6/29/18 1610</v>
      </c>
      <c r="E373" t="str">
        <f>IF(ISBLANK('Data Input'!D373),"",'Data Input'!D373)</f>
        <v>6/30/18 1334</v>
      </c>
      <c r="G373">
        <f>IF(ISBLANK('Data Input'!E373),"",'Data Input'!E373)</f>
        <v>33</v>
      </c>
      <c r="H373" t="str">
        <f>IF(ISBLANK('Data Input'!F373),"",'Data Input'!F373)</f>
        <v>White</v>
      </c>
      <c r="I373" t="str">
        <f>IF(ISBLANK('Data Input'!G373),"",'Data Input'!G373)</f>
        <v>Caesarean</v>
      </c>
      <c r="J373" t="str">
        <f>IF(ISBLANK('Data Input'!I373),"",'Data Input'!I373)</f>
        <v>6=30=18 0958</v>
      </c>
      <c r="K373" t="str">
        <f>IF(ISBLANK('Data Input'!J373),"",'Data Input'!J373)</f>
        <v>te - Tylenol</v>
      </c>
      <c r="L373">
        <f>IF(ISBLANK('Data Input'!K373),"",'Data Input'!K373)</f>
        <v>1000</v>
      </c>
      <c r="M373">
        <f>IF(ISBLANK('Data Input'!L373),"",'Data Input'!L373)</f>
        <v>6</v>
      </c>
      <c r="N373">
        <f>IF(ISBLANK('Data Input'!M373),"",'Data Input'!M373)</f>
        <v>3</v>
      </c>
      <c r="O373" t="str">
        <f>IF(ISBLANK('Data Input'!N373),"",'Data Input'!N373)</f>
        <v/>
      </c>
      <c r="P373" t="str">
        <f>IF(ISBLANK('Data Input'!O373),"",'Data Input'!O373)</f>
        <v/>
      </c>
      <c r="Q373" t="str">
        <f>IF(ISBLANK('Data Input'!P373),"",'Data Input'!P373)</f>
        <v/>
      </c>
      <c r="R373" t="b">
        <f>IF(ISBLANK('Data Input'!Q373),"",'Data Input'!Q373)</f>
        <v>1</v>
      </c>
      <c r="T373" s="2">
        <f t="shared" si="22"/>
        <v>43280</v>
      </c>
      <c r="U373" s="12">
        <f t="shared" si="23"/>
        <v>0.67361111111111116</v>
      </c>
      <c r="V373" s="2">
        <f t="shared" si="24"/>
        <v>43281</v>
      </c>
      <c r="W373" s="12">
        <f t="shared" si="25"/>
        <v>0.56527777777777777</v>
      </c>
    </row>
    <row r="374" spans="1:23">
      <c r="A374">
        <f>IF(ISBLANK('Data Input'!A374),"",'Data Input'!A374)</f>
        <v>99</v>
      </c>
      <c r="B374" t="str">
        <f>IF(ISBLANK('Data Input'!B374),"",'Data Input'!B374)</f>
        <v>SD099</v>
      </c>
      <c r="C374" t="str">
        <f>IF(ISBLANK('Data Input'!C374),"",'Data Input'!C374)</f>
        <v>6/29/18 1610</v>
      </c>
      <c r="E374" t="str">
        <f>IF(ISBLANK('Data Input'!D374),"",'Data Input'!D374)</f>
        <v>6/30/18 1334</v>
      </c>
      <c r="G374">
        <f>IF(ISBLANK('Data Input'!E374),"",'Data Input'!E374)</f>
        <v>33</v>
      </c>
      <c r="H374" t="str">
        <f>IF(ISBLANK('Data Input'!F374),"",'Data Input'!F374)</f>
        <v>White</v>
      </c>
      <c r="I374" t="str">
        <f>IF(ISBLANK('Data Input'!G374),"",'Data Input'!G374)</f>
        <v>Caesarean</v>
      </c>
      <c r="J374" t="str">
        <f>IF(ISBLANK('Data Input'!I374),"",'Data Input'!I374)</f>
        <v>6=30=18 1334</v>
      </c>
      <c r="K374" t="str">
        <f>IF(ISBLANK('Data Input'!J374),"",'Data Input'!J374)</f>
        <v>tr - Toradol</v>
      </c>
      <c r="L374">
        <f>IF(ISBLANK('Data Input'!K374),"",'Data Input'!K374)</f>
        <v>30</v>
      </c>
      <c r="M374">
        <f>IF(ISBLANK('Data Input'!L374),"",'Data Input'!L374)</f>
        <v>4</v>
      </c>
      <c r="N374">
        <f>IF(ISBLANK('Data Input'!M374),"",'Data Input'!M374)</f>
        <v>0</v>
      </c>
      <c r="O374" t="str">
        <f>IF(ISBLANK('Data Input'!N374),"",'Data Input'!N374)</f>
        <v/>
      </c>
      <c r="P374" t="str">
        <f>IF(ISBLANK('Data Input'!O374),"",'Data Input'!O374)</f>
        <v/>
      </c>
      <c r="Q374" t="str">
        <f>IF(ISBLANK('Data Input'!P374),"",'Data Input'!P374)</f>
        <v/>
      </c>
      <c r="R374" t="b">
        <f>IF(ISBLANK('Data Input'!Q374),"",'Data Input'!Q374)</f>
        <v>1</v>
      </c>
      <c r="T374" s="2">
        <f t="shared" si="22"/>
        <v>43280</v>
      </c>
      <c r="U374" s="12">
        <f t="shared" si="23"/>
        <v>0.67361111111111116</v>
      </c>
      <c r="V374" s="2">
        <f t="shared" si="24"/>
        <v>43281</v>
      </c>
      <c r="W374" s="12">
        <f t="shared" si="25"/>
        <v>0.56527777777777777</v>
      </c>
    </row>
    <row r="375" spans="1:23">
      <c r="A375">
        <f>IF(ISBLANK('Data Input'!A375),"",'Data Input'!A375)</f>
        <v>100</v>
      </c>
      <c r="B375" t="str">
        <f>IF(ISBLANK('Data Input'!B375),"",'Data Input'!B375)</f>
        <v>KS100</v>
      </c>
      <c r="C375" t="str">
        <f>IF(ISBLANK('Data Input'!C375),"",'Data Input'!C375)</f>
        <v>6/28/18 0620</v>
      </c>
      <c r="E375" t="str">
        <f>IF(ISBLANK('Data Input'!D375),"",'Data Input'!D375)</f>
        <v>6/29/18 0044</v>
      </c>
      <c r="G375">
        <f>IF(ISBLANK('Data Input'!E375),"",'Data Input'!E375)</f>
        <v>34</v>
      </c>
      <c r="H375" t="str">
        <f>IF(ISBLANK('Data Input'!F375),"",'Data Input'!F375)</f>
        <v>White</v>
      </c>
      <c r="I375" t="str">
        <f>IF(ISBLANK('Data Input'!G375),"",'Data Input'!G375)</f>
        <v>Caesarean</v>
      </c>
      <c r="J375" t="str">
        <f>IF(ISBLANK('Data Input'!I375),"",'Data Input'!I375)</f>
        <v>6=28=18 1011</v>
      </c>
      <c r="K375" t="str">
        <f>IF(ISBLANK('Data Input'!J375),"",'Data Input'!J375)</f>
        <v>tr - Toradol</v>
      </c>
      <c r="L375">
        <f>IF(ISBLANK('Data Input'!K375),"",'Data Input'!K375)</f>
        <v>30</v>
      </c>
      <c r="M375">
        <f>IF(ISBLANK('Data Input'!L375),"",'Data Input'!L375)</f>
        <v>4</v>
      </c>
      <c r="N375">
        <f>IF(ISBLANK('Data Input'!M375),"",'Data Input'!M375)</f>
        <v>4</v>
      </c>
      <c r="O375" t="str">
        <f>IF(ISBLANK('Data Input'!N375),"",'Data Input'!N375)</f>
        <v/>
      </c>
      <c r="P375" t="str">
        <f>IF(ISBLANK('Data Input'!O375),"",'Data Input'!O375)</f>
        <v/>
      </c>
      <c r="Q375" t="str">
        <f>IF(ISBLANK('Data Input'!P375),"",'Data Input'!P375)</f>
        <v/>
      </c>
      <c r="R375" t="b">
        <f>IF(ISBLANK('Data Input'!Q375),"",'Data Input'!Q375)</f>
        <v>0</v>
      </c>
      <c r="T375" s="2">
        <f t="shared" si="22"/>
        <v>43279</v>
      </c>
      <c r="U375" s="12">
        <f t="shared" si="23"/>
        <v>0.2638888888888889</v>
      </c>
      <c r="V375" s="2">
        <f t="shared" si="24"/>
        <v>43280</v>
      </c>
      <c r="W375" s="12">
        <f t="shared" si="25"/>
        <v>3.0555555555555555E-2</v>
      </c>
    </row>
    <row r="376" spans="1:23">
      <c r="A376">
        <f>IF(ISBLANK('Data Input'!A376),"",'Data Input'!A376)</f>
        <v>100</v>
      </c>
      <c r="B376" t="str">
        <f>IF(ISBLANK('Data Input'!B376),"",'Data Input'!B376)</f>
        <v>KS100</v>
      </c>
      <c r="C376" t="str">
        <f>IF(ISBLANK('Data Input'!C376),"",'Data Input'!C376)</f>
        <v>6/28/18 0620</v>
      </c>
      <c r="E376" t="str">
        <f>IF(ISBLANK('Data Input'!D376),"",'Data Input'!D376)</f>
        <v>6/29/18 0044</v>
      </c>
      <c r="G376">
        <f>IF(ISBLANK('Data Input'!E376),"",'Data Input'!E376)</f>
        <v>34</v>
      </c>
      <c r="H376" t="str">
        <f>IF(ISBLANK('Data Input'!F376),"",'Data Input'!F376)</f>
        <v>White</v>
      </c>
      <c r="I376" t="str">
        <f>IF(ISBLANK('Data Input'!G376),"",'Data Input'!G376)</f>
        <v>Caesarean</v>
      </c>
      <c r="J376" t="str">
        <f>IF(ISBLANK('Data Input'!I376),"",'Data Input'!I376)</f>
        <v>6=28=18 1825</v>
      </c>
      <c r="K376" t="str">
        <f>IF(ISBLANK('Data Input'!J376),"",'Data Input'!J376)</f>
        <v>tr - Toradol</v>
      </c>
      <c r="L376">
        <f>IF(ISBLANK('Data Input'!K376),"",'Data Input'!K376)</f>
        <v>30</v>
      </c>
      <c r="M376">
        <f>IF(ISBLANK('Data Input'!L376),"",'Data Input'!L376)</f>
        <v>4</v>
      </c>
      <c r="N376">
        <f>IF(ISBLANK('Data Input'!M376),"",'Data Input'!M376)</f>
        <v>3</v>
      </c>
      <c r="O376" t="str">
        <f>IF(ISBLANK('Data Input'!N376),"",'Data Input'!N376)</f>
        <v/>
      </c>
      <c r="P376" t="str">
        <f>IF(ISBLANK('Data Input'!O376),"",'Data Input'!O376)</f>
        <v/>
      </c>
      <c r="Q376" t="str">
        <f>IF(ISBLANK('Data Input'!P376),"",'Data Input'!P376)</f>
        <v/>
      </c>
      <c r="R376" t="b">
        <f>IF(ISBLANK('Data Input'!Q376),"",'Data Input'!Q376)</f>
        <v>0</v>
      </c>
      <c r="T376" s="2">
        <f t="shared" si="22"/>
        <v>43279</v>
      </c>
      <c r="U376" s="12">
        <f t="shared" si="23"/>
        <v>0.2638888888888889</v>
      </c>
      <c r="V376" s="2">
        <f t="shared" si="24"/>
        <v>43280</v>
      </c>
      <c r="W376" s="12">
        <f t="shared" si="25"/>
        <v>3.0555555555555555E-2</v>
      </c>
    </row>
    <row r="377" spans="1:23">
      <c r="A377">
        <f>IF(ISBLANK('Data Input'!A377),"",'Data Input'!A377)</f>
        <v>100</v>
      </c>
      <c r="B377" t="str">
        <f>IF(ISBLANK('Data Input'!B377),"",'Data Input'!B377)</f>
        <v>KS100</v>
      </c>
      <c r="C377" t="str">
        <f>IF(ISBLANK('Data Input'!C377),"",'Data Input'!C377)</f>
        <v>6/28/18 0620</v>
      </c>
      <c r="E377" t="str">
        <f>IF(ISBLANK('Data Input'!D377),"",'Data Input'!D377)</f>
        <v>6/29/18 0044</v>
      </c>
      <c r="G377">
        <f>IF(ISBLANK('Data Input'!E377),"",'Data Input'!E377)</f>
        <v>34</v>
      </c>
      <c r="H377" t="str">
        <f>IF(ISBLANK('Data Input'!F377),"",'Data Input'!F377)</f>
        <v>White</v>
      </c>
      <c r="I377" t="str">
        <f>IF(ISBLANK('Data Input'!G377),"",'Data Input'!G377)</f>
        <v>Caesarean</v>
      </c>
      <c r="J377" t="str">
        <f>IF(ISBLANK('Data Input'!I377),"",'Data Input'!I377)</f>
        <v>6=28=18 2338</v>
      </c>
      <c r="K377" t="str">
        <f>IF(ISBLANK('Data Input'!J377),"",'Data Input'!J377)</f>
        <v>rr - Percocet</v>
      </c>
      <c r="L377">
        <f>IF(ISBLANK('Data Input'!K377),"",'Data Input'!K377)</f>
        <v>2</v>
      </c>
      <c r="M377">
        <f>IF(ISBLANK('Data Input'!L377),"",'Data Input'!L377)</f>
        <v>5</v>
      </c>
      <c r="N377">
        <f>IF(ISBLANK('Data Input'!M377),"",'Data Input'!M377)</f>
        <v>4</v>
      </c>
      <c r="O377" t="str">
        <f>IF(ISBLANK('Data Input'!N377),"",'Data Input'!N377)</f>
        <v/>
      </c>
      <c r="P377" t="str">
        <f>IF(ISBLANK('Data Input'!O377),"",'Data Input'!O377)</f>
        <v/>
      </c>
      <c r="Q377" t="str">
        <f>IF(ISBLANK('Data Input'!P377),"",'Data Input'!P377)</f>
        <v/>
      </c>
      <c r="R377" t="b">
        <f>IF(ISBLANK('Data Input'!Q377),"",'Data Input'!Q377)</f>
        <v>0</v>
      </c>
      <c r="T377" s="2">
        <f t="shared" si="22"/>
        <v>43279</v>
      </c>
      <c r="U377" s="12">
        <f t="shared" si="23"/>
        <v>0.2638888888888889</v>
      </c>
      <c r="V377" s="2">
        <f t="shared" si="24"/>
        <v>43280</v>
      </c>
      <c r="W377" s="12">
        <f t="shared" si="25"/>
        <v>3.0555555555555555E-2</v>
      </c>
    </row>
    <row r="378" spans="1:23">
      <c r="A378">
        <f>IF(ISBLANK('Data Input'!A378),"",'Data Input'!A378)</f>
        <v>100</v>
      </c>
      <c r="B378" t="str">
        <f>IF(ISBLANK('Data Input'!B378),"",'Data Input'!B378)</f>
        <v>KS100</v>
      </c>
      <c r="C378" t="str">
        <f>IF(ISBLANK('Data Input'!C378),"",'Data Input'!C378)</f>
        <v>6/28/18 0620</v>
      </c>
      <c r="E378" t="str">
        <f>IF(ISBLANK('Data Input'!D378),"",'Data Input'!D378)</f>
        <v>6/29/18 0044</v>
      </c>
      <c r="G378">
        <f>IF(ISBLANK('Data Input'!E378),"",'Data Input'!E378)</f>
        <v>34</v>
      </c>
      <c r="H378" t="str">
        <f>IF(ISBLANK('Data Input'!F378),"",'Data Input'!F378)</f>
        <v>White</v>
      </c>
      <c r="I378" t="str">
        <f>IF(ISBLANK('Data Input'!G378),"",'Data Input'!G378)</f>
        <v>Caesarean</v>
      </c>
      <c r="J378" t="str">
        <f>IF(ISBLANK('Data Input'!I378),"",'Data Input'!I378)</f>
        <v>6=29=18 0044</v>
      </c>
      <c r="K378" t="str">
        <f>IF(ISBLANK('Data Input'!J378),"",'Data Input'!J378)</f>
        <v>tr - Toradol</v>
      </c>
      <c r="L378">
        <f>IF(ISBLANK('Data Input'!K378),"",'Data Input'!K378)</f>
        <v>30</v>
      </c>
      <c r="M378">
        <f>IF(ISBLANK('Data Input'!L378),"",'Data Input'!L378)</f>
        <v>4</v>
      </c>
      <c r="N378">
        <f>IF(ISBLANK('Data Input'!M378),"",'Data Input'!M378)</f>
        <v>4</v>
      </c>
      <c r="O378" t="str">
        <f>IF(ISBLANK('Data Input'!N378),"",'Data Input'!N378)</f>
        <v/>
      </c>
      <c r="P378" t="str">
        <f>IF(ISBLANK('Data Input'!O378),"",'Data Input'!O378)</f>
        <v/>
      </c>
      <c r="Q378" t="str">
        <f>IF(ISBLANK('Data Input'!P378),"",'Data Input'!P378)</f>
        <v/>
      </c>
      <c r="R378" t="b">
        <f>IF(ISBLANK('Data Input'!Q378),"",'Data Input'!Q378)</f>
        <v>0</v>
      </c>
      <c r="T378" s="2">
        <f t="shared" si="22"/>
        <v>43279</v>
      </c>
      <c r="U378" s="12">
        <f t="shared" si="23"/>
        <v>0.2638888888888889</v>
      </c>
      <c r="V378" s="2">
        <f t="shared" si="24"/>
        <v>43280</v>
      </c>
      <c r="W378" s="12">
        <f t="shared" si="25"/>
        <v>3.0555555555555555E-2</v>
      </c>
    </row>
    <row r="379" spans="1:23">
      <c r="A379">
        <f>IF(ISBLANK('Data Input'!A379),"",'Data Input'!A379)</f>
        <v>101</v>
      </c>
      <c r="B379" t="str">
        <f>IF(ISBLANK('Data Input'!B379),"",'Data Input'!B379)</f>
        <v>JN103</v>
      </c>
      <c r="C379" t="str">
        <f>IF(ISBLANK('Data Input'!C379),"",'Data Input'!C379)</f>
        <v>6/30/18 1518</v>
      </c>
      <c r="E379" t="str">
        <f>IF(ISBLANK('Data Input'!D379),"",'Data Input'!D379)</f>
        <v>7/1/18 1149</v>
      </c>
      <c r="G379">
        <f>IF(ISBLANK('Data Input'!E379),"",'Data Input'!E379)</f>
        <v>26</v>
      </c>
      <c r="H379" t="str">
        <f>IF(ISBLANK('Data Input'!F379),"",'Data Input'!F379)</f>
        <v>White</v>
      </c>
      <c r="I379" t="str">
        <f>IF(ISBLANK('Data Input'!G379),"",'Data Input'!G379)</f>
        <v>SVD</v>
      </c>
      <c r="J379" t="str">
        <f>IF(ISBLANK('Data Input'!I379),"",'Data Input'!I379)</f>
        <v>6=30=18 1607</v>
      </c>
      <c r="K379" t="str">
        <f>IF(ISBLANK('Data Input'!J379),"",'Data Input'!J379)</f>
        <v>bb - Ibuprofen</v>
      </c>
      <c r="L379">
        <f>IF(ISBLANK('Data Input'!K379),"",'Data Input'!K379)</f>
        <v>800</v>
      </c>
      <c r="M379">
        <f>IF(ISBLANK('Data Input'!L379),"",'Data Input'!L379)</f>
        <v>4</v>
      </c>
      <c r="N379">
        <f>IF(ISBLANK('Data Input'!M379),"",'Data Input'!M379)</f>
        <v>2</v>
      </c>
      <c r="O379" t="str">
        <f>IF(ISBLANK('Data Input'!N379),"",'Data Input'!N379)</f>
        <v/>
      </c>
      <c r="P379" t="str">
        <f>IF(ISBLANK('Data Input'!O379),"",'Data Input'!O379)</f>
        <v/>
      </c>
      <c r="Q379" t="str">
        <f>IF(ISBLANK('Data Input'!P379),"",'Data Input'!P379)</f>
        <v/>
      </c>
      <c r="R379" t="b">
        <f>IF(ISBLANK('Data Input'!Q379),"",'Data Input'!Q379)</f>
        <v>1</v>
      </c>
      <c r="T379" s="2">
        <f t="shared" si="22"/>
        <v>43281</v>
      </c>
      <c r="U379" s="12">
        <f t="shared" si="23"/>
        <v>0.63750000000000007</v>
      </c>
      <c r="V379" s="2">
        <f t="shared" si="24"/>
        <v>43282</v>
      </c>
      <c r="W379" s="12">
        <f t="shared" si="25"/>
        <v>0.49236111111111108</v>
      </c>
    </row>
    <row r="380" spans="1:23">
      <c r="A380">
        <f>IF(ISBLANK('Data Input'!A380),"",'Data Input'!A380)</f>
        <v>101</v>
      </c>
      <c r="B380" t="str">
        <f>IF(ISBLANK('Data Input'!B380),"",'Data Input'!B380)</f>
        <v>JN103</v>
      </c>
      <c r="C380" t="str">
        <f>IF(ISBLANK('Data Input'!C380),"",'Data Input'!C380)</f>
        <v>6/30/18 1518</v>
      </c>
      <c r="E380" t="str">
        <f>IF(ISBLANK('Data Input'!D380),"",'Data Input'!D380)</f>
        <v>7/1/18 1149</v>
      </c>
      <c r="G380">
        <f>IF(ISBLANK('Data Input'!E380),"",'Data Input'!E380)</f>
        <v>26</v>
      </c>
      <c r="H380" t="str">
        <f>IF(ISBLANK('Data Input'!F380),"",'Data Input'!F380)</f>
        <v>White</v>
      </c>
      <c r="I380" t="str">
        <f>IF(ISBLANK('Data Input'!G380),"",'Data Input'!G380)</f>
        <v>SVD</v>
      </c>
      <c r="J380" t="str">
        <f>IF(ISBLANK('Data Input'!I380),"",'Data Input'!I380)</f>
        <v>6=30=18 1607</v>
      </c>
      <c r="K380" t="str">
        <f>IF(ISBLANK('Data Input'!J380),"",'Data Input'!J380)</f>
        <v>cc - Norco</v>
      </c>
      <c r="L380">
        <f>IF(ISBLANK('Data Input'!K380),"",'Data Input'!K380)</f>
        <v>1</v>
      </c>
      <c r="M380">
        <f>IF(ISBLANK('Data Input'!L380),"",'Data Input'!L380)</f>
        <v>4</v>
      </c>
      <c r="N380">
        <f>IF(ISBLANK('Data Input'!M380),"",'Data Input'!M380)</f>
        <v>2</v>
      </c>
      <c r="O380" t="str">
        <f>IF(ISBLANK('Data Input'!N380),"",'Data Input'!N380)</f>
        <v/>
      </c>
      <c r="P380" t="str">
        <f>IF(ISBLANK('Data Input'!O380),"",'Data Input'!O380)</f>
        <v/>
      </c>
      <c r="Q380" t="str">
        <f>IF(ISBLANK('Data Input'!P380),"",'Data Input'!P380)</f>
        <v/>
      </c>
      <c r="R380" t="b">
        <f>IF(ISBLANK('Data Input'!Q380),"",'Data Input'!Q380)</f>
        <v>1</v>
      </c>
      <c r="T380" s="2">
        <f t="shared" si="22"/>
        <v>43281</v>
      </c>
      <c r="U380" s="12">
        <f t="shared" si="23"/>
        <v>0.63750000000000007</v>
      </c>
      <c r="V380" s="2">
        <f t="shared" si="24"/>
        <v>43282</v>
      </c>
      <c r="W380" s="12">
        <f t="shared" si="25"/>
        <v>0.49236111111111108</v>
      </c>
    </row>
    <row r="381" spans="1:23">
      <c r="A381">
        <f>IF(ISBLANK('Data Input'!A381),"",'Data Input'!A381)</f>
        <v>101</v>
      </c>
      <c r="B381" t="str">
        <f>IF(ISBLANK('Data Input'!B381),"",'Data Input'!B381)</f>
        <v>JN103</v>
      </c>
      <c r="C381" t="str">
        <f>IF(ISBLANK('Data Input'!C381),"",'Data Input'!C381)</f>
        <v>6/30/18 1518</v>
      </c>
      <c r="E381" t="str">
        <f>IF(ISBLANK('Data Input'!D381),"",'Data Input'!D381)</f>
        <v>7/1/18 1149</v>
      </c>
      <c r="G381">
        <f>IF(ISBLANK('Data Input'!E381),"",'Data Input'!E381)</f>
        <v>26</v>
      </c>
      <c r="H381" t="str">
        <f>IF(ISBLANK('Data Input'!F381),"",'Data Input'!F381)</f>
        <v>White</v>
      </c>
      <c r="I381" t="str">
        <f>IF(ISBLANK('Data Input'!G381),"",'Data Input'!G381)</f>
        <v>SVD</v>
      </c>
      <c r="J381" t="str">
        <f>IF(ISBLANK('Data Input'!I381),"",'Data Input'!I381)</f>
        <v>7=1=18 0550</v>
      </c>
      <c r="K381" t="str">
        <f>IF(ISBLANK('Data Input'!J381),"",'Data Input'!J381)</f>
        <v>bb - Ibuprofen</v>
      </c>
      <c r="L381">
        <f>IF(ISBLANK('Data Input'!K381),"",'Data Input'!K381)</f>
        <v>800</v>
      </c>
      <c r="M381">
        <f>IF(ISBLANK('Data Input'!L381),"",'Data Input'!L381)</f>
        <v>4</v>
      </c>
      <c r="N381">
        <f>IF(ISBLANK('Data Input'!M381),"",'Data Input'!M381)</f>
        <v>0</v>
      </c>
      <c r="O381" t="str">
        <f>IF(ISBLANK('Data Input'!N381),"",'Data Input'!N381)</f>
        <v/>
      </c>
      <c r="P381" t="str">
        <f>IF(ISBLANK('Data Input'!O381),"",'Data Input'!O381)</f>
        <v/>
      </c>
      <c r="Q381" t="str">
        <f>IF(ISBLANK('Data Input'!P381),"",'Data Input'!P381)</f>
        <v/>
      </c>
      <c r="R381" t="b">
        <f>IF(ISBLANK('Data Input'!Q381),"",'Data Input'!Q381)</f>
        <v>1</v>
      </c>
      <c r="T381" s="2">
        <f t="shared" si="22"/>
        <v>43281</v>
      </c>
      <c r="U381" s="12">
        <f t="shared" si="23"/>
        <v>0.63750000000000007</v>
      </c>
      <c r="V381" s="2">
        <f t="shared" si="24"/>
        <v>43282</v>
      </c>
      <c r="W381" s="12">
        <f t="shared" si="25"/>
        <v>0.49236111111111108</v>
      </c>
    </row>
    <row r="382" spans="1:23">
      <c r="A382">
        <f>IF(ISBLANK('Data Input'!A382),"",'Data Input'!A382)</f>
        <v>101</v>
      </c>
      <c r="B382" t="str">
        <f>IF(ISBLANK('Data Input'!B382),"",'Data Input'!B382)</f>
        <v>JN103</v>
      </c>
      <c r="C382" t="str">
        <f>IF(ISBLANK('Data Input'!C382),"",'Data Input'!C382)</f>
        <v>6/30/18 1518</v>
      </c>
      <c r="E382" t="str">
        <f>IF(ISBLANK('Data Input'!D382),"",'Data Input'!D382)</f>
        <v>7/1/18 1149</v>
      </c>
      <c r="G382">
        <f>IF(ISBLANK('Data Input'!E382),"",'Data Input'!E382)</f>
        <v>26</v>
      </c>
      <c r="H382" t="str">
        <f>IF(ISBLANK('Data Input'!F382),"",'Data Input'!F382)</f>
        <v>White</v>
      </c>
      <c r="I382" t="str">
        <f>IF(ISBLANK('Data Input'!G382),"",'Data Input'!G382)</f>
        <v>SVD</v>
      </c>
      <c r="J382" t="str">
        <f>IF(ISBLANK('Data Input'!I382),"",'Data Input'!I382)</f>
        <v>7=1=18 0550</v>
      </c>
      <c r="K382" t="str">
        <f>IF(ISBLANK('Data Input'!J382),"",'Data Input'!J382)</f>
        <v>rr - Percocet</v>
      </c>
      <c r="L382">
        <f>IF(ISBLANK('Data Input'!K382),"",'Data Input'!K382)</f>
        <v>1</v>
      </c>
      <c r="M382">
        <f>IF(ISBLANK('Data Input'!L382),"",'Data Input'!L382)</f>
        <v>4</v>
      </c>
      <c r="N382">
        <f>IF(ISBLANK('Data Input'!M382),"",'Data Input'!M382)</f>
        <v>0</v>
      </c>
      <c r="O382" t="str">
        <f>IF(ISBLANK('Data Input'!N382),"",'Data Input'!N382)</f>
        <v/>
      </c>
      <c r="P382" t="str">
        <f>IF(ISBLANK('Data Input'!O382),"",'Data Input'!O382)</f>
        <v/>
      </c>
      <c r="Q382" t="str">
        <f>IF(ISBLANK('Data Input'!P382),"",'Data Input'!P382)</f>
        <v/>
      </c>
      <c r="R382" t="b">
        <f>IF(ISBLANK('Data Input'!Q382),"",'Data Input'!Q382)</f>
        <v>1</v>
      </c>
      <c r="T382" s="2">
        <f t="shared" si="22"/>
        <v>43281</v>
      </c>
      <c r="U382" s="12">
        <f t="shared" si="23"/>
        <v>0.63750000000000007</v>
      </c>
      <c r="V382" s="2">
        <f t="shared" si="24"/>
        <v>43282</v>
      </c>
      <c r="W382" s="12">
        <f t="shared" si="25"/>
        <v>0.49236111111111108</v>
      </c>
    </row>
    <row r="383" spans="1:23">
      <c r="A383">
        <f>IF(ISBLANK('Data Input'!A383),"",'Data Input'!A383)</f>
        <v>101</v>
      </c>
      <c r="B383" t="str">
        <f>IF(ISBLANK('Data Input'!B383),"",'Data Input'!B383)</f>
        <v>JN103</v>
      </c>
      <c r="C383" t="str">
        <f>IF(ISBLANK('Data Input'!C383),"",'Data Input'!C383)</f>
        <v>6/30/18 1518</v>
      </c>
      <c r="E383" t="str">
        <f>IF(ISBLANK('Data Input'!D383),"",'Data Input'!D383)</f>
        <v>7/1/18 1149</v>
      </c>
      <c r="G383">
        <f>IF(ISBLANK('Data Input'!E383),"",'Data Input'!E383)</f>
        <v>26</v>
      </c>
      <c r="H383" t="str">
        <f>IF(ISBLANK('Data Input'!F383),"",'Data Input'!F383)</f>
        <v>White</v>
      </c>
      <c r="I383" t="str">
        <f>IF(ISBLANK('Data Input'!G383),"",'Data Input'!G383)</f>
        <v>SVD</v>
      </c>
      <c r="J383" t="str">
        <f>IF(ISBLANK('Data Input'!I383),"",'Data Input'!I383)</f>
        <v>7=1=18 1149</v>
      </c>
      <c r="K383" t="str">
        <f>IF(ISBLANK('Data Input'!J383),"",'Data Input'!J383)</f>
        <v>bb - Ibuprofen</v>
      </c>
      <c r="L383">
        <f>IF(ISBLANK('Data Input'!K383),"",'Data Input'!K383)</f>
        <v>800</v>
      </c>
      <c r="M383">
        <f>IF(ISBLANK('Data Input'!L383),"",'Data Input'!L383)</f>
        <v>3</v>
      </c>
      <c r="N383">
        <f>IF(ISBLANK('Data Input'!M383),"",'Data Input'!M383)</f>
        <v>0</v>
      </c>
      <c r="O383" t="str">
        <f>IF(ISBLANK('Data Input'!N383),"",'Data Input'!N383)</f>
        <v/>
      </c>
      <c r="P383" t="str">
        <f>IF(ISBLANK('Data Input'!O383),"",'Data Input'!O383)</f>
        <v/>
      </c>
      <c r="Q383" t="str">
        <f>IF(ISBLANK('Data Input'!P383),"",'Data Input'!P383)</f>
        <v/>
      </c>
      <c r="R383" t="b">
        <f>IF(ISBLANK('Data Input'!Q383),"",'Data Input'!Q383)</f>
        <v>1</v>
      </c>
      <c r="T383" s="2">
        <f t="shared" si="22"/>
        <v>43281</v>
      </c>
      <c r="U383" s="12">
        <f t="shared" si="23"/>
        <v>0.63750000000000007</v>
      </c>
      <c r="V383" s="2">
        <f t="shared" si="24"/>
        <v>43282</v>
      </c>
      <c r="W383" s="12">
        <f t="shared" si="25"/>
        <v>0.49236111111111108</v>
      </c>
    </row>
    <row r="384" spans="1:23">
      <c r="A384">
        <f>IF(ISBLANK('Data Input'!A384),"",'Data Input'!A384)</f>
        <v>102</v>
      </c>
      <c r="B384" t="str">
        <f>IF(ISBLANK('Data Input'!B384),"",'Data Input'!B384)</f>
        <v>JB101</v>
      </c>
      <c r="C384" t="str">
        <f>IF(ISBLANK('Data Input'!C384),"",'Data Input'!C384)</f>
        <v>6/30/18 1900</v>
      </c>
      <c r="E384" t="str">
        <f>IF(ISBLANK('Data Input'!D384),"",'Data Input'!D384)</f>
        <v>7/1/18 1900</v>
      </c>
      <c r="G384">
        <f>IF(ISBLANK('Data Input'!E384),"",'Data Input'!E384)</f>
        <v>37</v>
      </c>
      <c r="H384" t="str">
        <f>IF(ISBLANK('Data Input'!F384),"",'Data Input'!F384)</f>
        <v>White</v>
      </c>
      <c r="I384" t="str">
        <f>IF(ISBLANK('Data Input'!G384),"",'Data Input'!G384)</f>
        <v>SVD</v>
      </c>
      <c r="J384" t="str">
        <f>IF(ISBLANK('Data Input'!I384),"",'Data Input'!I384)</f>
        <v>NA</v>
      </c>
      <c r="K384" t="str">
        <f>IF(ISBLANK('Data Input'!J384),"",'Data Input'!J384)</f>
        <v>NA</v>
      </c>
      <c r="L384" t="str">
        <f>IF(ISBLANK('Data Input'!K384),"",'Data Input'!K384)</f>
        <v>NA</v>
      </c>
      <c r="M384" t="str">
        <f>IF(ISBLANK('Data Input'!L384),"",'Data Input'!L384)</f>
        <v>NA</v>
      </c>
      <c r="N384" t="str">
        <f>IF(ISBLANK('Data Input'!M384),"",'Data Input'!M384)</f>
        <v>NA</v>
      </c>
      <c r="O384" t="str">
        <f>IF(ISBLANK('Data Input'!N384),"",'Data Input'!N384)</f>
        <v>NA</v>
      </c>
      <c r="P384" t="str">
        <f>IF(ISBLANK('Data Input'!O384),"",'Data Input'!O384)</f>
        <v/>
      </c>
      <c r="Q384" t="str">
        <f>IF(ISBLANK('Data Input'!P384),"",'Data Input'!P384)</f>
        <v/>
      </c>
      <c r="R384" t="b">
        <f>IF(ISBLANK('Data Input'!Q384),"",'Data Input'!Q384)</f>
        <v>0</v>
      </c>
      <c r="T384" s="2">
        <f t="shared" si="22"/>
        <v>43281</v>
      </c>
      <c r="U384" s="12">
        <f t="shared" si="23"/>
        <v>0.79166666666666663</v>
      </c>
      <c r="V384" s="2">
        <f t="shared" si="24"/>
        <v>43282</v>
      </c>
      <c r="W384" s="12">
        <f t="shared" si="25"/>
        <v>0.79166666666666663</v>
      </c>
    </row>
    <row r="385" spans="1:23">
      <c r="A385">
        <f>IF(ISBLANK('Data Input'!A385),"",'Data Input'!A385)</f>
        <v>103</v>
      </c>
      <c r="B385" t="str">
        <f>IF(ISBLANK('Data Input'!B385),"",'Data Input'!B385)</f>
        <v>CJ102</v>
      </c>
      <c r="C385" t="str">
        <f>IF(ISBLANK('Data Input'!C385),"",'Data Input'!C385)</f>
        <v>6/30/18 1755</v>
      </c>
      <c r="E385" t="str">
        <f>IF(ISBLANK('Data Input'!D385),"",'Data Input'!D385)</f>
        <v>7/1/18 1158</v>
      </c>
      <c r="G385">
        <f>IF(ISBLANK('Data Input'!E385),"",'Data Input'!E385)</f>
        <v>27</v>
      </c>
      <c r="H385" t="str">
        <f>IF(ISBLANK('Data Input'!F385),"",'Data Input'!F385)</f>
        <v>bb - Black</v>
      </c>
      <c r="I385" t="str">
        <f>IF(ISBLANK('Data Input'!G385),"",'Data Input'!G385)</f>
        <v>SVD</v>
      </c>
      <c r="J385" t="str">
        <f>IF(ISBLANK('Data Input'!I385),"",'Data Input'!I385)</f>
        <v>7=1=18 0437</v>
      </c>
      <c r="K385" t="str">
        <f>IF(ISBLANK('Data Input'!J385),"",'Data Input'!J385)</f>
        <v>bb - Ibuprofen</v>
      </c>
      <c r="L385">
        <f>IF(ISBLANK('Data Input'!K385),"",'Data Input'!K385)</f>
        <v>800</v>
      </c>
      <c r="M385">
        <f>IF(ISBLANK('Data Input'!L385),"",'Data Input'!L385)</f>
        <v>6</v>
      </c>
      <c r="N385">
        <f>IF(ISBLANK('Data Input'!M385),"",'Data Input'!M385)</f>
        <v>2</v>
      </c>
      <c r="O385" t="str">
        <f>IF(ISBLANK('Data Input'!N385),"",'Data Input'!N385)</f>
        <v/>
      </c>
      <c r="P385" t="str">
        <f>IF(ISBLANK('Data Input'!O385),"",'Data Input'!O385)</f>
        <v/>
      </c>
      <c r="Q385" t="str">
        <f>IF(ISBLANK('Data Input'!P385),"",'Data Input'!P385)</f>
        <v/>
      </c>
      <c r="R385" t="b">
        <f>IF(ISBLANK('Data Input'!Q385),"",'Data Input'!Q385)</f>
        <v>1</v>
      </c>
      <c r="T385" s="2">
        <f t="shared" si="22"/>
        <v>43281</v>
      </c>
      <c r="U385" s="12">
        <f t="shared" si="23"/>
        <v>0.74652777777777779</v>
      </c>
      <c r="V385" s="2">
        <f t="shared" si="24"/>
        <v>43282</v>
      </c>
      <c r="W385" s="12">
        <f t="shared" si="25"/>
        <v>0.49861111111111112</v>
      </c>
    </row>
    <row r="386" spans="1:23">
      <c r="A386">
        <f>IF(ISBLANK('Data Input'!A386),"",'Data Input'!A386)</f>
        <v>103</v>
      </c>
      <c r="B386" t="str">
        <f>IF(ISBLANK('Data Input'!B386),"",'Data Input'!B386)</f>
        <v>CJ102</v>
      </c>
      <c r="C386" t="str">
        <f>IF(ISBLANK('Data Input'!C386),"",'Data Input'!C386)</f>
        <v>6/30/18 1755</v>
      </c>
      <c r="E386" t="str">
        <f>IF(ISBLANK('Data Input'!D386),"",'Data Input'!D386)</f>
        <v>7/1/18 1158</v>
      </c>
      <c r="G386">
        <f>IF(ISBLANK('Data Input'!E386),"",'Data Input'!E386)</f>
        <v>27</v>
      </c>
      <c r="H386" t="str">
        <f>IF(ISBLANK('Data Input'!F386),"",'Data Input'!F386)</f>
        <v>bb - Black</v>
      </c>
      <c r="I386" t="str">
        <f>IF(ISBLANK('Data Input'!G386),"",'Data Input'!G386)</f>
        <v>SVD</v>
      </c>
      <c r="J386" t="str">
        <f>IF(ISBLANK('Data Input'!I386),"",'Data Input'!I386)</f>
        <v>7=1=18 1158</v>
      </c>
      <c r="K386" t="str">
        <f>IF(ISBLANK('Data Input'!J386),"",'Data Input'!J386)</f>
        <v>bb - Ibuprofen</v>
      </c>
      <c r="L386">
        <f>IF(ISBLANK('Data Input'!K386),"",'Data Input'!K386)</f>
        <v>800</v>
      </c>
      <c r="M386">
        <f>IF(ISBLANK('Data Input'!L386),"",'Data Input'!L386)</f>
        <v>0</v>
      </c>
      <c r="N386">
        <f>IF(ISBLANK('Data Input'!M386),"",'Data Input'!M386)</f>
        <v>0</v>
      </c>
      <c r="O386" t="str">
        <f>IF(ISBLANK('Data Input'!N386),"",'Data Input'!N386)</f>
        <v/>
      </c>
      <c r="P386" t="str">
        <f>IF(ISBLANK('Data Input'!O386),"",'Data Input'!O386)</f>
        <v/>
      </c>
      <c r="Q386" t="str">
        <f>IF(ISBLANK('Data Input'!P386),"",'Data Input'!P386)</f>
        <v/>
      </c>
      <c r="R386" t="b">
        <f>IF(ISBLANK('Data Input'!Q386),"",'Data Input'!Q386)</f>
        <v>1</v>
      </c>
      <c r="T386" s="2">
        <f t="shared" si="22"/>
        <v>43281</v>
      </c>
      <c r="U386" s="12">
        <f t="shared" si="23"/>
        <v>0.74652777777777779</v>
      </c>
      <c r="V386" s="2">
        <f t="shared" si="24"/>
        <v>43282</v>
      </c>
      <c r="W386" s="12">
        <f t="shared" si="25"/>
        <v>0.49861111111111112</v>
      </c>
    </row>
    <row r="387" spans="1:23">
      <c r="A387">
        <f>IF(ISBLANK('Data Input'!A387),"",'Data Input'!A387)</f>
        <v>104</v>
      </c>
      <c r="B387" t="str">
        <f>IF(ISBLANK('Data Input'!B387),"",'Data Input'!B387)</f>
        <v>AM103</v>
      </c>
      <c r="C387" t="str">
        <f>IF(ISBLANK('Data Input'!C387),"",'Data Input'!C387)</f>
        <v>7/2/18 1005</v>
      </c>
      <c r="E387" t="str">
        <f>IF(ISBLANK('Data Input'!D387),"",'Data Input'!D387)</f>
        <v>7/3/18 0717</v>
      </c>
      <c r="G387">
        <f>IF(ISBLANK('Data Input'!E387),"",'Data Input'!E387)</f>
        <v>29</v>
      </c>
      <c r="H387" t="str">
        <f>IF(ISBLANK('Data Input'!F387),"",'Data Input'!F387)</f>
        <v>bb - Black</v>
      </c>
      <c r="I387" t="str">
        <f>IF(ISBLANK('Data Input'!G387),"",'Data Input'!G387)</f>
        <v>SVD</v>
      </c>
      <c r="J387" t="str">
        <f>IF(ISBLANK('Data Input'!I387),"",'Data Input'!I387)</f>
        <v>7=2=18 2323</v>
      </c>
      <c r="K387" t="str">
        <f>IF(ISBLANK('Data Input'!J387),"",'Data Input'!J387)</f>
        <v>bb - Ibuprofen</v>
      </c>
      <c r="L387">
        <f>IF(ISBLANK('Data Input'!K387),"",'Data Input'!K387)</f>
        <v>800</v>
      </c>
      <c r="M387">
        <f>IF(ISBLANK('Data Input'!L387),"",'Data Input'!L387)</f>
        <v>3</v>
      </c>
      <c r="N387">
        <f>IF(ISBLANK('Data Input'!M387),"",'Data Input'!M387)</f>
        <v>0</v>
      </c>
      <c r="O387" t="str">
        <f>IF(ISBLANK('Data Input'!N387),"",'Data Input'!N387)</f>
        <v/>
      </c>
      <c r="P387" t="str">
        <f>IF(ISBLANK('Data Input'!O387),"",'Data Input'!O387)</f>
        <v/>
      </c>
      <c r="Q387" t="str">
        <f>IF(ISBLANK('Data Input'!P387),"",'Data Input'!P387)</f>
        <v/>
      </c>
      <c r="R387" t="b">
        <f>IF(ISBLANK('Data Input'!Q387),"",'Data Input'!Q387)</f>
        <v>0</v>
      </c>
      <c r="T387" s="2">
        <f t="shared" ref="T387:T450" si="26">DATEVALUE(LEFT(C387,FIND(" ",C387)))</f>
        <v>43283</v>
      </c>
      <c r="U387" s="12">
        <f t="shared" ref="U387:U450" si="27">TIMEVALUE(CONCATENATE(MID(C387,FIND(" ",C387)+1,2),":",RIGHT(C387,LEN(C387)-FIND(" ",C387)-2)))</f>
        <v>0.4201388888888889</v>
      </c>
      <c r="V387" s="2">
        <f t="shared" si="24"/>
        <v>43284</v>
      </c>
      <c r="W387" s="12">
        <f t="shared" si="25"/>
        <v>0.3034722222222222</v>
      </c>
    </row>
    <row r="388" spans="1:23">
      <c r="A388">
        <f>IF(ISBLANK('Data Input'!A388),"",'Data Input'!A388)</f>
        <v>104</v>
      </c>
      <c r="B388" t="str">
        <f>IF(ISBLANK('Data Input'!B388),"",'Data Input'!B388)</f>
        <v>AM103</v>
      </c>
      <c r="C388" t="str">
        <f>IF(ISBLANK('Data Input'!C388),"",'Data Input'!C388)</f>
        <v>7/2/18 1005</v>
      </c>
      <c r="E388" t="str">
        <f>IF(ISBLANK('Data Input'!D388),"",'Data Input'!D388)</f>
        <v>7/3/18 0717</v>
      </c>
      <c r="G388">
        <f>IF(ISBLANK('Data Input'!E388),"",'Data Input'!E388)</f>
        <v>29</v>
      </c>
      <c r="H388" t="str">
        <f>IF(ISBLANK('Data Input'!F388),"",'Data Input'!F388)</f>
        <v>bb - Black</v>
      </c>
      <c r="I388" t="str">
        <f>IF(ISBLANK('Data Input'!G388),"",'Data Input'!G388)</f>
        <v>SVD</v>
      </c>
      <c r="J388" t="str">
        <f>IF(ISBLANK('Data Input'!I388),"",'Data Input'!I388)</f>
        <v>7=3=18 0717</v>
      </c>
      <c r="K388" t="str">
        <f>IF(ISBLANK('Data Input'!J388),"",'Data Input'!J388)</f>
        <v>bb - Ibuprofen</v>
      </c>
      <c r="L388">
        <f>IF(ISBLANK('Data Input'!K388),"",'Data Input'!K388)</f>
        <v>800</v>
      </c>
      <c r="M388">
        <f>IF(ISBLANK('Data Input'!L388),"",'Data Input'!L388)</f>
        <v>4</v>
      </c>
      <c r="N388">
        <f>IF(ISBLANK('Data Input'!M388),"",'Data Input'!M388)</f>
        <v>0</v>
      </c>
      <c r="O388" t="str">
        <f>IF(ISBLANK('Data Input'!N388),"",'Data Input'!N388)</f>
        <v/>
      </c>
      <c r="P388" t="str">
        <f>IF(ISBLANK('Data Input'!O388),"",'Data Input'!O388)</f>
        <v/>
      </c>
      <c r="Q388" t="str">
        <f>IF(ISBLANK('Data Input'!P388),"",'Data Input'!P388)</f>
        <v/>
      </c>
      <c r="R388" t="b">
        <f>IF(ISBLANK('Data Input'!Q388),"",'Data Input'!Q388)</f>
        <v>0</v>
      </c>
      <c r="T388" s="2">
        <f t="shared" si="26"/>
        <v>43283</v>
      </c>
      <c r="U388" s="12">
        <f t="shared" si="27"/>
        <v>0.4201388888888889</v>
      </c>
      <c r="V388" s="2">
        <f t="shared" si="24"/>
        <v>43284</v>
      </c>
      <c r="W388" s="12">
        <f t="shared" si="25"/>
        <v>0.3034722222222222</v>
      </c>
    </row>
    <row r="389" spans="1:23">
      <c r="A389">
        <f>IF(ISBLANK('Data Input'!A389),"",'Data Input'!A389)</f>
        <v>105</v>
      </c>
      <c r="B389" t="str">
        <f>IF(ISBLANK('Data Input'!B389),"",'Data Input'!B389)</f>
        <v>MM104</v>
      </c>
      <c r="C389" t="str">
        <f>IF(ISBLANK('Data Input'!C389),"",'Data Input'!C389)</f>
        <v>7/2/18 1342</v>
      </c>
      <c r="E389" t="str">
        <f>IF(ISBLANK('Data Input'!D389),"",'Data Input'!D389)</f>
        <v>7/3/18 0934</v>
      </c>
      <c r="G389">
        <f>IF(ISBLANK('Data Input'!E389),"",'Data Input'!E389)</f>
        <v>27</v>
      </c>
      <c r="H389" t="str">
        <f>IF(ISBLANK('Data Input'!F389),"",'Data Input'!F389)</f>
        <v>White</v>
      </c>
      <c r="I389" t="str">
        <f>IF(ISBLANK('Data Input'!G389),"",'Data Input'!G389)</f>
        <v>SVD</v>
      </c>
      <c r="J389" t="str">
        <f>IF(ISBLANK('Data Input'!I389),"",'Data Input'!I389)</f>
        <v>7=2=18 1654</v>
      </c>
      <c r="K389" t="str">
        <f>IF(ISBLANK('Data Input'!J389),"",'Data Input'!J389)</f>
        <v>bb - Ibuprofen</v>
      </c>
      <c r="L389">
        <f>IF(ISBLANK('Data Input'!K389),"",'Data Input'!K389)</f>
        <v>800</v>
      </c>
      <c r="M389">
        <f>IF(ISBLANK('Data Input'!L389),"",'Data Input'!L389)</f>
        <v>0</v>
      </c>
      <c r="N389">
        <f>IF(ISBLANK('Data Input'!M389),"",'Data Input'!M389)</f>
        <v>0</v>
      </c>
      <c r="O389" t="str">
        <f>IF(ISBLANK('Data Input'!N389),"",'Data Input'!N389)</f>
        <v/>
      </c>
      <c r="P389" t="str">
        <f>IF(ISBLANK('Data Input'!O389),"",'Data Input'!O389)</f>
        <v/>
      </c>
      <c r="Q389" t="str">
        <f>IF(ISBLANK('Data Input'!P389),"",'Data Input'!P389)</f>
        <v/>
      </c>
      <c r="R389" t="b">
        <f>IF(ISBLANK('Data Input'!Q389),"",'Data Input'!Q389)</f>
        <v>1</v>
      </c>
      <c r="T389" s="2">
        <f t="shared" si="26"/>
        <v>43283</v>
      </c>
      <c r="U389" s="12">
        <f t="shared" si="27"/>
        <v>0.5708333333333333</v>
      </c>
      <c r="V389" s="2">
        <f t="shared" si="24"/>
        <v>43284</v>
      </c>
      <c r="W389" s="12">
        <f t="shared" si="25"/>
        <v>0.39861111111111108</v>
      </c>
    </row>
    <row r="390" spans="1:23">
      <c r="A390">
        <f>IF(ISBLANK('Data Input'!A390),"",'Data Input'!A390)</f>
        <v>105</v>
      </c>
      <c r="B390" t="str">
        <f>IF(ISBLANK('Data Input'!B390),"",'Data Input'!B390)</f>
        <v>MM104</v>
      </c>
      <c r="C390" t="str">
        <f>IF(ISBLANK('Data Input'!C390),"",'Data Input'!C390)</f>
        <v>7/2/18 1342</v>
      </c>
      <c r="E390" t="str">
        <f>IF(ISBLANK('Data Input'!D390),"",'Data Input'!D390)</f>
        <v>7/3/18 0934</v>
      </c>
      <c r="G390">
        <f>IF(ISBLANK('Data Input'!E390),"",'Data Input'!E390)</f>
        <v>27</v>
      </c>
      <c r="H390" t="str">
        <f>IF(ISBLANK('Data Input'!F390),"",'Data Input'!F390)</f>
        <v>White</v>
      </c>
      <c r="I390" t="str">
        <f>IF(ISBLANK('Data Input'!G390),"",'Data Input'!G390)</f>
        <v>SVD</v>
      </c>
      <c r="J390" t="str">
        <f>IF(ISBLANK('Data Input'!I390),"",'Data Input'!I390)</f>
        <v>7=3=18 0934</v>
      </c>
      <c r="K390" t="str">
        <f>IF(ISBLANK('Data Input'!J390),"",'Data Input'!J390)</f>
        <v>bb - Ibuprofen</v>
      </c>
      <c r="L390">
        <f>IF(ISBLANK('Data Input'!K390),"",'Data Input'!K390)</f>
        <v>800</v>
      </c>
      <c r="M390">
        <f>IF(ISBLANK('Data Input'!L390),"",'Data Input'!L390)</f>
        <v>1</v>
      </c>
      <c r="N390">
        <f>IF(ISBLANK('Data Input'!M390),"",'Data Input'!M390)</f>
        <v>3</v>
      </c>
      <c r="O390" t="str">
        <f>IF(ISBLANK('Data Input'!N390),"",'Data Input'!N390)</f>
        <v/>
      </c>
      <c r="P390" t="str">
        <f>IF(ISBLANK('Data Input'!O390),"",'Data Input'!O390)</f>
        <v/>
      </c>
      <c r="Q390" t="str">
        <f>IF(ISBLANK('Data Input'!P390),"",'Data Input'!P390)</f>
        <v/>
      </c>
      <c r="R390" t="b">
        <f>IF(ISBLANK('Data Input'!Q390),"",'Data Input'!Q390)</f>
        <v>1</v>
      </c>
      <c r="T390" s="2">
        <f t="shared" si="26"/>
        <v>43283</v>
      </c>
      <c r="U390" s="12">
        <f t="shared" si="27"/>
        <v>0.5708333333333333</v>
      </c>
      <c r="V390" s="2">
        <f t="shared" si="24"/>
        <v>43284</v>
      </c>
      <c r="W390" s="12">
        <f t="shared" si="25"/>
        <v>0.39861111111111108</v>
      </c>
    </row>
    <row r="391" spans="1:23">
      <c r="A391">
        <f>IF(ISBLANK('Data Input'!A391),"",'Data Input'!A391)</f>
        <v>106</v>
      </c>
      <c r="B391" t="str">
        <f>IF(ISBLANK('Data Input'!B391),"",'Data Input'!B391)</f>
        <v>LE105</v>
      </c>
      <c r="C391" t="str">
        <f>IF(ISBLANK('Data Input'!C391),"",'Data Input'!C391)</f>
        <v>7/2/18 0140</v>
      </c>
      <c r="E391" t="str">
        <f>IF(ISBLANK('Data Input'!D391),"",'Data Input'!D391)</f>
        <v>7/3/18 0741</v>
      </c>
      <c r="G391">
        <f>IF(ISBLANK('Data Input'!E391),"",'Data Input'!E391)</f>
        <v>37</v>
      </c>
      <c r="H391" t="str">
        <f>IF(ISBLANK('Data Input'!F391),"",'Data Input'!F391)</f>
        <v>bb - Black</v>
      </c>
      <c r="I391" t="str">
        <f>IF(ISBLANK('Data Input'!G391),"",'Data Input'!G391)</f>
        <v>SVD</v>
      </c>
      <c r="J391" t="str">
        <f>IF(ISBLANK('Data Input'!I391),"",'Data Input'!I391)</f>
        <v>7=2=18 0105</v>
      </c>
      <c r="K391" t="str">
        <f>IF(ISBLANK('Data Input'!J391),"",'Data Input'!J391)</f>
        <v>bb - Ibuprofen</v>
      </c>
      <c r="L391">
        <f>IF(ISBLANK('Data Input'!K391),"",'Data Input'!K391)</f>
        <v>800</v>
      </c>
      <c r="M391">
        <f>IF(ISBLANK('Data Input'!L391),"",'Data Input'!L391)</f>
        <v>0</v>
      </c>
      <c r="N391">
        <f>IF(ISBLANK('Data Input'!M391),"",'Data Input'!M391)</f>
        <v>0</v>
      </c>
      <c r="O391" t="str">
        <f>IF(ISBLANK('Data Input'!N391),"",'Data Input'!N391)</f>
        <v/>
      </c>
      <c r="P391" t="str">
        <f>IF(ISBLANK('Data Input'!O391),"",'Data Input'!O391)</f>
        <v/>
      </c>
      <c r="Q391" t="str">
        <f>IF(ISBLANK('Data Input'!P391),"",'Data Input'!P391)</f>
        <v/>
      </c>
      <c r="R391" t="b">
        <f>IF(ISBLANK('Data Input'!Q391),"",'Data Input'!Q391)</f>
        <v>0</v>
      </c>
      <c r="T391" s="2">
        <f t="shared" si="26"/>
        <v>43283</v>
      </c>
      <c r="U391" s="12">
        <f t="shared" si="27"/>
        <v>6.9444444444444434E-2</v>
      </c>
      <c r="V391" s="2">
        <f t="shared" ref="V391:V454" si="28">IFERROR(DATEVALUE(LEFT(E391,FIND(" ",E391))),E391)</f>
        <v>43284</v>
      </c>
      <c r="W391" s="12">
        <f t="shared" ref="W391:W454" si="29">IFERROR(TIMEVALUE(CONCATENATE(MID(E391,FIND(" ",E391)+1,2),":",RIGHT(E391,LEN(E391)-FIND(" ",E391)-2))),E391)</f>
        <v>0.32013888888888892</v>
      </c>
    </row>
    <row r="392" spans="1:23">
      <c r="A392">
        <f>IF(ISBLANK('Data Input'!A392),"",'Data Input'!A392)</f>
        <v>106</v>
      </c>
      <c r="B392" t="str">
        <f>IF(ISBLANK('Data Input'!B392),"",'Data Input'!B392)</f>
        <v>LE105</v>
      </c>
      <c r="C392" t="str">
        <f>IF(ISBLANK('Data Input'!C392),"",'Data Input'!C392)</f>
        <v>7/2/18 0140</v>
      </c>
      <c r="E392" t="str">
        <f>IF(ISBLANK('Data Input'!D392),"",'Data Input'!D392)</f>
        <v>7/3/18 0741</v>
      </c>
      <c r="G392">
        <f>IF(ISBLANK('Data Input'!E392),"",'Data Input'!E392)</f>
        <v>37</v>
      </c>
      <c r="H392" t="str">
        <f>IF(ISBLANK('Data Input'!F392),"",'Data Input'!F392)</f>
        <v>bb - Black</v>
      </c>
      <c r="I392" t="str">
        <f>IF(ISBLANK('Data Input'!G392),"",'Data Input'!G392)</f>
        <v>SVD</v>
      </c>
      <c r="J392" t="str">
        <f>IF(ISBLANK('Data Input'!I392),"",'Data Input'!I392)</f>
        <v>7=2=18 0941</v>
      </c>
      <c r="K392" t="str">
        <f>IF(ISBLANK('Data Input'!J392),"",'Data Input'!J392)</f>
        <v>bb - Ibuprofen</v>
      </c>
      <c r="L392">
        <f>IF(ISBLANK('Data Input'!K392),"",'Data Input'!K392)</f>
        <v>800</v>
      </c>
      <c r="M392">
        <f>IF(ISBLANK('Data Input'!L392),"",'Data Input'!L392)</f>
        <v>3</v>
      </c>
      <c r="N392">
        <f>IF(ISBLANK('Data Input'!M392),"",'Data Input'!M392)</f>
        <v>0</v>
      </c>
      <c r="O392" t="str">
        <f>IF(ISBLANK('Data Input'!N392),"",'Data Input'!N392)</f>
        <v/>
      </c>
      <c r="P392" t="str">
        <f>IF(ISBLANK('Data Input'!O392),"",'Data Input'!O392)</f>
        <v/>
      </c>
      <c r="Q392" t="str">
        <f>IF(ISBLANK('Data Input'!P392),"",'Data Input'!P392)</f>
        <v/>
      </c>
      <c r="R392" t="b">
        <f>IF(ISBLANK('Data Input'!Q392),"",'Data Input'!Q392)</f>
        <v>0</v>
      </c>
      <c r="T392" s="2">
        <f t="shared" si="26"/>
        <v>43283</v>
      </c>
      <c r="U392" s="12">
        <f t="shared" si="27"/>
        <v>6.9444444444444434E-2</v>
      </c>
      <c r="V392" s="2">
        <f t="shared" si="28"/>
        <v>43284</v>
      </c>
      <c r="W392" s="12">
        <f t="shared" si="29"/>
        <v>0.32013888888888892</v>
      </c>
    </row>
    <row r="393" spans="1:23">
      <c r="A393">
        <f>IF(ISBLANK('Data Input'!A393),"",'Data Input'!A393)</f>
        <v>107</v>
      </c>
      <c r="B393" t="str">
        <f>IF(ISBLANK('Data Input'!B393),"",'Data Input'!B393)</f>
        <v>SS106</v>
      </c>
      <c r="C393" t="str">
        <f>IF(ISBLANK('Data Input'!C393),"",'Data Input'!C393)</f>
        <v>7/2/18 0035</v>
      </c>
      <c r="E393" t="str">
        <f>IF(ISBLANK('Data Input'!D393),"",'Data Input'!D393)</f>
        <v>7/3/18 0035</v>
      </c>
      <c r="G393">
        <f>IF(ISBLANK('Data Input'!E393),"",'Data Input'!E393)</f>
        <v>36</v>
      </c>
      <c r="H393" t="str">
        <f>IF(ISBLANK('Data Input'!F393),"",'Data Input'!F393)</f>
        <v>Asian</v>
      </c>
      <c r="I393" t="str">
        <f>IF(ISBLANK('Data Input'!G393),"",'Data Input'!G393)</f>
        <v>SVD</v>
      </c>
      <c r="J393" t="str">
        <f>IF(ISBLANK('Data Input'!I393),"",'Data Input'!I393)</f>
        <v>NA</v>
      </c>
      <c r="K393" t="str">
        <f>IF(ISBLANK('Data Input'!J393),"",'Data Input'!J393)</f>
        <v>NA</v>
      </c>
      <c r="L393" t="str">
        <f>IF(ISBLANK('Data Input'!K393),"",'Data Input'!K393)</f>
        <v>NA</v>
      </c>
      <c r="M393" t="str">
        <f>IF(ISBLANK('Data Input'!L393),"",'Data Input'!L393)</f>
        <v>NA</v>
      </c>
      <c r="N393" t="str">
        <f>IF(ISBLANK('Data Input'!M393),"",'Data Input'!M393)</f>
        <v>NA</v>
      </c>
      <c r="O393" t="str">
        <f>IF(ISBLANK('Data Input'!N393),"",'Data Input'!N393)</f>
        <v>NA</v>
      </c>
      <c r="P393" t="str">
        <f>IF(ISBLANK('Data Input'!O393),"",'Data Input'!O393)</f>
        <v/>
      </c>
      <c r="Q393" t="str">
        <f>IF(ISBLANK('Data Input'!P393),"",'Data Input'!P393)</f>
        <v/>
      </c>
      <c r="R393" t="b">
        <f>IF(ISBLANK('Data Input'!Q393),"",'Data Input'!Q393)</f>
        <v>1</v>
      </c>
      <c r="T393" s="2">
        <f t="shared" si="26"/>
        <v>43283</v>
      </c>
      <c r="U393" s="12">
        <f t="shared" si="27"/>
        <v>2.4305555555555556E-2</v>
      </c>
      <c r="V393" s="2">
        <f t="shared" si="28"/>
        <v>43284</v>
      </c>
      <c r="W393" s="12">
        <f t="shared" si="29"/>
        <v>2.4305555555555556E-2</v>
      </c>
    </row>
    <row r="394" spans="1:23">
      <c r="A394">
        <f>IF(ISBLANK('Data Input'!A394),"",'Data Input'!A394)</f>
        <v>108</v>
      </c>
      <c r="B394" t="str">
        <f>IF(ISBLANK('Data Input'!B394),"",'Data Input'!B394)</f>
        <v>TC107</v>
      </c>
      <c r="C394" t="str">
        <f>IF(ISBLANK('Data Input'!C394),"",'Data Input'!C394)</f>
        <v>7/2/18 0630</v>
      </c>
      <c r="E394" t="str">
        <f>IF(ISBLANK('Data Input'!D394),"",'Data Input'!D394)</f>
        <v>7/3/18 0506</v>
      </c>
      <c r="G394">
        <f>IF(ISBLANK('Data Input'!E394),"",'Data Input'!E394)</f>
        <v>28</v>
      </c>
      <c r="H394" t="str">
        <f>IF(ISBLANK('Data Input'!F394),"",'Data Input'!F394)</f>
        <v>White</v>
      </c>
      <c r="I394" t="str">
        <f>IF(ISBLANK('Data Input'!G394),"",'Data Input'!G394)</f>
        <v>SVD</v>
      </c>
      <c r="J394" t="str">
        <f>IF(ISBLANK('Data Input'!I394),"",'Data Input'!I394)</f>
        <v>7=2=18 0722</v>
      </c>
      <c r="K394" t="str">
        <f>IF(ISBLANK('Data Input'!J394),"",'Data Input'!J394)</f>
        <v>bb - Ibuprofen</v>
      </c>
      <c r="L394">
        <f>IF(ISBLANK('Data Input'!K394),"",'Data Input'!K394)</f>
        <v>800</v>
      </c>
      <c r="M394">
        <f>IF(ISBLANK('Data Input'!L394),"",'Data Input'!L394)</f>
        <v>6</v>
      </c>
      <c r="N394">
        <f>IF(ISBLANK('Data Input'!M394),"",'Data Input'!M394)</f>
        <v>2</v>
      </c>
      <c r="O394" t="str">
        <f>IF(ISBLANK('Data Input'!N394),"",'Data Input'!N394)</f>
        <v/>
      </c>
      <c r="P394" t="str">
        <f>IF(ISBLANK('Data Input'!O394),"",'Data Input'!O394)</f>
        <v/>
      </c>
      <c r="Q394" t="str">
        <f>IF(ISBLANK('Data Input'!P394),"",'Data Input'!P394)</f>
        <v/>
      </c>
      <c r="R394" t="b">
        <f>IF(ISBLANK('Data Input'!Q394),"",'Data Input'!Q394)</f>
        <v>0</v>
      </c>
      <c r="T394" s="2">
        <f t="shared" si="26"/>
        <v>43283</v>
      </c>
      <c r="U394" s="12">
        <f t="shared" si="27"/>
        <v>0.27083333333333331</v>
      </c>
      <c r="V394" s="2">
        <f t="shared" si="28"/>
        <v>43284</v>
      </c>
      <c r="W394" s="12">
        <f t="shared" si="29"/>
        <v>0.21249999999999999</v>
      </c>
    </row>
    <row r="395" spans="1:23">
      <c r="A395">
        <f>IF(ISBLANK('Data Input'!A395),"",'Data Input'!A395)</f>
        <v>108</v>
      </c>
      <c r="B395" t="str">
        <f>IF(ISBLANK('Data Input'!B395),"",'Data Input'!B395)</f>
        <v>TC107</v>
      </c>
      <c r="C395" t="str">
        <f>IF(ISBLANK('Data Input'!C395),"",'Data Input'!C395)</f>
        <v>7/2/18 0630</v>
      </c>
      <c r="E395" t="str">
        <f>IF(ISBLANK('Data Input'!D395),"",'Data Input'!D395)</f>
        <v>7/3/18 0506</v>
      </c>
      <c r="G395">
        <f>IF(ISBLANK('Data Input'!E395),"",'Data Input'!E395)</f>
        <v>28</v>
      </c>
      <c r="H395" t="str">
        <f>IF(ISBLANK('Data Input'!F395),"",'Data Input'!F395)</f>
        <v>White</v>
      </c>
      <c r="I395" t="str">
        <f>IF(ISBLANK('Data Input'!G395),"",'Data Input'!G395)</f>
        <v>SVD</v>
      </c>
      <c r="J395" t="str">
        <f>IF(ISBLANK('Data Input'!I395),"",'Data Input'!I395)</f>
        <v>7=2=18 1400</v>
      </c>
      <c r="K395" t="str">
        <f>IF(ISBLANK('Data Input'!J395),"",'Data Input'!J395)</f>
        <v>bb - Ibuprofen</v>
      </c>
      <c r="L395">
        <f>IF(ISBLANK('Data Input'!K395),"",'Data Input'!K395)</f>
        <v>800</v>
      </c>
      <c r="M395">
        <f>IF(ISBLANK('Data Input'!L395),"",'Data Input'!L395)</f>
        <v>6</v>
      </c>
      <c r="N395">
        <f>IF(ISBLANK('Data Input'!M395),"",'Data Input'!M395)</f>
        <v>2</v>
      </c>
      <c r="O395" t="str">
        <f>IF(ISBLANK('Data Input'!N395),"",'Data Input'!N395)</f>
        <v/>
      </c>
      <c r="P395" t="str">
        <f>IF(ISBLANK('Data Input'!O395),"",'Data Input'!O395)</f>
        <v/>
      </c>
      <c r="Q395" t="str">
        <f>IF(ISBLANK('Data Input'!P395),"",'Data Input'!P395)</f>
        <v/>
      </c>
      <c r="R395" t="b">
        <f>IF(ISBLANK('Data Input'!Q395),"",'Data Input'!Q395)</f>
        <v>0</v>
      </c>
      <c r="T395" s="2">
        <f t="shared" si="26"/>
        <v>43283</v>
      </c>
      <c r="U395" s="12">
        <f t="shared" si="27"/>
        <v>0.27083333333333331</v>
      </c>
      <c r="V395" s="2">
        <f t="shared" si="28"/>
        <v>43284</v>
      </c>
      <c r="W395" s="12">
        <f t="shared" si="29"/>
        <v>0.21249999999999999</v>
      </c>
    </row>
    <row r="396" spans="1:23">
      <c r="A396">
        <f>IF(ISBLANK('Data Input'!A396),"",'Data Input'!A396)</f>
        <v>108</v>
      </c>
      <c r="B396" t="str">
        <f>IF(ISBLANK('Data Input'!B396),"",'Data Input'!B396)</f>
        <v>TC107</v>
      </c>
      <c r="C396" t="str">
        <f>IF(ISBLANK('Data Input'!C396),"",'Data Input'!C396)</f>
        <v>7/2/18 0630</v>
      </c>
      <c r="E396" t="str">
        <f>IF(ISBLANK('Data Input'!D396),"",'Data Input'!D396)</f>
        <v>7/3/18 0506</v>
      </c>
      <c r="G396">
        <f>IF(ISBLANK('Data Input'!E396),"",'Data Input'!E396)</f>
        <v>28</v>
      </c>
      <c r="H396" t="str">
        <f>IF(ISBLANK('Data Input'!F396),"",'Data Input'!F396)</f>
        <v>White</v>
      </c>
      <c r="I396" t="str">
        <f>IF(ISBLANK('Data Input'!G396),"",'Data Input'!G396)</f>
        <v>SVD</v>
      </c>
      <c r="J396" t="str">
        <f>IF(ISBLANK('Data Input'!I396),"",'Data Input'!I396)</f>
        <v>7=2=18 2139</v>
      </c>
      <c r="K396" t="str">
        <f>IF(ISBLANK('Data Input'!J396),"",'Data Input'!J396)</f>
        <v>bb - Ibuprofen</v>
      </c>
      <c r="L396">
        <f>IF(ISBLANK('Data Input'!K396),"",'Data Input'!K396)</f>
        <v>800</v>
      </c>
      <c r="M396">
        <f>IF(ISBLANK('Data Input'!L396),"",'Data Input'!L396)</f>
        <v>0</v>
      </c>
      <c r="N396">
        <f>IF(ISBLANK('Data Input'!M396),"",'Data Input'!M396)</f>
        <v>4</v>
      </c>
      <c r="O396" t="str">
        <f>IF(ISBLANK('Data Input'!N396),"",'Data Input'!N396)</f>
        <v/>
      </c>
      <c r="P396" t="str">
        <f>IF(ISBLANK('Data Input'!O396),"",'Data Input'!O396)</f>
        <v/>
      </c>
      <c r="Q396" t="str">
        <f>IF(ISBLANK('Data Input'!P396),"",'Data Input'!P396)</f>
        <v/>
      </c>
      <c r="R396" t="b">
        <f>IF(ISBLANK('Data Input'!Q396),"",'Data Input'!Q396)</f>
        <v>0</v>
      </c>
      <c r="T396" s="2">
        <f t="shared" si="26"/>
        <v>43283</v>
      </c>
      <c r="U396" s="12">
        <f t="shared" si="27"/>
        <v>0.27083333333333331</v>
      </c>
      <c r="V396" s="2">
        <f t="shared" si="28"/>
        <v>43284</v>
      </c>
      <c r="W396" s="12">
        <f t="shared" si="29"/>
        <v>0.21249999999999999</v>
      </c>
    </row>
    <row r="397" spans="1:23">
      <c r="A397">
        <f>IF(ISBLANK('Data Input'!A397),"",'Data Input'!A397)</f>
        <v>108</v>
      </c>
      <c r="B397" t="str">
        <f>IF(ISBLANK('Data Input'!B397),"",'Data Input'!B397)</f>
        <v>TC107</v>
      </c>
      <c r="C397" t="str">
        <f>IF(ISBLANK('Data Input'!C397),"",'Data Input'!C397)</f>
        <v>7/2/18 0630</v>
      </c>
      <c r="E397" t="str">
        <f>IF(ISBLANK('Data Input'!D397),"",'Data Input'!D397)</f>
        <v>7/3/18 0506</v>
      </c>
      <c r="G397">
        <f>IF(ISBLANK('Data Input'!E397),"",'Data Input'!E397)</f>
        <v>28</v>
      </c>
      <c r="H397" t="str">
        <f>IF(ISBLANK('Data Input'!F397),"",'Data Input'!F397)</f>
        <v>White</v>
      </c>
      <c r="I397" t="str">
        <f>IF(ISBLANK('Data Input'!G397),"",'Data Input'!G397)</f>
        <v>SVD</v>
      </c>
      <c r="J397" t="str">
        <f>IF(ISBLANK('Data Input'!I397),"",'Data Input'!I397)</f>
        <v>7=2=18 2241</v>
      </c>
      <c r="K397" t="str">
        <f>IF(ISBLANK('Data Input'!J397),"",'Data Input'!J397)</f>
        <v>tt - Tylenol</v>
      </c>
      <c r="L397">
        <f>IF(ISBLANK('Data Input'!K397),"",'Data Input'!K397)</f>
        <v>650</v>
      </c>
      <c r="M397">
        <f>IF(ISBLANK('Data Input'!L397),"",'Data Input'!L397)</f>
        <v>5</v>
      </c>
      <c r="N397">
        <f>IF(ISBLANK('Data Input'!M397),"",'Data Input'!M397)</f>
        <v>4</v>
      </c>
      <c r="O397" t="str">
        <f>IF(ISBLANK('Data Input'!N397),"",'Data Input'!N397)</f>
        <v/>
      </c>
      <c r="P397" t="str">
        <f>IF(ISBLANK('Data Input'!O397),"",'Data Input'!O397)</f>
        <v/>
      </c>
      <c r="Q397" t="str">
        <f>IF(ISBLANK('Data Input'!P397),"",'Data Input'!P397)</f>
        <v/>
      </c>
      <c r="R397" t="b">
        <f>IF(ISBLANK('Data Input'!Q397),"",'Data Input'!Q397)</f>
        <v>0</v>
      </c>
      <c r="T397" s="2">
        <f t="shared" si="26"/>
        <v>43283</v>
      </c>
      <c r="U397" s="12">
        <f t="shared" si="27"/>
        <v>0.27083333333333331</v>
      </c>
      <c r="V397" s="2">
        <f t="shared" si="28"/>
        <v>43284</v>
      </c>
      <c r="W397" s="12">
        <f t="shared" si="29"/>
        <v>0.21249999999999999</v>
      </c>
    </row>
    <row r="398" spans="1:23">
      <c r="A398">
        <f>IF(ISBLANK('Data Input'!A398),"",'Data Input'!A398)</f>
        <v>108</v>
      </c>
      <c r="B398" t="str">
        <f>IF(ISBLANK('Data Input'!B398),"",'Data Input'!B398)</f>
        <v>TC107</v>
      </c>
      <c r="C398" t="str">
        <f>IF(ISBLANK('Data Input'!C398),"",'Data Input'!C398)</f>
        <v>7/2/18 0630</v>
      </c>
      <c r="E398" t="str">
        <f>IF(ISBLANK('Data Input'!D398),"",'Data Input'!D398)</f>
        <v>7/3/18 0506</v>
      </c>
      <c r="G398">
        <f>IF(ISBLANK('Data Input'!E398),"",'Data Input'!E398)</f>
        <v>28</v>
      </c>
      <c r="H398" t="str">
        <f>IF(ISBLANK('Data Input'!F398),"",'Data Input'!F398)</f>
        <v>White</v>
      </c>
      <c r="I398" t="str">
        <f>IF(ISBLANK('Data Input'!G398),"",'Data Input'!G398)</f>
        <v>SVD</v>
      </c>
      <c r="J398" t="str">
        <f>IF(ISBLANK('Data Input'!I398),"",'Data Input'!I398)</f>
        <v>7=3=18 0506</v>
      </c>
      <c r="K398" t="str">
        <f>IF(ISBLANK('Data Input'!J398),"",'Data Input'!J398)</f>
        <v>bb - Ibuprofen</v>
      </c>
      <c r="L398">
        <f>IF(ISBLANK('Data Input'!K398),"",'Data Input'!K398)</f>
        <v>800</v>
      </c>
      <c r="M398">
        <f>IF(ISBLANK('Data Input'!L398),"",'Data Input'!L398)</f>
        <v>5</v>
      </c>
      <c r="N398">
        <f>IF(ISBLANK('Data Input'!M398),"",'Data Input'!M398)</f>
        <v>0</v>
      </c>
      <c r="O398" t="str">
        <f>IF(ISBLANK('Data Input'!N398),"",'Data Input'!N398)</f>
        <v/>
      </c>
      <c r="P398" t="str">
        <f>IF(ISBLANK('Data Input'!O398),"",'Data Input'!O398)</f>
        <v>Date and Time 0506 or 0510?</v>
      </c>
      <c r="Q398" t="str">
        <f>IF(ISBLANK('Data Input'!P398),"",'Data Input'!P398)</f>
        <v/>
      </c>
      <c r="R398" t="b">
        <f>IF(ISBLANK('Data Input'!Q398),"",'Data Input'!Q398)</f>
        <v>0</v>
      </c>
      <c r="T398" s="2">
        <f t="shared" si="26"/>
        <v>43283</v>
      </c>
      <c r="U398" s="12">
        <f t="shared" si="27"/>
        <v>0.27083333333333331</v>
      </c>
      <c r="V398" s="2">
        <f t="shared" si="28"/>
        <v>43284</v>
      </c>
      <c r="W398" s="12">
        <f t="shared" si="29"/>
        <v>0.21249999999999999</v>
      </c>
    </row>
    <row r="399" spans="1:23">
      <c r="A399">
        <f>IF(ISBLANK('Data Input'!A399),"",'Data Input'!A399)</f>
        <v>109</v>
      </c>
      <c r="B399" t="str">
        <f>IF(ISBLANK('Data Input'!B399),"",'Data Input'!B399)</f>
        <v>PH108</v>
      </c>
      <c r="C399" t="str">
        <f>IF(ISBLANK('Data Input'!C399),"",'Data Input'!C399)</f>
        <v>7/2/18 0430</v>
      </c>
      <c r="E399" t="str">
        <f>IF(ISBLANK('Data Input'!D399),"",'Data Input'!D399)</f>
        <v>7/3/18 0033</v>
      </c>
      <c r="G399">
        <f>IF(ISBLANK('Data Input'!E399),"",'Data Input'!E399)</f>
        <v>25</v>
      </c>
      <c r="H399" t="str">
        <f>IF(ISBLANK('Data Input'!F399),"",'Data Input'!F399)</f>
        <v>White</v>
      </c>
      <c r="I399" t="str">
        <f>IF(ISBLANK('Data Input'!G399),"",'Data Input'!G399)</f>
        <v>SVD</v>
      </c>
      <c r="J399" t="str">
        <f>IF(ISBLANK('Data Input'!I399),"",'Data Input'!I399)</f>
        <v>7=2=18 0551</v>
      </c>
      <c r="K399" t="str">
        <f>IF(ISBLANK('Data Input'!J399),"",'Data Input'!J399)</f>
        <v>bb - Ibuprofen</v>
      </c>
      <c r="L399">
        <f>IF(ISBLANK('Data Input'!K399),"",'Data Input'!K399)</f>
        <v>800</v>
      </c>
      <c r="M399">
        <f>IF(ISBLANK('Data Input'!L399),"",'Data Input'!L399)</f>
        <v>2</v>
      </c>
      <c r="N399">
        <f>IF(ISBLANK('Data Input'!M399),"",'Data Input'!M399)</f>
        <v>1</v>
      </c>
      <c r="O399" t="str">
        <f>IF(ISBLANK('Data Input'!N399),"",'Data Input'!N399)</f>
        <v/>
      </c>
      <c r="P399" t="str">
        <f>IF(ISBLANK('Data Input'!O399),"",'Data Input'!O399)</f>
        <v/>
      </c>
      <c r="Q399" t="str">
        <f>IF(ISBLANK('Data Input'!P399),"",'Data Input'!P399)</f>
        <v/>
      </c>
      <c r="R399" t="b">
        <f>IF(ISBLANK('Data Input'!Q399),"",'Data Input'!Q399)</f>
        <v>1</v>
      </c>
      <c r="T399" s="2">
        <f t="shared" si="26"/>
        <v>43283</v>
      </c>
      <c r="U399" s="12">
        <f t="shared" si="27"/>
        <v>0.1875</v>
      </c>
      <c r="V399" s="2">
        <f t="shared" si="28"/>
        <v>43284</v>
      </c>
      <c r="W399" s="12">
        <f t="shared" si="29"/>
        <v>2.2916666666666669E-2</v>
      </c>
    </row>
    <row r="400" spans="1:23">
      <c r="A400">
        <f>IF(ISBLANK('Data Input'!A400),"",'Data Input'!A400)</f>
        <v>109</v>
      </c>
      <c r="B400" t="str">
        <f>IF(ISBLANK('Data Input'!B400),"",'Data Input'!B400)</f>
        <v>PH108</v>
      </c>
      <c r="C400" t="str">
        <f>IF(ISBLANK('Data Input'!C400),"",'Data Input'!C400)</f>
        <v>7/2/18 0430</v>
      </c>
      <c r="E400" t="str">
        <f>IF(ISBLANK('Data Input'!D400),"",'Data Input'!D400)</f>
        <v>7/3/18 0033</v>
      </c>
      <c r="G400">
        <f>IF(ISBLANK('Data Input'!E400),"",'Data Input'!E400)</f>
        <v>25</v>
      </c>
      <c r="H400" t="str">
        <f>IF(ISBLANK('Data Input'!F400),"",'Data Input'!F400)</f>
        <v>White</v>
      </c>
      <c r="I400" t="str">
        <f>IF(ISBLANK('Data Input'!G400),"",'Data Input'!G400)</f>
        <v>SVD</v>
      </c>
      <c r="J400" t="str">
        <f>IF(ISBLANK('Data Input'!I400),"",'Data Input'!I400)</f>
        <v>7=2=18 1238</v>
      </c>
      <c r="K400" t="str">
        <f>IF(ISBLANK('Data Input'!J400),"",'Data Input'!J400)</f>
        <v>bb - Ibuprofen</v>
      </c>
      <c r="L400">
        <f>IF(ISBLANK('Data Input'!K400),"",'Data Input'!K400)</f>
        <v>800</v>
      </c>
      <c r="M400">
        <f>IF(ISBLANK('Data Input'!L400),"",'Data Input'!L400)</f>
        <v>5</v>
      </c>
      <c r="N400">
        <f>IF(ISBLANK('Data Input'!M400),"",'Data Input'!M400)</f>
        <v>0</v>
      </c>
      <c r="O400" t="str">
        <f>IF(ISBLANK('Data Input'!N400),"",'Data Input'!N400)</f>
        <v/>
      </c>
      <c r="P400" t="str">
        <f>IF(ISBLANK('Data Input'!O400),"",'Data Input'!O400)</f>
        <v/>
      </c>
      <c r="Q400" t="str">
        <f>IF(ISBLANK('Data Input'!P400),"",'Data Input'!P400)</f>
        <v/>
      </c>
      <c r="R400" t="b">
        <f>IF(ISBLANK('Data Input'!Q400),"",'Data Input'!Q400)</f>
        <v>1</v>
      </c>
      <c r="T400" s="2">
        <f t="shared" si="26"/>
        <v>43283</v>
      </c>
      <c r="U400" s="12">
        <f t="shared" si="27"/>
        <v>0.1875</v>
      </c>
      <c r="V400" s="2">
        <f t="shared" si="28"/>
        <v>43284</v>
      </c>
      <c r="W400" s="12">
        <f t="shared" si="29"/>
        <v>2.2916666666666669E-2</v>
      </c>
    </row>
    <row r="401" spans="1:23">
      <c r="A401">
        <f>IF(ISBLANK('Data Input'!A401),"",'Data Input'!A401)</f>
        <v>109</v>
      </c>
      <c r="B401" t="str">
        <f>IF(ISBLANK('Data Input'!B401),"",'Data Input'!B401)</f>
        <v>PH108</v>
      </c>
      <c r="C401" t="str">
        <f>IF(ISBLANK('Data Input'!C401),"",'Data Input'!C401)</f>
        <v>7/2/18 0430</v>
      </c>
      <c r="E401" t="str">
        <f>IF(ISBLANK('Data Input'!D401),"",'Data Input'!D401)</f>
        <v>7/3/18 0033</v>
      </c>
      <c r="G401">
        <f>IF(ISBLANK('Data Input'!E401),"",'Data Input'!E401)</f>
        <v>25</v>
      </c>
      <c r="H401" t="str">
        <f>IF(ISBLANK('Data Input'!F401),"",'Data Input'!F401)</f>
        <v>White</v>
      </c>
      <c r="I401" t="str">
        <f>IF(ISBLANK('Data Input'!G401),"",'Data Input'!G401)</f>
        <v>SVD</v>
      </c>
      <c r="J401" t="str">
        <f>IF(ISBLANK('Data Input'!I401),"",'Data Input'!I401)</f>
        <v>7=2=18 1856</v>
      </c>
      <c r="K401" t="str">
        <f>IF(ISBLANK('Data Input'!J401),"",'Data Input'!J401)</f>
        <v>bb - Ibuprofen</v>
      </c>
      <c r="L401">
        <f>IF(ISBLANK('Data Input'!K401),"",'Data Input'!K401)</f>
        <v>800</v>
      </c>
      <c r="M401">
        <f>IF(ISBLANK('Data Input'!L401),"",'Data Input'!L401)</f>
        <v>4</v>
      </c>
      <c r="N401">
        <f>IF(ISBLANK('Data Input'!M401),"",'Data Input'!M401)</f>
        <v>1</v>
      </c>
      <c r="O401" t="str">
        <f>IF(ISBLANK('Data Input'!N401),"",'Data Input'!N401)</f>
        <v/>
      </c>
      <c r="P401" t="str">
        <f>IF(ISBLANK('Data Input'!O401),"",'Data Input'!O401)</f>
        <v/>
      </c>
      <c r="Q401" t="str">
        <f>IF(ISBLANK('Data Input'!P401),"",'Data Input'!P401)</f>
        <v/>
      </c>
      <c r="R401" t="b">
        <f>IF(ISBLANK('Data Input'!Q401),"",'Data Input'!Q401)</f>
        <v>1</v>
      </c>
      <c r="T401" s="2">
        <f t="shared" si="26"/>
        <v>43283</v>
      </c>
      <c r="U401" s="12">
        <f t="shared" si="27"/>
        <v>0.1875</v>
      </c>
      <c r="V401" s="2">
        <f t="shared" si="28"/>
        <v>43284</v>
      </c>
      <c r="W401" s="12">
        <f t="shared" si="29"/>
        <v>2.2916666666666669E-2</v>
      </c>
    </row>
    <row r="402" spans="1:23">
      <c r="A402">
        <f>IF(ISBLANK('Data Input'!A402),"",'Data Input'!A402)</f>
        <v>109</v>
      </c>
      <c r="B402" t="str">
        <f>IF(ISBLANK('Data Input'!B402),"",'Data Input'!B402)</f>
        <v>PH108</v>
      </c>
      <c r="C402" t="str">
        <f>IF(ISBLANK('Data Input'!C402),"",'Data Input'!C402)</f>
        <v>7/2/18 0430</v>
      </c>
      <c r="E402" t="str">
        <f>IF(ISBLANK('Data Input'!D402),"",'Data Input'!D402)</f>
        <v>7/3/18 0033</v>
      </c>
      <c r="G402">
        <f>IF(ISBLANK('Data Input'!E402),"",'Data Input'!E402)</f>
        <v>25</v>
      </c>
      <c r="H402" t="str">
        <f>IF(ISBLANK('Data Input'!F402),"",'Data Input'!F402)</f>
        <v>White</v>
      </c>
      <c r="I402" t="str">
        <f>IF(ISBLANK('Data Input'!G402),"",'Data Input'!G402)</f>
        <v>SVD</v>
      </c>
      <c r="J402" t="str">
        <f>IF(ISBLANK('Data Input'!I402),"",'Data Input'!I402)</f>
        <v>7=3=18 0033</v>
      </c>
      <c r="K402" t="str">
        <f>IF(ISBLANK('Data Input'!J402),"",'Data Input'!J402)</f>
        <v>bb - Ibuprofen</v>
      </c>
      <c r="L402">
        <f>IF(ISBLANK('Data Input'!K402),"",'Data Input'!K402)</f>
        <v>800</v>
      </c>
      <c r="M402">
        <f>IF(ISBLANK('Data Input'!L402),"",'Data Input'!L402)</f>
        <v>3</v>
      </c>
      <c r="N402">
        <f>IF(ISBLANK('Data Input'!M402),"",'Data Input'!M402)</f>
        <v>1</v>
      </c>
      <c r="O402" t="str">
        <f>IF(ISBLANK('Data Input'!N402),"",'Data Input'!N402)</f>
        <v/>
      </c>
      <c r="P402" t="str">
        <f>IF(ISBLANK('Data Input'!O402),"",'Data Input'!O402)</f>
        <v/>
      </c>
      <c r="Q402" t="str">
        <f>IF(ISBLANK('Data Input'!P402),"",'Data Input'!P402)</f>
        <v/>
      </c>
      <c r="R402" t="b">
        <f>IF(ISBLANK('Data Input'!Q402),"",'Data Input'!Q402)</f>
        <v>1</v>
      </c>
      <c r="T402" s="2">
        <f t="shared" si="26"/>
        <v>43283</v>
      </c>
      <c r="U402" s="12">
        <f t="shared" si="27"/>
        <v>0.1875</v>
      </c>
      <c r="V402" s="2">
        <f t="shared" si="28"/>
        <v>43284</v>
      </c>
      <c r="W402" s="12">
        <f t="shared" si="29"/>
        <v>2.2916666666666669E-2</v>
      </c>
    </row>
    <row r="403" spans="1:23">
      <c r="A403">
        <f>IF(ISBLANK('Data Input'!A403),"",'Data Input'!A403)</f>
        <v>110</v>
      </c>
      <c r="B403" t="str">
        <f>IF(ISBLANK('Data Input'!B403),"",'Data Input'!B403)</f>
        <v>AE109</v>
      </c>
      <c r="C403" t="str">
        <f>IF(ISBLANK('Data Input'!C403),"",'Data Input'!C403)</f>
        <v>7/2/18 1815</v>
      </c>
      <c r="E403" t="str">
        <f>IF(ISBLANK('Data Input'!D403),"",'Data Input'!D403)</f>
        <v>7/3/18 1532</v>
      </c>
      <c r="G403">
        <f>IF(ISBLANK('Data Input'!E403),"",'Data Input'!E403)</f>
        <v>36</v>
      </c>
      <c r="H403" t="str">
        <f>IF(ISBLANK('Data Input'!F403),"",'Data Input'!F403)</f>
        <v>White</v>
      </c>
      <c r="I403" t="str">
        <f>IF(ISBLANK('Data Input'!G403),"",'Data Input'!G403)</f>
        <v>SVD</v>
      </c>
      <c r="J403" t="str">
        <f>IF(ISBLANK('Data Input'!I403),"",'Data Input'!I403)</f>
        <v>7=3=18 0231</v>
      </c>
      <c r="K403" t="str">
        <f>IF(ISBLANK('Data Input'!J403),"",'Data Input'!J403)</f>
        <v>bb - Ibuprofen</v>
      </c>
      <c r="L403">
        <f>IF(ISBLANK('Data Input'!K403),"",'Data Input'!K403)</f>
        <v>800</v>
      </c>
      <c r="M403">
        <f>IF(ISBLANK('Data Input'!L403),"",'Data Input'!L403)</f>
        <v>6</v>
      </c>
      <c r="N403">
        <f>IF(ISBLANK('Data Input'!M403),"",'Data Input'!M403)</f>
        <v>3</v>
      </c>
      <c r="O403" t="str">
        <f>IF(ISBLANK('Data Input'!N403),"",'Data Input'!N403)</f>
        <v/>
      </c>
      <c r="P403" t="str">
        <f>IF(ISBLANK('Data Input'!O403),"",'Data Input'!O403)</f>
        <v/>
      </c>
      <c r="Q403" t="str">
        <f>IF(ISBLANK('Data Input'!P403),"",'Data Input'!P403)</f>
        <v/>
      </c>
      <c r="R403" t="b">
        <f>IF(ISBLANK('Data Input'!Q403),"",'Data Input'!Q403)</f>
        <v>0</v>
      </c>
      <c r="T403" s="2">
        <f t="shared" si="26"/>
        <v>43283</v>
      </c>
      <c r="U403" s="12">
        <f t="shared" si="27"/>
        <v>0.76041666666666663</v>
      </c>
      <c r="V403" s="2">
        <f t="shared" si="28"/>
        <v>43284</v>
      </c>
      <c r="W403" s="12">
        <f t="shared" si="29"/>
        <v>0.64722222222222225</v>
      </c>
    </row>
    <row r="404" spans="1:23">
      <c r="A404">
        <f>IF(ISBLANK('Data Input'!A404),"",'Data Input'!A404)</f>
        <v>110</v>
      </c>
      <c r="B404" t="str">
        <f>IF(ISBLANK('Data Input'!B404),"",'Data Input'!B404)</f>
        <v>AE109</v>
      </c>
      <c r="C404" t="str">
        <f>IF(ISBLANK('Data Input'!C404),"",'Data Input'!C404)</f>
        <v>7/2/18 1815</v>
      </c>
      <c r="E404" t="str">
        <f>IF(ISBLANK('Data Input'!D404),"",'Data Input'!D404)</f>
        <v>7/3/18 1532</v>
      </c>
      <c r="G404">
        <f>IF(ISBLANK('Data Input'!E404),"",'Data Input'!E404)</f>
        <v>36</v>
      </c>
      <c r="H404" t="str">
        <f>IF(ISBLANK('Data Input'!F404),"",'Data Input'!F404)</f>
        <v>White</v>
      </c>
      <c r="I404" t="str">
        <f>IF(ISBLANK('Data Input'!G404),"",'Data Input'!G404)</f>
        <v>SVD</v>
      </c>
      <c r="J404" t="str">
        <f>IF(ISBLANK('Data Input'!I404),"",'Data Input'!I404)</f>
        <v>7=3=18 0837</v>
      </c>
      <c r="K404" t="str">
        <f>IF(ISBLANK('Data Input'!J404),"",'Data Input'!J404)</f>
        <v>bb - Ibuprofen</v>
      </c>
      <c r="L404">
        <f>IF(ISBLANK('Data Input'!K404),"",'Data Input'!K404)</f>
        <v>800</v>
      </c>
      <c r="M404">
        <f>IF(ISBLANK('Data Input'!L404),"",'Data Input'!L404)</f>
        <v>1</v>
      </c>
      <c r="N404">
        <f>IF(ISBLANK('Data Input'!M404),"",'Data Input'!M404)</f>
        <v>0</v>
      </c>
      <c r="O404" t="str">
        <f>IF(ISBLANK('Data Input'!N404),"",'Data Input'!N404)</f>
        <v/>
      </c>
      <c r="P404" t="str">
        <f>IF(ISBLANK('Data Input'!O404),"",'Data Input'!O404)</f>
        <v/>
      </c>
      <c r="Q404" t="str">
        <f>IF(ISBLANK('Data Input'!P404),"",'Data Input'!P404)</f>
        <v/>
      </c>
      <c r="R404" t="b">
        <f>IF(ISBLANK('Data Input'!Q404),"",'Data Input'!Q404)</f>
        <v>0</v>
      </c>
      <c r="T404" s="2">
        <f t="shared" si="26"/>
        <v>43283</v>
      </c>
      <c r="U404" s="12">
        <f t="shared" si="27"/>
        <v>0.76041666666666663</v>
      </c>
      <c r="V404" s="2">
        <f t="shared" si="28"/>
        <v>43284</v>
      </c>
      <c r="W404" s="12">
        <f t="shared" si="29"/>
        <v>0.64722222222222225</v>
      </c>
    </row>
    <row r="405" spans="1:23">
      <c r="A405">
        <f>IF(ISBLANK('Data Input'!A405),"",'Data Input'!A405)</f>
        <v>110</v>
      </c>
      <c r="B405" t="str">
        <f>IF(ISBLANK('Data Input'!B405),"",'Data Input'!B405)</f>
        <v>AE109</v>
      </c>
      <c r="C405" t="str">
        <f>IF(ISBLANK('Data Input'!C405),"",'Data Input'!C405)</f>
        <v>7/2/18 1815</v>
      </c>
      <c r="E405" t="str">
        <f>IF(ISBLANK('Data Input'!D405),"",'Data Input'!D405)</f>
        <v>7/3/18 1532</v>
      </c>
      <c r="G405">
        <f>IF(ISBLANK('Data Input'!E405),"",'Data Input'!E405)</f>
        <v>36</v>
      </c>
      <c r="H405" t="str">
        <f>IF(ISBLANK('Data Input'!F405),"",'Data Input'!F405)</f>
        <v>White</v>
      </c>
      <c r="I405" t="str">
        <f>IF(ISBLANK('Data Input'!G405),"",'Data Input'!G405)</f>
        <v>SVD</v>
      </c>
      <c r="J405" t="str">
        <f>IF(ISBLANK('Data Input'!I405),"",'Data Input'!I405)</f>
        <v>7=3=18 1532</v>
      </c>
      <c r="K405" t="str">
        <f>IF(ISBLANK('Data Input'!J405),"",'Data Input'!J405)</f>
        <v>bb - Ibuprofen</v>
      </c>
      <c r="L405">
        <f>IF(ISBLANK('Data Input'!K405),"",'Data Input'!K405)</f>
        <v>800</v>
      </c>
      <c r="M405" t="str">
        <f>IF(ISBLANK('Data Input'!L405),"",'Data Input'!L405)</f>
        <v>dd - Missing Data</v>
      </c>
      <c r="N405" t="str">
        <f>IF(ISBLANK('Data Input'!M405),"",'Data Input'!M405)</f>
        <v>dd - Missing Data</v>
      </c>
      <c r="O405" t="str">
        <f>IF(ISBLANK('Data Input'!N405),"",'Data Input'!N405)</f>
        <v/>
      </c>
      <c r="P405" t="str">
        <f>IF(ISBLANK('Data Input'!O405),"",'Data Input'!O405)</f>
        <v/>
      </c>
      <c r="Q405" t="str">
        <f>IF(ISBLANK('Data Input'!P405),"",'Data Input'!P405)</f>
        <v/>
      </c>
      <c r="R405" t="b">
        <f>IF(ISBLANK('Data Input'!Q405),"",'Data Input'!Q405)</f>
        <v>0</v>
      </c>
      <c r="T405" s="2">
        <f t="shared" si="26"/>
        <v>43283</v>
      </c>
      <c r="U405" s="12">
        <f t="shared" si="27"/>
        <v>0.76041666666666663</v>
      </c>
      <c r="V405" s="2">
        <f t="shared" si="28"/>
        <v>43284</v>
      </c>
      <c r="W405" s="12">
        <f t="shared" si="29"/>
        <v>0.64722222222222225</v>
      </c>
    </row>
    <row r="406" spans="1:23">
      <c r="A406">
        <f>IF(ISBLANK('Data Input'!A406),"",'Data Input'!A406)</f>
        <v>111</v>
      </c>
      <c r="B406" t="str">
        <f>IF(ISBLANK('Data Input'!B406),"",'Data Input'!B406)</f>
        <v>LA110</v>
      </c>
      <c r="C406" t="str">
        <f>IF(ISBLANK('Data Input'!C406),"",'Data Input'!C406)</f>
        <v>7/1/18 1635</v>
      </c>
      <c r="E406" t="str">
        <f>IF(ISBLANK('Data Input'!D406),"",'Data Input'!D406)</f>
        <v>7/2/18 1543</v>
      </c>
      <c r="G406">
        <f>IF(ISBLANK('Data Input'!E406),"",'Data Input'!E406)</f>
        <v>39</v>
      </c>
      <c r="H406" t="str">
        <f>IF(ISBLANK('Data Input'!F406),"",'Data Input'!F406)</f>
        <v>White</v>
      </c>
      <c r="I406" t="str">
        <f>IF(ISBLANK('Data Input'!G406),"",'Data Input'!G406)</f>
        <v>Caesarean</v>
      </c>
      <c r="J406" t="str">
        <f>IF(ISBLANK('Data Input'!I406),"",'Data Input'!I406)</f>
        <v>7=1=18 1846</v>
      </c>
      <c r="K406" t="str">
        <f>IF(ISBLANK('Data Input'!J406),"",'Data Input'!J406)</f>
        <v>tr - Toradol</v>
      </c>
      <c r="L406">
        <f>IF(ISBLANK('Data Input'!K406),"",'Data Input'!K406)</f>
        <v>30</v>
      </c>
      <c r="M406">
        <f>IF(ISBLANK('Data Input'!L406),"",'Data Input'!L406)</f>
        <v>6</v>
      </c>
      <c r="N406">
        <f>IF(ISBLANK('Data Input'!M406),"",'Data Input'!M406)</f>
        <v>2</v>
      </c>
      <c r="O406" t="str">
        <f>IF(ISBLANK('Data Input'!N406),"",'Data Input'!N406)</f>
        <v/>
      </c>
      <c r="P406" t="str">
        <f>IF(ISBLANK('Data Input'!O406),"",'Data Input'!O406)</f>
        <v/>
      </c>
      <c r="Q406" t="str">
        <f>IF(ISBLANK('Data Input'!P406),"",'Data Input'!P406)</f>
        <v/>
      </c>
      <c r="R406" t="b">
        <f>IF(ISBLANK('Data Input'!Q406),"",'Data Input'!Q406)</f>
        <v>1</v>
      </c>
      <c r="T406" s="2">
        <f t="shared" si="26"/>
        <v>43282</v>
      </c>
      <c r="U406" s="12">
        <f t="shared" si="27"/>
        <v>0.69097222222222221</v>
      </c>
      <c r="V406" s="2">
        <f t="shared" si="28"/>
        <v>43283</v>
      </c>
      <c r="W406" s="12">
        <f t="shared" si="29"/>
        <v>0.65486111111111112</v>
      </c>
    </row>
    <row r="407" spans="1:23">
      <c r="A407">
        <f>IF(ISBLANK('Data Input'!A407),"",'Data Input'!A407)</f>
        <v>111</v>
      </c>
      <c r="B407" t="str">
        <f>IF(ISBLANK('Data Input'!B407),"",'Data Input'!B407)</f>
        <v>LA110</v>
      </c>
      <c r="C407" t="str">
        <f>IF(ISBLANK('Data Input'!C407),"",'Data Input'!C407)</f>
        <v>7/1/18 1635</v>
      </c>
      <c r="E407" t="str">
        <f>IF(ISBLANK('Data Input'!D407),"",'Data Input'!D407)</f>
        <v>7/2/18 1543</v>
      </c>
      <c r="G407">
        <f>IF(ISBLANK('Data Input'!E407),"",'Data Input'!E407)</f>
        <v>39</v>
      </c>
      <c r="H407" t="str">
        <f>IF(ISBLANK('Data Input'!F407),"",'Data Input'!F407)</f>
        <v>White</v>
      </c>
      <c r="I407" t="str">
        <f>IF(ISBLANK('Data Input'!G407),"",'Data Input'!G407)</f>
        <v>Caesarean</v>
      </c>
      <c r="J407" t="str">
        <f>IF(ISBLANK('Data Input'!I407),"",'Data Input'!I407)</f>
        <v>7=2=18 0031</v>
      </c>
      <c r="K407" t="str">
        <f>IF(ISBLANK('Data Input'!J407),"",'Data Input'!J407)</f>
        <v>tr - Toradol</v>
      </c>
      <c r="L407">
        <f>IF(ISBLANK('Data Input'!K407),"",'Data Input'!K407)</f>
        <v>30</v>
      </c>
      <c r="M407">
        <f>IF(ISBLANK('Data Input'!L407),"",'Data Input'!L407)</f>
        <v>2</v>
      </c>
      <c r="N407">
        <f>IF(ISBLANK('Data Input'!M407),"",'Data Input'!M407)</f>
        <v>1</v>
      </c>
      <c r="O407" t="str">
        <f>IF(ISBLANK('Data Input'!N407),"",'Data Input'!N407)</f>
        <v/>
      </c>
      <c r="P407" t="str">
        <f>IF(ISBLANK('Data Input'!O407),"",'Data Input'!O407)</f>
        <v/>
      </c>
      <c r="Q407" t="str">
        <f>IF(ISBLANK('Data Input'!P407),"",'Data Input'!P407)</f>
        <v/>
      </c>
      <c r="R407" t="b">
        <f>IF(ISBLANK('Data Input'!Q407),"",'Data Input'!Q407)</f>
        <v>1</v>
      </c>
      <c r="T407" s="2">
        <f t="shared" si="26"/>
        <v>43282</v>
      </c>
      <c r="U407" s="12">
        <f t="shared" si="27"/>
        <v>0.69097222222222221</v>
      </c>
      <c r="V407" s="2">
        <f t="shared" si="28"/>
        <v>43283</v>
      </c>
      <c r="W407" s="12">
        <f t="shared" si="29"/>
        <v>0.65486111111111112</v>
      </c>
    </row>
    <row r="408" spans="1:23">
      <c r="A408">
        <f>IF(ISBLANK('Data Input'!A408),"",'Data Input'!A408)</f>
        <v>111</v>
      </c>
      <c r="B408" t="str">
        <f>IF(ISBLANK('Data Input'!B408),"",'Data Input'!B408)</f>
        <v>LA110</v>
      </c>
      <c r="C408" t="str">
        <f>IF(ISBLANK('Data Input'!C408),"",'Data Input'!C408)</f>
        <v>7/1/18 1635</v>
      </c>
      <c r="E408" t="str">
        <f>IF(ISBLANK('Data Input'!D408),"",'Data Input'!D408)</f>
        <v>7/2/18 1543</v>
      </c>
      <c r="G408">
        <f>IF(ISBLANK('Data Input'!E408),"",'Data Input'!E408)</f>
        <v>39</v>
      </c>
      <c r="H408" t="str">
        <f>IF(ISBLANK('Data Input'!F408),"",'Data Input'!F408)</f>
        <v>White</v>
      </c>
      <c r="I408" t="str">
        <f>IF(ISBLANK('Data Input'!G408),"",'Data Input'!G408)</f>
        <v>Caesarean</v>
      </c>
      <c r="J408" t="str">
        <f>IF(ISBLANK('Data Input'!I408),"",'Data Input'!I408)</f>
        <v>7=2=18 0604</v>
      </c>
      <c r="K408" t="str">
        <f>IF(ISBLANK('Data Input'!J408),"",'Data Input'!J408)</f>
        <v>tr - Toradol</v>
      </c>
      <c r="L408">
        <f>IF(ISBLANK('Data Input'!K408),"",'Data Input'!K408)</f>
        <v>30</v>
      </c>
      <c r="M408" t="str">
        <f>IF(ISBLANK('Data Input'!L408),"",'Data Input'!L408)</f>
        <v>dd - Missing Data</v>
      </c>
      <c r="N408" t="str">
        <f>IF(ISBLANK('Data Input'!M408),"",'Data Input'!M408)</f>
        <v>dd - Missing Data</v>
      </c>
      <c r="O408" t="str">
        <f>IF(ISBLANK('Data Input'!N408),"",'Data Input'!N408)</f>
        <v/>
      </c>
      <c r="P408" t="str">
        <f>IF(ISBLANK('Data Input'!O408),"",'Data Input'!O408)</f>
        <v/>
      </c>
      <c r="Q408" t="str">
        <f>IF(ISBLANK('Data Input'!P408),"",'Data Input'!P408)</f>
        <v/>
      </c>
      <c r="R408" t="b">
        <f>IF(ISBLANK('Data Input'!Q408),"",'Data Input'!Q408)</f>
        <v>1</v>
      </c>
      <c r="T408" s="2">
        <f t="shared" si="26"/>
        <v>43282</v>
      </c>
      <c r="U408" s="12">
        <f t="shared" si="27"/>
        <v>0.69097222222222221</v>
      </c>
      <c r="V408" s="2">
        <f t="shared" si="28"/>
        <v>43283</v>
      </c>
      <c r="W408" s="12">
        <f t="shared" si="29"/>
        <v>0.65486111111111112</v>
      </c>
    </row>
    <row r="409" spans="1:23">
      <c r="A409">
        <f>IF(ISBLANK('Data Input'!A409),"",'Data Input'!A409)</f>
        <v>111</v>
      </c>
      <c r="B409" t="str">
        <f>IF(ISBLANK('Data Input'!B409),"",'Data Input'!B409)</f>
        <v>LA110</v>
      </c>
      <c r="C409" t="str">
        <f>IF(ISBLANK('Data Input'!C409),"",'Data Input'!C409)</f>
        <v>7/1/18 1635</v>
      </c>
      <c r="E409" t="str">
        <f>IF(ISBLANK('Data Input'!D409),"",'Data Input'!D409)</f>
        <v>7/2/18 1543</v>
      </c>
      <c r="G409">
        <f>IF(ISBLANK('Data Input'!E409),"",'Data Input'!E409)</f>
        <v>39</v>
      </c>
      <c r="H409" t="str">
        <f>IF(ISBLANK('Data Input'!F409),"",'Data Input'!F409)</f>
        <v>White</v>
      </c>
      <c r="I409" t="str">
        <f>IF(ISBLANK('Data Input'!G409),"",'Data Input'!G409)</f>
        <v>Caesarean</v>
      </c>
      <c r="J409" t="str">
        <f>IF(ISBLANK('Data Input'!I409),"",'Data Input'!I409)</f>
        <v>7=2=18 0919</v>
      </c>
      <c r="K409" t="str">
        <f>IF(ISBLANK('Data Input'!J409),"",'Data Input'!J409)</f>
        <v>rr - Percocet</v>
      </c>
      <c r="L409">
        <f>IF(ISBLANK('Data Input'!K409),"",'Data Input'!K409)</f>
        <v>1</v>
      </c>
      <c r="M409" t="str">
        <f>IF(ISBLANK('Data Input'!L409),"",'Data Input'!L409)</f>
        <v>dd - Missing Data</v>
      </c>
      <c r="N409" t="str">
        <f>IF(ISBLANK('Data Input'!M409),"",'Data Input'!M409)</f>
        <v>dd - Missing Data</v>
      </c>
      <c r="O409" t="str">
        <f>IF(ISBLANK('Data Input'!N409),"",'Data Input'!N409)</f>
        <v/>
      </c>
      <c r="P409" t="str">
        <f>IF(ISBLANK('Data Input'!O409),"",'Data Input'!O409)</f>
        <v/>
      </c>
      <c r="Q409" t="str">
        <f>IF(ISBLANK('Data Input'!P409),"",'Data Input'!P409)</f>
        <v/>
      </c>
      <c r="R409" t="b">
        <f>IF(ISBLANK('Data Input'!Q409),"",'Data Input'!Q409)</f>
        <v>1</v>
      </c>
      <c r="T409" s="2">
        <f t="shared" si="26"/>
        <v>43282</v>
      </c>
      <c r="U409" s="12">
        <f t="shared" si="27"/>
        <v>0.69097222222222221</v>
      </c>
      <c r="V409" s="2">
        <f t="shared" si="28"/>
        <v>43283</v>
      </c>
      <c r="W409" s="12">
        <f t="shared" si="29"/>
        <v>0.65486111111111112</v>
      </c>
    </row>
    <row r="410" spans="1:23">
      <c r="A410">
        <f>IF(ISBLANK('Data Input'!A410),"",'Data Input'!A410)</f>
        <v>111</v>
      </c>
      <c r="B410" t="str">
        <f>IF(ISBLANK('Data Input'!B410),"",'Data Input'!B410)</f>
        <v>LA110</v>
      </c>
      <c r="C410" t="str">
        <f>IF(ISBLANK('Data Input'!C410),"",'Data Input'!C410)</f>
        <v>7/1/18 1635</v>
      </c>
      <c r="E410" t="str">
        <f>IF(ISBLANK('Data Input'!D410),"",'Data Input'!D410)</f>
        <v>7/2/18 1543</v>
      </c>
      <c r="G410">
        <f>IF(ISBLANK('Data Input'!E410),"",'Data Input'!E410)</f>
        <v>39</v>
      </c>
      <c r="H410" t="str">
        <f>IF(ISBLANK('Data Input'!F410),"",'Data Input'!F410)</f>
        <v>White</v>
      </c>
      <c r="I410" t="str">
        <f>IF(ISBLANK('Data Input'!G410),"",'Data Input'!G410)</f>
        <v>Caesarean</v>
      </c>
      <c r="J410" t="str">
        <f>IF(ISBLANK('Data Input'!I410),"",'Data Input'!I410)</f>
        <v>7=2=18 1233</v>
      </c>
      <c r="K410" t="str">
        <f>IF(ISBLANK('Data Input'!J410),"",'Data Input'!J410)</f>
        <v>tr - Toradol</v>
      </c>
      <c r="L410">
        <f>IF(ISBLANK('Data Input'!K410),"",'Data Input'!K410)</f>
        <v>30</v>
      </c>
      <c r="M410" t="str">
        <f>IF(ISBLANK('Data Input'!L410),"",'Data Input'!L410)</f>
        <v>dd - Missing Data</v>
      </c>
      <c r="N410" t="str">
        <f>IF(ISBLANK('Data Input'!M410),"",'Data Input'!M410)</f>
        <v>dd - Missing Data</v>
      </c>
      <c r="O410" t="str">
        <f>IF(ISBLANK('Data Input'!N410),"",'Data Input'!N410)</f>
        <v/>
      </c>
      <c r="P410" t="str">
        <f>IF(ISBLANK('Data Input'!O410),"",'Data Input'!O410)</f>
        <v/>
      </c>
      <c r="Q410" t="str">
        <f>IF(ISBLANK('Data Input'!P410),"",'Data Input'!P410)</f>
        <v/>
      </c>
      <c r="R410" t="b">
        <f>IF(ISBLANK('Data Input'!Q410),"",'Data Input'!Q410)</f>
        <v>1</v>
      </c>
      <c r="T410" s="2">
        <f t="shared" si="26"/>
        <v>43282</v>
      </c>
      <c r="U410" s="12">
        <f t="shared" si="27"/>
        <v>0.69097222222222221</v>
      </c>
      <c r="V410" s="2">
        <f t="shared" si="28"/>
        <v>43283</v>
      </c>
      <c r="W410" s="12">
        <f t="shared" si="29"/>
        <v>0.65486111111111112</v>
      </c>
    </row>
    <row r="411" spans="1:23">
      <c r="A411">
        <f>IF(ISBLANK('Data Input'!A411),"",'Data Input'!A411)</f>
        <v>111</v>
      </c>
      <c r="B411" t="str">
        <f>IF(ISBLANK('Data Input'!B411),"",'Data Input'!B411)</f>
        <v>LA110</v>
      </c>
      <c r="C411" t="str">
        <f>IF(ISBLANK('Data Input'!C411),"",'Data Input'!C411)</f>
        <v>7/1/18 1635</v>
      </c>
      <c r="E411" t="str">
        <f>IF(ISBLANK('Data Input'!D411),"",'Data Input'!D411)</f>
        <v>7/2/18 1543</v>
      </c>
      <c r="G411">
        <f>IF(ISBLANK('Data Input'!E411),"",'Data Input'!E411)</f>
        <v>39</v>
      </c>
      <c r="H411" t="str">
        <f>IF(ISBLANK('Data Input'!F411),"",'Data Input'!F411)</f>
        <v>White</v>
      </c>
      <c r="I411" t="str">
        <f>IF(ISBLANK('Data Input'!G411),"",'Data Input'!G411)</f>
        <v>Caesarean</v>
      </c>
      <c r="J411" t="str">
        <f>IF(ISBLANK('Data Input'!I411),"",'Data Input'!I411)</f>
        <v>7=2=18 1543</v>
      </c>
      <c r="K411" t="str">
        <f>IF(ISBLANK('Data Input'!J411),"",'Data Input'!J411)</f>
        <v>rr - Percocet</v>
      </c>
      <c r="L411">
        <f>IF(ISBLANK('Data Input'!K411),"",'Data Input'!K411)</f>
        <v>1</v>
      </c>
      <c r="M411" t="str">
        <f>IF(ISBLANK('Data Input'!L411),"",'Data Input'!L411)</f>
        <v>dd - Missing Data</v>
      </c>
      <c r="N411" t="str">
        <f>IF(ISBLANK('Data Input'!M411),"",'Data Input'!M411)</f>
        <v>dd - Missing Data</v>
      </c>
      <c r="O411" t="str">
        <f>IF(ISBLANK('Data Input'!N411),"",'Data Input'!N411)</f>
        <v/>
      </c>
      <c r="P411" t="str">
        <f>IF(ISBLANK('Data Input'!O411),"",'Data Input'!O411)</f>
        <v/>
      </c>
      <c r="Q411" t="str">
        <f>IF(ISBLANK('Data Input'!P411),"",'Data Input'!P411)</f>
        <v/>
      </c>
      <c r="R411" t="b">
        <f>IF(ISBLANK('Data Input'!Q411),"",'Data Input'!Q411)</f>
        <v>1</v>
      </c>
      <c r="T411" s="2">
        <f t="shared" si="26"/>
        <v>43282</v>
      </c>
      <c r="U411" s="12">
        <f t="shared" si="27"/>
        <v>0.69097222222222221</v>
      </c>
      <c r="V411" s="2">
        <f t="shared" si="28"/>
        <v>43283</v>
      </c>
      <c r="W411" s="12">
        <f t="shared" si="29"/>
        <v>0.65486111111111112</v>
      </c>
    </row>
    <row r="412" spans="1:23">
      <c r="A412">
        <f>IF(ISBLANK('Data Input'!A412),"",'Data Input'!A412)</f>
        <v>112</v>
      </c>
      <c r="B412" t="str">
        <f>IF(ISBLANK('Data Input'!B412),"",'Data Input'!B412)</f>
        <v>SH111</v>
      </c>
      <c r="C412" t="str">
        <f>IF(ISBLANK('Data Input'!C412),"",'Data Input'!C412)</f>
        <v>7/2/18 2240</v>
      </c>
      <c r="E412" t="str">
        <f>IF(ISBLANK('Data Input'!D412),"",'Data Input'!D412)</f>
        <v>7/2/18 2240</v>
      </c>
      <c r="G412">
        <f>IF(ISBLANK('Data Input'!E412),"",'Data Input'!E412)</f>
        <v>35</v>
      </c>
      <c r="H412" t="str">
        <f>IF(ISBLANK('Data Input'!F412),"",'Data Input'!F412)</f>
        <v>bb - Black</v>
      </c>
      <c r="I412" t="str">
        <f>IF(ISBLANK('Data Input'!G412),"",'Data Input'!G412)</f>
        <v>SVD</v>
      </c>
      <c r="J412" t="str">
        <f>IF(ISBLANK('Data Input'!I412),"",'Data Input'!I412)</f>
        <v>NA</v>
      </c>
      <c r="K412" t="str">
        <f>IF(ISBLANK('Data Input'!J412),"",'Data Input'!J412)</f>
        <v>NA</v>
      </c>
      <c r="L412" t="str">
        <f>IF(ISBLANK('Data Input'!K412),"",'Data Input'!K412)</f>
        <v>NA</v>
      </c>
      <c r="M412" t="str">
        <f>IF(ISBLANK('Data Input'!L412),"",'Data Input'!L412)</f>
        <v>NA</v>
      </c>
      <c r="N412" t="str">
        <f>IF(ISBLANK('Data Input'!M412),"",'Data Input'!M412)</f>
        <v>NA</v>
      </c>
      <c r="O412" t="str">
        <f>IF(ISBLANK('Data Input'!N412),"",'Data Input'!N412)</f>
        <v>NA</v>
      </c>
      <c r="P412" t="str">
        <f>IF(ISBLANK('Data Input'!O412),"",'Data Input'!O412)</f>
        <v/>
      </c>
      <c r="Q412" t="str">
        <f>IF(ISBLANK('Data Input'!P412),"",'Data Input'!P412)</f>
        <v/>
      </c>
      <c r="R412" t="b">
        <f>IF(ISBLANK('Data Input'!Q412),"",'Data Input'!Q412)</f>
        <v>0</v>
      </c>
      <c r="T412" s="2">
        <f t="shared" si="26"/>
        <v>43283</v>
      </c>
      <c r="U412" s="12">
        <f t="shared" si="27"/>
        <v>0.94444444444444453</v>
      </c>
      <c r="V412" s="2">
        <f t="shared" si="28"/>
        <v>43283</v>
      </c>
      <c r="W412" s="12">
        <f t="shared" si="29"/>
        <v>0.94444444444444453</v>
      </c>
    </row>
    <row r="413" spans="1:23">
      <c r="A413">
        <f>IF(ISBLANK('Data Input'!A413),"",'Data Input'!A413)</f>
        <v>113</v>
      </c>
      <c r="B413" t="str">
        <f>IF(ISBLANK('Data Input'!B413),"",'Data Input'!B413)</f>
        <v>LB112</v>
      </c>
      <c r="C413" t="str">
        <f>IF(ISBLANK('Data Input'!C413),"",'Data Input'!C413)</f>
        <v>7/3/18 1900</v>
      </c>
      <c r="E413" t="str">
        <f>IF(ISBLANK('Data Input'!D413),"",'Data Input'!D413)</f>
        <v>7/4/18 1715</v>
      </c>
      <c r="G413">
        <f>IF(ISBLANK('Data Input'!E413),"",'Data Input'!E413)</f>
        <v>29</v>
      </c>
      <c r="H413" t="str">
        <f>IF(ISBLANK('Data Input'!F413),"",'Data Input'!F413)</f>
        <v>White</v>
      </c>
      <c r="I413" t="str">
        <f>IF(ISBLANK('Data Input'!G413),"",'Data Input'!G413)</f>
        <v>SVD</v>
      </c>
      <c r="J413" t="str">
        <f>IF(ISBLANK('Data Input'!I413),"",'Data Input'!I413)</f>
        <v>7=3=18 2233</v>
      </c>
      <c r="K413" t="str">
        <f>IF(ISBLANK('Data Input'!J413),"",'Data Input'!J413)</f>
        <v>bb - Ibuprofen</v>
      </c>
      <c r="L413">
        <f>IF(ISBLANK('Data Input'!K413),"",'Data Input'!K413)</f>
        <v>800</v>
      </c>
      <c r="M413">
        <f>IF(ISBLANK('Data Input'!L413),"",'Data Input'!L413)</f>
        <v>0</v>
      </c>
      <c r="N413">
        <f>IF(ISBLANK('Data Input'!M413),"",'Data Input'!M413)</f>
        <v>0</v>
      </c>
      <c r="O413" t="str">
        <f>IF(ISBLANK('Data Input'!N413),"",'Data Input'!N413)</f>
        <v/>
      </c>
      <c r="P413" t="str">
        <f>IF(ISBLANK('Data Input'!O413),"",'Data Input'!O413)</f>
        <v/>
      </c>
      <c r="Q413" t="str">
        <f>IF(ISBLANK('Data Input'!P413),"",'Data Input'!P413)</f>
        <v/>
      </c>
      <c r="R413" t="b">
        <f>IF(ISBLANK('Data Input'!Q413),"",'Data Input'!Q413)</f>
        <v>1</v>
      </c>
      <c r="T413" s="2">
        <f t="shared" si="26"/>
        <v>43284</v>
      </c>
      <c r="U413" s="12">
        <f t="shared" si="27"/>
        <v>0.79166666666666663</v>
      </c>
      <c r="V413" s="2">
        <f t="shared" si="28"/>
        <v>43285</v>
      </c>
      <c r="W413" s="12">
        <f t="shared" si="29"/>
        <v>0.71875</v>
      </c>
    </row>
    <row r="414" spans="1:23">
      <c r="A414">
        <f>IF(ISBLANK('Data Input'!A414),"",'Data Input'!A414)</f>
        <v>113</v>
      </c>
      <c r="B414" t="str">
        <f>IF(ISBLANK('Data Input'!B414),"",'Data Input'!B414)</f>
        <v>LB112</v>
      </c>
      <c r="C414" t="str">
        <f>IF(ISBLANK('Data Input'!C414),"",'Data Input'!C414)</f>
        <v>7/3/18 1900</v>
      </c>
      <c r="E414" t="str">
        <f>IF(ISBLANK('Data Input'!D414),"",'Data Input'!D414)</f>
        <v>7/4/18 1715</v>
      </c>
      <c r="G414">
        <f>IF(ISBLANK('Data Input'!E414),"",'Data Input'!E414)</f>
        <v>29</v>
      </c>
      <c r="H414" t="str">
        <f>IF(ISBLANK('Data Input'!F414),"",'Data Input'!F414)</f>
        <v>White</v>
      </c>
      <c r="I414" t="str">
        <f>IF(ISBLANK('Data Input'!G414),"",'Data Input'!G414)</f>
        <v>SVD</v>
      </c>
      <c r="J414" t="str">
        <f>IF(ISBLANK('Data Input'!I414),"",'Data Input'!I414)</f>
        <v>7=4=18 0418</v>
      </c>
      <c r="K414" t="str">
        <f>IF(ISBLANK('Data Input'!J414),"",'Data Input'!J414)</f>
        <v>bb - Ibuprofen</v>
      </c>
      <c r="L414">
        <f>IF(ISBLANK('Data Input'!K414),"",'Data Input'!K414)</f>
        <v>800</v>
      </c>
      <c r="M414">
        <f>IF(ISBLANK('Data Input'!L414),"",'Data Input'!L414)</f>
        <v>0</v>
      </c>
      <c r="N414">
        <f>IF(ISBLANK('Data Input'!M414),"",'Data Input'!M414)</f>
        <v>0</v>
      </c>
      <c r="O414" t="str">
        <f>IF(ISBLANK('Data Input'!N414),"",'Data Input'!N414)</f>
        <v/>
      </c>
      <c r="P414" t="str">
        <f>IF(ISBLANK('Data Input'!O414),"",'Data Input'!O414)</f>
        <v/>
      </c>
      <c r="Q414" t="str">
        <f>IF(ISBLANK('Data Input'!P414),"",'Data Input'!P414)</f>
        <v/>
      </c>
      <c r="R414" t="b">
        <f>IF(ISBLANK('Data Input'!Q414),"",'Data Input'!Q414)</f>
        <v>1</v>
      </c>
      <c r="T414" s="2">
        <f t="shared" si="26"/>
        <v>43284</v>
      </c>
      <c r="U414" s="12">
        <f t="shared" si="27"/>
        <v>0.79166666666666663</v>
      </c>
      <c r="V414" s="2">
        <f t="shared" si="28"/>
        <v>43285</v>
      </c>
      <c r="W414" s="12">
        <f t="shared" si="29"/>
        <v>0.71875</v>
      </c>
    </row>
    <row r="415" spans="1:23">
      <c r="A415">
        <f>IF(ISBLANK('Data Input'!A415),"",'Data Input'!A415)</f>
        <v>113</v>
      </c>
      <c r="B415" t="str">
        <f>IF(ISBLANK('Data Input'!B415),"",'Data Input'!B415)</f>
        <v>LB112</v>
      </c>
      <c r="C415" t="str">
        <f>IF(ISBLANK('Data Input'!C415),"",'Data Input'!C415)</f>
        <v>7/3/18 1900</v>
      </c>
      <c r="E415" t="str">
        <f>IF(ISBLANK('Data Input'!D415),"",'Data Input'!D415)</f>
        <v>7/4/18 1715</v>
      </c>
      <c r="G415">
        <f>IF(ISBLANK('Data Input'!E415),"",'Data Input'!E415)</f>
        <v>29</v>
      </c>
      <c r="H415" t="str">
        <f>IF(ISBLANK('Data Input'!F415),"",'Data Input'!F415)</f>
        <v>White</v>
      </c>
      <c r="I415" t="str">
        <f>IF(ISBLANK('Data Input'!G415),"",'Data Input'!G415)</f>
        <v>SVD</v>
      </c>
      <c r="J415" t="str">
        <f>IF(ISBLANK('Data Input'!I415),"",'Data Input'!I415)</f>
        <v>7=4=18 1243</v>
      </c>
      <c r="K415" t="str">
        <f>IF(ISBLANK('Data Input'!J415),"",'Data Input'!J415)</f>
        <v>bb - Ibuprofen</v>
      </c>
      <c r="L415">
        <f>IF(ISBLANK('Data Input'!K415),"",'Data Input'!K415)</f>
        <v>800</v>
      </c>
      <c r="M415" t="str">
        <f>IF(ISBLANK('Data Input'!L415),"",'Data Input'!L415)</f>
        <v>dd - Missing Data</v>
      </c>
      <c r="N415" t="str">
        <f>IF(ISBLANK('Data Input'!M415),"",'Data Input'!M415)</f>
        <v>dd - Missing Data</v>
      </c>
      <c r="O415" t="str">
        <f>IF(ISBLANK('Data Input'!N415),"",'Data Input'!N415)</f>
        <v/>
      </c>
      <c r="P415" t="str">
        <f>IF(ISBLANK('Data Input'!O415),"",'Data Input'!O415)</f>
        <v/>
      </c>
      <c r="Q415" t="str">
        <f>IF(ISBLANK('Data Input'!P415),"",'Data Input'!P415)</f>
        <v/>
      </c>
      <c r="R415" t="b">
        <f>IF(ISBLANK('Data Input'!Q415),"",'Data Input'!Q415)</f>
        <v>1</v>
      </c>
      <c r="T415" s="2">
        <f t="shared" si="26"/>
        <v>43284</v>
      </c>
      <c r="U415" s="12">
        <f t="shared" si="27"/>
        <v>0.79166666666666663</v>
      </c>
      <c r="V415" s="2">
        <f t="shared" si="28"/>
        <v>43285</v>
      </c>
      <c r="W415" s="12">
        <f t="shared" si="29"/>
        <v>0.71875</v>
      </c>
    </row>
    <row r="416" spans="1:23">
      <c r="A416">
        <f>IF(ISBLANK('Data Input'!A416),"",'Data Input'!A416)</f>
        <v>113</v>
      </c>
      <c r="B416" t="str">
        <f>IF(ISBLANK('Data Input'!B416),"",'Data Input'!B416)</f>
        <v>LB112</v>
      </c>
      <c r="C416" t="str">
        <f>IF(ISBLANK('Data Input'!C416),"",'Data Input'!C416)</f>
        <v>7/3/18 1900</v>
      </c>
      <c r="E416" t="str">
        <f>IF(ISBLANK('Data Input'!D416),"",'Data Input'!D416)</f>
        <v>7/4/18 1715</v>
      </c>
      <c r="G416">
        <f>IF(ISBLANK('Data Input'!E416),"",'Data Input'!E416)</f>
        <v>29</v>
      </c>
      <c r="H416" t="str">
        <f>IF(ISBLANK('Data Input'!F416),"",'Data Input'!F416)</f>
        <v>White</v>
      </c>
      <c r="I416" t="str">
        <f>IF(ISBLANK('Data Input'!G416),"",'Data Input'!G416)</f>
        <v>SVD</v>
      </c>
      <c r="J416" t="str">
        <f>IF(ISBLANK('Data Input'!I416),"",'Data Input'!I416)</f>
        <v>7=4=18 1715</v>
      </c>
      <c r="K416" t="str">
        <f>IF(ISBLANK('Data Input'!J416),"",'Data Input'!J416)</f>
        <v>rr - Percocet</v>
      </c>
      <c r="L416">
        <f>IF(ISBLANK('Data Input'!K416),"",'Data Input'!K416)</f>
        <v>1</v>
      </c>
      <c r="M416">
        <f>IF(ISBLANK('Data Input'!L416),"",'Data Input'!L416)</f>
        <v>4</v>
      </c>
      <c r="N416">
        <f>IF(ISBLANK('Data Input'!M416),"",'Data Input'!M416)</f>
        <v>2</v>
      </c>
      <c r="O416" t="str">
        <f>IF(ISBLANK('Data Input'!N416),"",'Data Input'!N416)</f>
        <v/>
      </c>
      <c r="P416" t="str">
        <f>IF(ISBLANK('Data Input'!O416),"",'Data Input'!O416)</f>
        <v/>
      </c>
      <c r="Q416" t="str">
        <f>IF(ISBLANK('Data Input'!P416),"",'Data Input'!P416)</f>
        <v/>
      </c>
      <c r="R416" t="b">
        <f>IF(ISBLANK('Data Input'!Q416),"",'Data Input'!Q416)</f>
        <v>1</v>
      </c>
      <c r="T416" s="2">
        <f t="shared" si="26"/>
        <v>43284</v>
      </c>
      <c r="U416" s="12">
        <f t="shared" si="27"/>
        <v>0.79166666666666663</v>
      </c>
      <c r="V416" s="2">
        <f t="shared" si="28"/>
        <v>43285</v>
      </c>
      <c r="W416" s="12">
        <f t="shared" si="29"/>
        <v>0.71875</v>
      </c>
    </row>
    <row r="417" spans="1:23">
      <c r="A417">
        <f>IF(ISBLANK('Data Input'!A417),"",'Data Input'!A417)</f>
        <v>114</v>
      </c>
      <c r="B417" t="str">
        <f>IF(ISBLANK('Data Input'!B417),"",'Data Input'!B417)</f>
        <v>TB113</v>
      </c>
      <c r="C417" t="str">
        <f>IF(ISBLANK('Data Input'!C417),"",'Data Input'!C417)</f>
        <v>7/3/18 0000</v>
      </c>
      <c r="E417" t="str">
        <f>IF(ISBLANK('Data Input'!D417),"",'Data Input'!D417)</f>
        <v>7/3/18 1838</v>
      </c>
      <c r="G417">
        <f>IF(ISBLANK('Data Input'!E417),"",'Data Input'!E417)</f>
        <v>30</v>
      </c>
      <c r="H417" t="str">
        <f>IF(ISBLANK('Data Input'!F417),"",'Data Input'!F417)</f>
        <v>White</v>
      </c>
      <c r="I417" t="str">
        <f>IF(ISBLANK('Data Input'!G417),"",'Data Input'!G417)</f>
        <v>SVD</v>
      </c>
      <c r="J417" t="str">
        <f>IF(ISBLANK('Data Input'!I417),"",'Data Input'!I417)</f>
        <v>7=3=18 1309</v>
      </c>
      <c r="K417" t="str">
        <f>IF(ISBLANK('Data Input'!J417),"",'Data Input'!J417)</f>
        <v>bb - Ibuprofen</v>
      </c>
      <c r="L417">
        <f>IF(ISBLANK('Data Input'!K417),"",'Data Input'!K417)</f>
        <v>800</v>
      </c>
      <c r="M417">
        <f>IF(ISBLANK('Data Input'!L417),"",'Data Input'!L417)</f>
        <v>6</v>
      </c>
      <c r="N417">
        <f>IF(ISBLANK('Data Input'!M417),"",'Data Input'!M417)</f>
        <v>0</v>
      </c>
      <c r="O417" t="str">
        <f>IF(ISBLANK('Data Input'!N417),"",'Data Input'!N417)</f>
        <v/>
      </c>
      <c r="P417" t="str">
        <f>IF(ISBLANK('Data Input'!O417),"",'Data Input'!O417)</f>
        <v/>
      </c>
      <c r="Q417" t="str">
        <f>IF(ISBLANK('Data Input'!P417),"",'Data Input'!P417)</f>
        <v/>
      </c>
      <c r="R417" t="b">
        <f>IF(ISBLANK('Data Input'!Q417),"",'Data Input'!Q417)</f>
        <v>0</v>
      </c>
      <c r="T417" s="2">
        <f t="shared" si="26"/>
        <v>43284</v>
      </c>
      <c r="U417" s="12">
        <f t="shared" si="27"/>
        <v>0</v>
      </c>
      <c r="V417" s="2">
        <f t="shared" si="28"/>
        <v>43284</v>
      </c>
      <c r="W417" s="12">
        <f t="shared" si="29"/>
        <v>0.77638888888888891</v>
      </c>
    </row>
    <row r="418" spans="1:23">
      <c r="A418">
        <f>IF(ISBLANK('Data Input'!A418),"",'Data Input'!A418)</f>
        <v>114</v>
      </c>
      <c r="B418" t="str">
        <f>IF(ISBLANK('Data Input'!B418),"",'Data Input'!B418)</f>
        <v>TB113</v>
      </c>
      <c r="C418" t="str">
        <f>IF(ISBLANK('Data Input'!C418),"",'Data Input'!C418)</f>
        <v>7/3/18 0000</v>
      </c>
      <c r="E418" t="str">
        <f>IF(ISBLANK('Data Input'!D418),"",'Data Input'!D418)</f>
        <v>7/3/18 1838</v>
      </c>
      <c r="G418">
        <f>IF(ISBLANK('Data Input'!E418),"",'Data Input'!E418)</f>
        <v>30</v>
      </c>
      <c r="H418" t="str">
        <f>IF(ISBLANK('Data Input'!F418),"",'Data Input'!F418)</f>
        <v>White</v>
      </c>
      <c r="I418" t="str">
        <f>IF(ISBLANK('Data Input'!G418),"",'Data Input'!G418)</f>
        <v>SVD</v>
      </c>
      <c r="J418" t="str">
        <f>IF(ISBLANK('Data Input'!I418),"",'Data Input'!I418)</f>
        <v>7=3=18 1838</v>
      </c>
      <c r="K418" t="str">
        <f>IF(ISBLANK('Data Input'!J418),"",'Data Input'!J418)</f>
        <v>bb - Ibuprofen</v>
      </c>
      <c r="L418">
        <f>IF(ISBLANK('Data Input'!K418),"",'Data Input'!K418)</f>
        <v>800</v>
      </c>
      <c r="M418">
        <f>IF(ISBLANK('Data Input'!L418),"",'Data Input'!L418)</f>
        <v>5</v>
      </c>
      <c r="N418">
        <f>IF(ISBLANK('Data Input'!M418),"",'Data Input'!M418)</f>
        <v>0</v>
      </c>
      <c r="O418" t="str">
        <f>IF(ISBLANK('Data Input'!N418),"",'Data Input'!N418)</f>
        <v/>
      </c>
      <c r="P418" t="str">
        <f>IF(ISBLANK('Data Input'!O418),"",'Data Input'!O418)</f>
        <v/>
      </c>
      <c r="Q418" t="str">
        <f>IF(ISBLANK('Data Input'!P418),"",'Data Input'!P418)</f>
        <v/>
      </c>
      <c r="R418" t="b">
        <f>IF(ISBLANK('Data Input'!Q418),"",'Data Input'!Q418)</f>
        <v>0</v>
      </c>
      <c r="T418" s="2">
        <f t="shared" si="26"/>
        <v>43284</v>
      </c>
      <c r="U418" s="12">
        <f t="shared" si="27"/>
        <v>0</v>
      </c>
      <c r="V418" s="2">
        <f t="shared" si="28"/>
        <v>43284</v>
      </c>
      <c r="W418" s="12">
        <f t="shared" si="29"/>
        <v>0.77638888888888891</v>
      </c>
    </row>
    <row r="419" spans="1:23">
      <c r="A419">
        <f>IF(ISBLANK('Data Input'!A419),"",'Data Input'!A419)</f>
        <v>115</v>
      </c>
      <c r="B419" t="str">
        <f>IF(ISBLANK('Data Input'!B419),"",'Data Input'!B419)</f>
        <v>AR114</v>
      </c>
      <c r="C419" t="str">
        <f>IF(ISBLANK('Data Input'!C419),"",'Data Input'!C419)</f>
        <v>7/2/18 1459</v>
      </c>
      <c r="E419">
        <f>IF(ISBLANK('Data Input'!D419),"",'Data Input'!D419)</f>
        <v>43284</v>
      </c>
      <c r="G419">
        <f>IF(ISBLANK('Data Input'!E419),"",'Data Input'!E419)</f>
        <v>27</v>
      </c>
      <c r="H419" t="str">
        <f>IF(ISBLANK('Data Input'!F419),"",'Data Input'!F419)</f>
        <v>White</v>
      </c>
      <c r="I419" t="str">
        <f>IF(ISBLANK('Data Input'!G419),"",'Data Input'!G419)</f>
        <v>Caesarean</v>
      </c>
      <c r="J419" t="str">
        <f>IF(ISBLANK('Data Input'!I419),"",'Data Input'!I419)</f>
        <v>7=2=18 1714</v>
      </c>
      <c r="K419" t="str">
        <f>IF(ISBLANK('Data Input'!J419),"",'Data Input'!J419)</f>
        <v>rr - Percocet</v>
      </c>
      <c r="L419">
        <f>IF(ISBLANK('Data Input'!K419),"",'Data Input'!K419)</f>
        <v>1</v>
      </c>
      <c r="M419">
        <f>IF(ISBLANK('Data Input'!L419),"",'Data Input'!L419)</f>
        <v>5</v>
      </c>
      <c r="N419">
        <f>IF(ISBLANK('Data Input'!M419),"",'Data Input'!M419)</f>
        <v>3</v>
      </c>
      <c r="O419" t="str">
        <f>IF(ISBLANK('Data Input'!N419),"",'Data Input'!N419)</f>
        <v/>
      </c>
      <c r="P419" t="str">
        <f>IF(ISBLANK('Data Input'!O419),"",'Data Input'!O419)</f>
        <v/>
      </c>
      <c r="Q419" t="str">
        <f>IF(ISBLANK('Data Input'!P419),"",'Data Input'!P419)</f>
        <v/>
      </c>
      <c r="R419" t="b">
        <f>IF(ISBLANK('Data Input'!Q419),"",'Data Input'!Q419)</f>
        <v>1</v>
      </c>
      <c r="T419" s="2">
        <f t="shared" si="26"/>
        <v>43283</v>
      </c>
      <c r="U419" s="12">
        <f t="shared" si="27"/>
        <v>0.62430555555555556</v>
      </c>
      <c r="V419" s="2">
        <f t="shared" si="28"/>
        <v>43284</v>
      </c>
      <c r="W419" s="12">
        <f t="shared" si="29"/>
        <v>43284</v>
      </c>
    </row>
    <row r="420" spans="1:23">
      <c r="A420">
        <f>IF(ISBLANK('Data Input'!A420),"",'Data Input'!A420)</f>
        <v>115</v>
      </c>
      <c r="B420" t="str">
        <f>IF(ISBLANK('Data Input'!B420),"",'Data Input'!B420)</f>
        <v>AR114</v>
      </c>
      <c r="C420" t="str">
        <f>IF(ISBLANK('Data Input'!C420),"",'Data Input'!C420)</f>
        <v>7/2/18 1459</v>
      </c>
      <c r="E420">
        <f>IF(ISBLANK('Data Input'!D420),"",'Data Input'!D420)</f>
        <v>43284</v>
      </c>
      <c r="G420">
        <f>IF(ISBLANK('Data Input'!E420),"",'Data Input'!E420)</f>
        <v>27</v>
      </c>
      <c r="H420" t="str">
        <f>IF(ISBLANK('Data Input'!F420),"",'Data Input'!F420)</f>
        <v>White</v>
      </c>
      <c r="I420" t="str">
        <f>IF(ISBLANK('Data Input'!G420),"",'Data Input'!G420)</f>
        <v>Caesarean</v>
      </c>
      <c r="J420" t="str">
        <f>IF(ISBLANK('Data Input'!I420),"",'Data Input'!I420)</f>
        <v>7=2=18 2104</v>
      </c>
      <c r="K420" t="str">
        <f>IF(ISBLANK('Data Input'!J420),"",'Data Input'!J420)</f>
        <v>rr - Percocet</v>
      </c>
      <c r="L420">
        <f>IF(ISBLANK('Data Input'!K420),"",'Data Input'!K420)</f>
        <v>1</v>
      </c>
      <c r="M420">
        <f>IF(ISBLANK('Data Input'!L420),"",'Data Input'!L420)</f>
        <v>4</v>
      </c>
      <c r="N420">
        <f>IF(ISBLANK('Data Input'!M420),"",'Data Input'!M420)</f>
        <v>2</v>
      </c>
      <c r="O420" t="str">
        <f>IF(ISBLANK('Data Input'!N420),"",'Data Input'!N420)</f>
        <v/>
      </c>
      <c r="P420" t="str">
        <f>IF(ISBLANK('Data Input'!O420),"",'Data Input'!O420)</f>
        <v/>
      </c>
      <c r="Q420" t="str">
        <f>IF(ISBLANK('Data Input'!P420),"",'Data Input'!P420)</f>
        <v/>
      </c>
      <c r="R420" t="b">
        <f>IF(ISBLANK('Data Input'!Q420),"",'Data Input'!Q420)</f>
        <v>1</v>
      </c>
      <c r="T420" s="2">
        <f t="shared" si="26"/>
        <v>43283</v>
      </c>
      <c r="U420" s="12">
        <f t="shared" si="27"/>
        <v>0.62430555555555556</v>
      </c>
      <c r="V420" s="2">
        <f t="shared" si="28"/>
        <v>43284</v>
      </c>
      <c r="W420" s="12">
        <f t="shared" si="29"/>
        <v>43284</v>
      </c>
    </row>
    <row r="421" spans="1:23">
      <c r="A421">
        <f>IF(ISBLANK('Data Input'!A421),"",'Data Input'!A421)</f>
        <v>115</v>
      </c>
      <c r="B421" t="str">
        <f>IF(ISBLANK('Data Input'!B421),"",'Data Input'!B421)</f>
        <v>AR114</v>
      </c>
      <c r="C421" t="str">
        <f>IF(ISBLANK('Data Input'!C421),"",'Data Input'!C421)</f>
        <v>7/2/18 1459</v>
      </c>
      <c r="E421">
        <f>IF(ISBLANK('Data Input'!D421),"",'Data Input'!D421)</f>
        <v>43284</v>
      </c>
      <c r="G421">
        <f>IF(ISBLANK('Data Input'!E421),"",'Data Input'!E421)</f>
        <v>27</v>
      </c>
      <c r="H421" t="str">
        <f>IF(ISBLANK('Data Input'!F421),"",'Data Input'!F421)</f>
        <v>White</v>
      </c>
      <c r="I421" t="str">
        <f>IF(ISBLANK('Data Input'!G421),"",'Data Input'!G421)</f>
        <v>Caesarean</v>
      </c>
      <c r="J421" t="str">
        <f>IF(ISBLANK('Data Input'!I421),"",'Data Input'!I421)</f>
        <v>7=3=18 0108</v>
      </c>
      <c r="K421" t="str">
        <f>IF(ISBLANK('Data Input'!J421),"",'Data Input'!J421)</f>
        <v>rr - Percocet</v>
      </c>
      <c r="L421">
        <f>IF(ISBLANK('Data Input'!K421),"",'Data Input'!K421)</f>
        <v>1</v>
      </c>
      <c r="M421">
        <f>IF(ISBLANK('Data Input'!L421),"",'Data Input'!L421)</f>
        <v>2</v>
      </c>
      <c r="N421">
        <f>IF(ISBLANK('Data Input'!M421),"",'Data Input'!M421)</f>
        <v>0</v>
      </c>
      <c r="O421" t="str">
        <f>IF(ISBLANK('Data Input'!N421),"",'Data Input'!N421)</f>
        <v/>
      </c>
      <c r="P421" t="str">
        <f>IF(ISBLANK('Data Input'!O421),"",'Data Input'!O421)</f>
        <v/>
      </c>
      <c r="Q421" t="str">
        <f>IF(ISBLANK('Data Input'!P421),"",'Data Input'!P421)</f>
        <v/>
      </c>
      <c r="R421" t="b">
        <f>IF(ISBLANK('Data Input'!Q421),"",'Data Input'!Q421)</f>
        <v>1</v>
      </c>
      <c r="T421" s="2">
        <f t="shared" si="26"/>
        <v>43283</v>
      </c>
      <c r="U421" s="12">
        <f t="shared" si="27"/>
        <v>0.62430555555555556</v>
      </c>
      <c r="V421" s="2">
        <f t="shared" si="28"/>
        <v>43284</v>
      </c>
      <c r="W421" s="12">
        <f t="shared" si="29"/>
        <v>43284</v>
      </c>
    </row>
    <row r="422" spans="1:23">
      <c r="A422">
        <f>IF(ISBLANK('Data Input'!A422),"",'Data Input'!A422)</f>
        <v>115</v>
      </c>
      <c r="B422" t="str">
        <f>IF(ISBLANK('Data Input'!B422),"",'Data Input'!B422)</f>
        <v>AR114</v>
      </c>
      <c r="C422" t="str">
        <f>IF(ISBLANK('Data Input'!C422),"",'Data Input'!C422)</f>
        <v>7/2/18 1459</v>
      </c>
      <c r="E422">
        <f>IF(ISBLANK('Data Input'!D422),"",'Data Input'!D422)</f>
        <v>43284</v>
      </c>
      <c r="G422">
        <f>IF(ISBLANK('Data Input'!E422),"",'Data Input'!E422)</f>
        <v>27</v>
      </c>
      <c r="H422" t="str">
        <f>IF(ISBLANK('Data Input'!F422),"",'Data Input'!F422)</f>
        <v>White</v>
      </c>
      <c r="I422" t="str">
        <f>IF(ISBLANK('Data Input'!G422),"",'Data Input'!G422)</f>
        <v>Caesarean</v>
      </c>
      <c r="J422" t="str">
        <f>IF(ISBLANK('Data Input'!I422),"",'Data Input'!I422)</f>
        <v>7=3=18 0447</v>
      </c>
      <c r="K422" t="str">
        <f>IF(ISBLANK('Data Input'!J422),"",'Data Input'!J422)</f>
        <v>rr - Percocet</v>
      </c>
      <c r="L422">
        <f>IF(ISBLANK('Data Input'!K422),"",'Data Input'!K422)</f>
        <v>2</v>
      </c>
      <c r="M422">
        <f>IF(ISBLANK('Data Input'!L422),"",'Data Input'!L422)</f>
        <v>5</v>
      </c>
      <c r="N422">
        <f>IF(ISBLANK('Data Input'!M422),"",'Data Input'!M422)</f>
        <v>4</v>
      </c>
      <c r="O422" t="str">
        <f>IF(ISBLANK('Data Input'!N422),"",'Data Input'!N422)</f>
        <v/>
      </c>
      <c r="P422" t="str">
        <f>IF(ISBLANK('Data Input'!O422),"",'Data Input'!O422)</f>
        <v/>
      </c>
      <c r="Q422" t="str">
        <f>IF(ISBLANK('Data Input'!P422),"",'Data Input'!P422)</f>
        <v/>
      </c>
      <c r="R422" t="b">
        <f>IF(ISBLANK('Data Input'!Q422),"",'Data Input'!Q422)</f>
        <v>1</v>
      </c>
      <c r="T422" s="2">
        <f t="shared" si="26"/>
        <v>43283</v>
      </c>
      <c r="U422" s="12">
        <f t="shared" si="27"/>
        <v>0.62430555555555556</v>
      </c>
      <c r="V422" s="2">
        <f t="shared" si="28"/>
        <v>43284</v>
      </c>
      <c r="W422" s="12">
        <f t="shared" si="29"/>
        <v>43284</v>
      </c>
    </row>
    <row r="423" spans="1:23">
      <c r="A423">
        <f>IF(ISBLANK('Data Input'!A423),"",'Data Input'!A423)</f>
        <v>115</v>
      </c>
      <c r="B423" t="str">
        <f>IF(ISBLANK('Data Input'!B423),"",'Data Input'!B423)</f>
        <v>AR114</v>
      </c>
      <c r="C423" t="str">
        <f>IF(ISBLANK('Data Input'!C423),"",'Data Input'!C423)</f>
        <v>7/2/18 1459</v>
      </c>
      <c r="E423">
        <f>IF(ISBLANK('Data Input'!D423),"",'Data Input'!D423)</f>
        <v>43284</v>
      </c>
      <c r="G423">
        <f>IF(ISBLANK('Data Input'!E423),"",'Data Input'!E423)</f>
        <v>27</v>
      </c>
      <c r="H423" t="str">
        <f>IF(ISBLANK('Data Input'!F423),"",'Data Input'!F423)</f>
        <v>White</v>
      </c>
      <c r="I423" t="str">
        <f>IF(ISBLANK('Data Input'!G423),"",'Data Input'!G423)</f>
        <v>Caesarean</v>
      </c>
      <c r="J423" t="str">
        <f>IF(ISBLANK('Data Input'!I423),"",'Data Input'!I423)</f>
        <v>7=3=18 0859</v>
      </c>
      <c r="K423" t="str">
        <f>IF(ISBLANK('Data Input'!J423),"",'Data Input'!J423)</f>
        <v>rr - Percocet</v>
      </c>
      <c r="L423">
        <f>IF(ISBLANK('Data Input'!K423),"",'Data Input'!K423)</f>
        <v>2</v>
      </c>
      <c r="M423">
        <f>IF(ISBLANK('Data Input'!L423),"",'Data Input'!L423)</f>
        <v>6</v>
      </c>
      <c r="N423">
        <f>IF(ISBLANK('Data Input'!M423),"",'Data Input'!M423)</f>
        <v>1</v>
      </c>
      <c r="O423" t="str">
        <f>IF(ISBLANK('Data Input'!N423),"",'Data Input'!N423)</f>
        <v/>
      </c>
      <c r="P423" t="str">
        <f>IF(ISBLANK('Data Input'!O423),"",'Data Input'!O423)</f>
        <v/>
      </c>
      <c r="Q423" t="str">
        <f>IF(ISBLANK('Data Input'!P423),"",'Data Input'!P423)</f>
        <v/>
      </c>
      <c r="R423" t="b">
        <f>IF(ISBLANK('Data Input'!Q423),"",'Data Input'!Q423)</f>
        <v>1</v>
      </c>
      <c r="T423" s="2">
        <f t="shared" si="26"/>
        <v>43283</v>
      </c>
      <c r="U423" s="12">
        <f t="shared" si="27"/>
        <v>0.62430555555555556</v>
      </c>
      <c r="V423" s="2">
        <f t="shared" si="28"/>
        <v>43284</v>
      </c>
      <c r="W423" s="12">
        <f t="shared" si="29"/>
        <v>43284</v>
      </c>
    </row>
    <row r="424" spans="1:23">
      <c r="A424">
        <f>IF(ISBLANK('Data Input'!A424),"",'Data Input'!A424)</f>
        <v>115</v>
      </c>
      <c r="B424" t="str">
        <f>IF(ISBLANK('Data Input'!B424),"",'Data Input'!B424)</f>
        <v>AR114</v>
      </c>
      <c r="C424" t="str">
        <f>IF(ISBLANK('Data Input'!C424),"",'Data Input'!C424)</f>
        <v>7/2/18 1459</v>
      </c>
      <c r="E424">
        <f>IF(ISBLANK('Data Input'!D424),"",'Data Input'!D424)</f>
        <v>43284</v>
      </c>
      <c r="G424">
        <f>IF(ISBLANK('Data Input'!E424),"",'Data Input'!E424)</f>
        <v>27</v>
      </c>
      <c r="H424" t="str">
        <f>IF(ISBLANK('Data Input'!F424),"",'Data Input'!F424)</f>
        <v>White</v>
      </c>
      <c r="I424" t="str">
        <f>IF(ISBLANK('Data Input'!G424),"",'Data Input'!G424)</f>
        <v>Caesarean</v>
      </c>
      <c r="J424" t="str">
        <f>IF(ISBLANK('Data Input'!I424),"",'Data Input'!I424)</f>
        <v>7=3=18 1353</v>
      </c>
      <c r="K424" t="str">
        <f>IF(ISBLANK('Data Input'!J424),"",'Data Input'!J424)</f>
        <v>rr - Percocet</v>
      </c>
      <c r="L424">
        <f>IF(ISBLANK('Data Input'!K424),"",'Data Input'!K424)</f>
        <v>2</v>
      </c>
      <c r="M424">
        <f>IF(ISBLANK('Data Input'!L424),"",'Data Input'!L424)</f>
        <v>6</v>
      </c>
      <c r="N424">
        <f>IF(ISBLANK('Data Input'!M424),"",'Data Input'!M424)</f>
        <v>1</v>
      </c>
      <c r="O424" t="str">
        <f>IF(ISBLANK('Data Input'!N424),"",'Data Input'!N424)</f>
        <v/>
      </c>
      <c r="P424" t="str">
        <f>IF(ISBLANK('Data Input'!O424),"",'Data Input'!O424)</f>
        <v/>
      </c>
      <c r="Q424" t="str">
        <f>IF(ISBLANK('Data Input'!P424),"",'Data Input'!P424)</f>
        <v/>
      </c>
      <c r="R424" t="b">
        <f>IF(ISBLANK('Data Input'!Q424),"",'Data Input'!Q424)</f>
        <v>1</v>
      </c>
      <c r="T424" s="2">
        <f t="shared" si="26"/>
        <v>43283</v>
      </c>
      <c r="U424" s="12">
        <f t="shared" si="27"/>
        <v>0.62430555555555556</v>
      </c>
      <c r="V424" s="2">
        <f t="shared" si="28"/>
        <v>43284</v>
      </c>
      <c r="W424" s="12">
        <f t="shared" si="29"/>
        <v>43284</v>
      </c>
    </row>
    <row r="425" spans="1:23">
      <c r="A425">
        <f>IF(ISBLANK('Data Input'!A425),"",'Data Input'!A425)</f>
        <v>116</v>
      </c>
      <c r="B425" t="str">
        <f>IF(ISBLANK('Data Input'!B425),"",'Data Input'!B425)</f>
        <v>AJ115</v>
      </c>
      <c r="C425" t="str">
        <f>IF(ISBLANK('Data Input'!C425),"",'Data Input'!C425)</f>
        <v>7/3/18 1205</v>
      </c>
      <c r="E425" t="str">
        <f>IF(ISBLANK('Data Input'!D425),"",'Data Input'!D425)</f>
        <v>7/4/18 0828</v>
      </c>
      <c r="G425">
        <f>IF(ISBLANK('Data Input'!E425),"",'Data Input'!E425)</f>
        <v>37</v>
      </c>
      <c r="H425" t="str">
        <f>IF(ISBLANK('Data Input'!F425),"",'Data Input'!F425)</f>
        <v>bb - Black</v>
      </c>
      <c r="I425" t="str">
        <f>IF(ISBLANK('Data Input'!G425),"",'Data Input'!G425)</f>
        <v>Caesarean</v>
      </c>
      <c r="J425" t="str">
        <f>IF(ISBLANK('Data Input'!I425),"",'Data Input'!I425)</f>
        <v>7=3=18 2305</v>
      </c>
      <c r="K425" t="str">
        <f>IF(ISBLANK('Data Input'!J425),"",'Data Input'!J425)</f>
        <v>rr - Percocet</v>
      </c>
      <c r="L425">
        <f>IF(ISBLANK('Data Input'!K425),"",'Data Input'!K425)</f>
        <v>1</v>
      </c>
      <c r="M425">
        <f>IF(ISBLANK('Data Input'!L425),"",'Data Input'!L425)</f>
        <v>6</v>
      </c>
      <c r="N425">
        <f>IF(ISBLANK('Data Input'!M425),"",'Data Input'!M425)</f>
        <v>0</v>
      </c>
      <c r="O425" t="str">
        <f>IF(ISBLANK('Data Input'!N425),"",'Data Input'!N425)</f>
        <v/>
      </c>
      <c r="P425" t="str">
        <f>IF(ISBLANK('Data Input'!O425),"",'Data Input'!O425)</f>
        <v/>
      </c>
      <c r="Q425" t="str">
        <f>IF(ISBLANK('Data Input'!P425),"",'Data Input'!P425)</f>
        <v/>
      </c>
      <c r="R425" t="b">
        <f>IF(ISBLANK('Data Input'!Q425),"",'Data Input'!Q425)</f>
        <v>0</v>
      </c>
      <c r="T425" s="2">
        <f t="shared" si="26"/>
        <v>43284</v>
      </c>
      <c r="U425" s="12">
        <f t="shared" si="27"/>
        <v>0.50347222222222221</v>
      </c>
      <c r="V425" s="2">
        <f t="shared" si="28"/>
        <v>43285</v>
      </c>
      <c r="W425" s="12">
        <f t="shared" si="29"/>
        <v>0.3527777777777778</v>
      </c>
    </row>
    <row r="426" spans="1:23">
      <c r="A426">
        <f>IF(ISBLANK('Data Input'!A426),"",'Data Input'!A426)</f>
        <v>116</v>
      </c>
      <c r="B426" t="str">
        <f>IF(ISBLANK('Data Input'!B426),"",'Data Input'!B426)</f>
        <v>AJ115</v>
      </c>
      <c r="C426" t="str">
        <f>IF(ISBLANK('Data Input'!C426),"",'Data Input'!C426)</f>
        <v>7/3/18 1205</v>
      </c>
      <c r="E426" t="str">
        <f>IF(ISBLANK('Data Input'!D426),"",'Data Input'!D426)</f>
        <v>7/4/18 0828</v>
      </c>
      <c r="G426">
        <f>IF(ISBLANK('Data Input'!E426),"",'Data Input'!E426)</f>
        <v>37</v>
      </c>
      <c r="H426" t="str">
        <f>IF(ISBLANK('Data Input'!F426),"",'Data Input'!F426)</f>
        <v>bb - Black</v>
      </c>
      <c r="I426" t="str">
        <f>IF(ISBLANK('Data Input'!G426),"",'Data Input'!G426)</f>
        <v>Caesarean</v>
      </c>
      <c r="J426" t="str">
        <f>IF(ISBLANK('Data Input'!I426),"",'Data Input'!I426)</f>
        <v>7=4=18 0003</v>
      </c>
      <c r="K426" t="str">
        <f>IF(ISBLANK('Data Input'!J426),"",'Data Input'!J426)</f>
        <v>tr - Toradol</v>
      </c>
      <c r="L426">
        <f>IF(ISBLANK('Data Input'!K426),"",'Data Input'!K426)</f>
        <v>30</v>
      </c>
      <c r="M426">
        <f>IF(ISBLANK('Data Input'!L426),"",'Data Input'!L426)</f>
        <v>3</v>
      </c>
      <c r="N426">
        <f>IF(ISBLANK('Data Input'!M426),"",'Data Input'!M426)</f>
        <v>4</v>
      </c>
      <c r="O426" t="str">
        <f>IF(ISBLANK('Data Input'!N426),"",'Data Input'!N426)</f>
        <v/>
      </c>
      <c r="P426" t="str">
        <f>IF(ISBLANK('Data Input'!O426),"",'Data Input'!O426)</f>
        <v/>
      </c>
      <c r="Q426" t="str">
        <f>IF(ISBLANK('Data Input'!P426),"",'Data Input'!P426)</f>
        <v/>
      </c>
      <c r="R426" t="b">
        <f>IF(ISBLANK('Data Input'!Q426),"",'Data Input'!Q426)</f>
        <v>0</v>
      </c>
      <c r="T426" s="2">
        <f t="shared" si="26"/>
        <v>43284</v>
      </c>
      <c r="U426" s="12">
        <f t="shared" si="27"/>
        <v>0.50347222222222221</v>
      </c>
      <c r="V426" s="2">
        <f t="shared" si="28"/>
        <v>43285</v>
      </c>
      <c r="W426" s="12">
        <f t="shared" si="29"/>
        <v>0.3527777777777778</v>
      </c>
    </row>
    <row r="427" spans="1:23">
      <c r="A427">
        <f>IF(ISBLANK('Data Input'!A427),"",'Data Input'!A427)</f>
        <v>116</v>
      </c>
      <c r="B427" t="str">
        <f>IF(ISBLANK('Data Input'!B427),"",'Data Input'!B427)</f>
        <v>AJ115</v>
      </c>
      <c r="C427" t="str">
        <f>IF(ISBLANK('Data Input'!C427),"",'Data Input'!C427)</f>
        <v>7/3/18 1205</v>
      </c>
      <c r="E427" t="str">
        <f>IF(ISBLANK('Data Input'!D427),"",'Data Input'!D427)</f>
        <v>7/4/18 0828</v>
      </c>
      <c r="G427">
        <f>IF(ISBLANK('Data Input'!E427),"",'Data Input'!E427)</f>
        <v>37</v>
      </c>
      <c r="H427" t="str">
        <f>IF(ISBLANK('Data Input'!F427),"",'Data Input'!F427)</f>
        <v>bb - Black</v>
      </c>
      <c r="I427" t="str">
        <f>IF(ISBLANK('Data Input'!G427),"",'Data Input'!G427)</f>
        <v>Caesarean</v>
      </c>
      <c r="J427" t="str">
        <f>IF(ISBLANK('Data Input'!I427),"",'Data Input'!I427)</f>
        <v>7=4=18 0656</v>
      </c>
      <c r="K427" t="str">
        <f>IF(ISBLANK('Data Input'!J427),"",'Data Input'!J427)</f>
        <v>tr - Toradol</v>
      </c>
      <c r="L427">
        <f>IF(ISBLANK('Data Input'!K427),"",'Data Input'!K427)</f>
        <v>30</v>
      </c>
      <c r="M427">
        <f>IF(ISBLANK('Data Input'!L427),"",'Data Input'!L427)</f>
        <v>4</v>
      </c>
      <c r="N427">
        <f>IF(ISBLANK('Data Input'!M427),"",'Data Input'!M427)</f>
        <v>6</v>
      </c>
      <c r="O427" t="str">
        <f>IF(ISBLANK('Data Input'!N427),"",'Data Input'!N427)</f>
        <v/>
      </c>
      <c r="P427" t="str">
        <f>IF(ISBLANK('Data Input'!O427),"",'Data Input'!O427)</f>
        <v/>
      </c>
      <c r="Q427" t="str">
        <f>IF(ISBLANK('Data Input'!P427),"",'Data Input'!P427)</f>
        <v/>
      </c>
      <c r="R427" t="b">
        <f>IF(ISBLANK('Data Input'!Q427),"",'Data Input'!Q427)</f>
        <v>0</v>
      </c>
      <c r="T427" s="2">
        <f t="shared" si="26"/>
        <v>43284</v>
      </c>
      <c r="U427" s="12">
        <f t="shared" si="27"/>
        <v>0.50347222222222221</v>
      </c>
      <c r="V427" s="2">
        <f t="shared" si="28"/>
        <v>43285</v>
      </c>
      <c r="W427" s="12">
        <f t="shared" si="29"/>
        <v>0.3527777777777778</v>
      </c>
    </row>
    <row r="428" spans="1:23">
      <c r="A428">
        <f>IF(ISBLANK('Data Input'!A428),"",'Data Input'!A428)</f>
        <v>116</v>
      </c>
      <c r="B428" t="str">
        <f>IF(ISBLANK('Data Input'!B428),"",'Data Input'!B428)</f>
        <v>AJ115</v>
      </c>
      <c r="C428" t="str">
        <f>IF(ISBLANK('Data Input'!C428),"",'Data Input'!C428)</f>
        <v>7/3/18 1205</v>
      </c>
      <c r="E428" t="str">
        <f>IF(ISBLANK('Data Input'!D428),"",'Data Input'!D428)</f>
        <v>7/4/18 0828</v>
      </c>
      <c r="G428">
        <f>IF(ISBLANK('Data Input'!E428),"",'Data Input'!E428)</f>
        <v>37</v>
      </c>
      <c r="H428" t="str">
        <f>IF(ISBLANK('Data Input'!F428),"",'Data Input'!F428)</f>
        <v>bb - Black</v>
      </c>
      <c r="I428" t="str">
        <f>IF(ISBLANK('Data Input'!G428),"",'Data Input'!G428)</f>
        <v>Caesarean</v>
      </c>
      <c r="J428" t="str">
        <f>IF(ISBLANK('Data Input'!I428),"",'Data Input'!I428)</f>
        <v>7=4=18 0828</v>
      </c>
      <c r="K428" t="str">
        <f>IF(ISBLANK('Data Input'!J428),"",'Data Input'!J428)</f>
        <v>rr - Percocet</v>
      </c>
      <c r="L428">
        <f>IF(ISBLANK('Data Input'!K428),"",'Data Input'!K428)</f>
        <v>1</v>
      </c>
      <c r="M428">
        <f>IF(ISBLANK('Data Input'!L428),"",'Data Input'!L428)</f>
        <v>6</v>
      </c>
      <c r="N428">
        <f>IF(ISBLANK('Data Input'!M428),"",'Data Input'!M428)</f>
        <v>2</v>
      </c>
      <c r="O428" t="str">
        <f>IF(ISBLANK('Data Input'!N428),"",'Data Input'!N428)</f>
        <v/>
      </c>
      <c r="P428" t="str">
        <f>IF(ISBLANK('Data Input'!O428),"",'Data Input'!O428)</f>
        <v/>
      </c>
      <c r="Q428" t="str">
        <f>IF(ISBLANK('Data Input'!P428),"",'Data Input'!P428)</f>
        <v/>
      </c>
      <c r="R428" t="b">
        <f>IF(ISBLANK('Data Input'!Q428),"",'Data Input'!Q428)</f>
        <v>0</v>
      </c>
      <c r="T428" s="2">
        <f t="shared" si="26"/>
        <v>43284</v>
      </c>
      <c r="U428" s="12">
        <f t="shared" si="27"/>
        <v>0.50347222222222221</v>
      </c>
      <c r="V428" s="2">
        <f t="shared" si="28"/>
        <v>43285</v>
      </c>
      <c r="W428" s="12">
        <f t="shared" si="29"/>
        <v>0.3527777777777778</v>
      </c>
    </row>
    <row r="429" spans="1:23">
      <c r="A429">
        <f>IF(ISBLANK('Data Input'!A429),"",'Data Input'!A429)</f>
        <v>117</v>
      </c>
      <c r="B429" t="str">
        <f>IF(ISBLANK('Data Input'!B429),"",'Data Input'!B429)</f>
        <v>ST116</v>
      </c>
      <c r="C429" t="str">
        <f>IF(ISBLANK('Data Input'!C429),"",'Data Input'!C429)</f>
        <v>7/3/18 1700</v>
      </c>
      <c r="E429" t="str">
        <f>IF(ISBLANK('Data Input'!D429),"",'Data Input'!D429)</f>
        <v>dd - Missing Data</v>
      </c>
      <c r="G429">
        <f>IF(ISBLANK('Data Input'!E429),"",'Data Input'!E429)</f>
        <v>28</v>
      </c>
      <c r="H429" t="str">
        <f>IF(ISBLANK('Data Input'!F429),"",'Data Input'!F429)</f>
        <v>White</v>
      </c>
      <c r="I429" t="str">
        <f>IF(ISBLANK('Data Input'!G429),"",'Data Input'!G429)</f>
        <v>SVD</v>
      </c>
      <c r="J429" t="str">
        <f>IF(ISBLANK('Data Input'!I429),"",'Data Input'!I429)</f>
        <v>7=3=18 1737</v>
      </c>
      <c r="K429" t="str">
        <f>IF(ISBLANK('Data Input'!J429),"",'Data Input'!J429)</f>
        <v>bb - Ibuprofen</v>
      </c>
      <c r="L429">
        <f>IF(ISBLANK('Data Input'!K429),"",'Data Input'!K429)</f>
        <v>800</v>
      </c>
      <c r="M429">
        <f>IF(ISBLANK('Data Input'!L429),"",'Data Input'!L429)</f>
        <v>7</v>
      </c>
      <c r="N429">
        <f>IF(ISBLANK('Data Input'!M429),"",'Data Input'!M429)</f>
        <v>1</v>
      </c>
      <c r="O429" t="str">
        <f>IF(ISBLANK('Data Input'!N429),"",'Data Input'!N429)</f>
        <v/>
      </c>
      <c r="P429" t="str">
        <f>IF(ISBLANK('Data Input'!O429),"",'Data Input'!O429)</f>
        <v/>
      </c>
      <c r="Q429" t="str">
        <f>IF(ISBLANK('Data Input'!P429),"",'Data Input'!P429)</f>
        <v/>
      </c>
      <c r="R429" t="b">
        <f>IF(ISBLANK('Data Input'!Q429),"",'Data Input'!Q429)</f>
        <v>1</v>
      </c>
      <c r="T429" s="2">
        <f t="shared" si="26"/>
        <v>43284</v>
      </c>
      <c r="U429" s="12">
        <f t="shared" si="27"/>
        <v>0.70833333333333337</v>
      </c>
      <c r="V429" s="2" t="str">
        <f t="shared" si="28"/>
        <v>dd - Missing Data</v>
      </c>
      <c r="W429" s="12" t="str">
        <f t="shared" si="29"/>
        <v>dd - Missing Data</v>
      </c>
    </row>
    <row r="430" spans="1:23">
      <c r="A430">
        <f>IF(ISBLANK('Data Input'!A430),"",'Data Input'!A430)</f>
        <v>117</v>
      </c>
      <c r="B430" t="str">
        <f>IF(ISBLANK('Data Input'!B430),"",'Data Input'!B430)</f>
        <v>ST116</v>
      </c>
      <c r="C430" t="str">
        <f>IF(ISBLANK('Data Input'!C430),"",'Data Input'!C430)</f>
        <v>7/3/18 1700</v>
      </c>
      <c r="E430" t="str">
        <f>IF(ISBLANK('Data Input'!D430),"",'Data Input'!D430)</f>
        <v>dd - Missing Data</v>
      </c>
      <c r="G430">
        <f>IF(ISBLANK('Data Input'!E430),"",'Data Input'!E430)</f>
        <v>28</v>
      </c>
      <c r="H430" t="str">
        <f>IF(ISBLANK('Data Input'!F430),"",'Data Input'!F430)</f>
        <v>White</v>
      </c>
      <c r="I430" t="str">
        <f>IF(ISBLANK('Data Input'!G430),"",'Data Input'!G430)</f>
        <v>SVD</v>
      </c>
      <c r="J430" t="str">
        <f>IF(ISBLANK('Data Input'!I430),"",'Data Input'!I430)</f>
        <v>7=3=18 1905</v>
      </c>
      <c r="K430" t="str">
        <f>IF(ISBLANK('Data Input'!J430),"",'Data Input'!J430)</f>
        <v>rr - Percocet</v>
      </c>
      <c r="L430">
        <f>IF(ISBLANK('Data Input'!K430),"",'Data Input'!K430)</f>
        <v>1</v>
      </c>
      <c r="M430">
        <f>IF(ISBLANK('Data Input'!L430),"",'Data Input'!L430)</f>
        <v>4</v>
      </c>
      <c r="N430">
        <f>IF(ISBLANK('Data Input'!M430),"",'Data Input'!M430)</f>
        <v>1</v>
      </c>
      <c r="O430" t="str">
        <f>IF(ISBLANK('Data Input'!N430),"",'Data Input'!N430)</f>
        <v/>
      </c>
      <c r="P430" t="str">
        <f>IF(ISBLANK('Data Input'!O430),"",'Data Input'!O430)</f>
        <v/>
      </c>
      <c r="Q430" t="str">
        <f>IF(ISBLANK('Data Input'!P430),"",'Data Input'!P430)</f>
        <v/>
      </c>
      <c r="R430" t="b">
        <f>IF(ISBLANK('Data Input'!Q430),"",'Data Input'!Q430)</f>
        <v>1</v>
      </c>
      <c r="T430" s="2">
        <f t="shared" si="26"/>
        <v>43284</v>
      </c>
      <c r="U430" s="12">
        <f t="shared" si="27"/>
        <v>0.70833333333333337</v>
      </c>
      <c r="V430" s="2" t="str">
        <f t="shared" si="28"/>
        <v>dd - Missing Data</v>
      </c>
      <c r="W430" s="12" t="str">
        <f t="shared" si="29"/>
        <v>dd - Missing Data</v>
      </c>
    </row>
    <row r="431" spans="1:23">
      <c r="A431">
        <f>IF(ISBLANK('Data Input'!A431),"",'Data Input'!A431)</f>
        <v>117</v>
      </c>
      <c r="B431" t="str">
        <f>IF(ISBLANK('Data Input'!B431),"",'Data Input'!B431)</f>
        <v>ST116</v>
      </c>
      <c r="C431" t="str">
        <f>IF(ISBLANK('Data Input'!C431),"",'Data Input'!C431)</f>
        <v>7/3/18 1700</v>
      </c>
      <c r="E431" t="str">
        <f>IF(ISBLANK('Data Input'!D431),"",'Data Input'!D431)</f>
        <v>dd - Missing Data</v>
      </c>
      <c r="G431">
        <f>IF(ISBLANK('Data Input'!E431),"",'Data Input'!E431)</f>
        <v>28</v>
      </c>
      <c r="H431" t="str">
        <f>IF(ISBLANK('Data Input'!F431),"",'Data Input'!F431)</f>
        <v>White</v>
      </c>
      <c r="I431" t="str">
        <f>IF(ISBLANK('Data Input'!G431),"",'Data Input'!G431)</f>
        <v>SVD</v>
      </c>
      <c r="J431" t="str">
        <f>IF(ISBLANK('Data Input'!I431),"",'Data Input'!I431)</f>
        <v>7=3=18 2323</v>
      </c>
      <c r="K431" t="str">
        <f>IF(ISBLANK('Data Input'!J431),"",'Data Input'!J431)</f>
        <v>rr - Percocet</v>
      </c>
      <c r="L431">
        <f>IF(ISBLANK('Data Input'!K431),"",'Data Input'!K431)</f>
        <v>1</v>
      </c>
      <c r="M431">
        <f>IF(ISBLANK('Data Input'!L431),"",'Data Input'!L431)</f>
        <v>3</v>
      </c>
      <c r="N431">
        <f>IF(ISBLANK('Data Input'!M431),"",'Data Input'!M431)</f>
        <v>2</v>
      </c>
      <c r="O431" t="str">
        <f>IF(ISBLANK('Data Input'!N431),"",'Data Input'!N431)</f>
        <v/>
      </c>
      <c r="P431" t="str">
        <f>IF(ISBLANK('Data Input'!O431),"",'Data Input'!O431)</f>
        <v/>
      </c>
      <c r="Q431" t="str">
        <f>IF(ISBLANK('Data Input'!P431),"",'Data Input'!P431)</f>
        <v/>
      </c>
      <c r="R431" t="b">
        <f>IF(ISBLANK('Data Input'!Q431),"",'Data Input'!Q431)</f>
        <v>1</v>
      </c>
      <c r="T431" s="2">
        <f t="shared" si="26"/>
        <v>43284</v>
      </c>
      <c r="U431" s="12">
        <f t="shared" si="27"/>
        <v>0.70833333333333337</v>
      </c>
      <c r="V431" s="2" t="str">
        <f t="shared" si="28"/>
        <v>dd - Missing Data</v>
      </c>
      <c r="W431" s="12" t="str">
        <f t="shared" si="29"/>
        <v>dd - Missing Data</v>
      </c>
    </row>
    <row r="432" spans="1:23">
      <c r="A432">
        <f>IF(ISBLANK('Data Input'!A432),"",'Data Input'!A432)</f>
        <v>117</v>
      </c>
      <c r="B432" t="str">
        <f>IF(ISBLANK('Data Input'!B432),"",'Data Input'!B432)</f>
        <v>ST116</v>
      </c>
      <c r="C432" t="str">
        <f>IF(ISBLANK('Data Input'!C432),"",'Data Input'!C432)</f>
        <v>7/3/18 1700</v>
      </c>
      <c r="E432" t="str">
        <f>IF(ISBLANK('Data Input'!D432),"",'Data Input'!D432)</f>
        <v>dd - Missing Data</v>
      </c>
      <c r="G432">
        <f>IF(ISBLANK('Data Input'!E432),"",'Data Input'!E432)</f>
        <v>28</v>
      </c>
      <c r="H432" t="str">
        <f>IF(ISBLANK('Data Input'!F432),"",'Data Input'!F432)</f>
        <v>White</v>
      </c>
      <c r="I432" t="str">
        <f>IF(ISBLANK('Data Input'!G432),"",'Data Input'!G432)</f>
        <v>SVD</v>
      </c>
      <c r="J432" t="str">
        <f>IF(ISBLANK('Data Input'!I432),"",'Data Input'!I432)</f>
        <v>7=3=18 2323</v>
      </c>
      <c r="K432" t="str">
        <f>IF(ISBLANK('Data Input'!J432),"",'Data Input'!J432)</f>
        <v>bb - Ibuprofen</v>
      </c>
      <c r="L432">
        <f>IF(ISBLANK('Data Input'!K432),"",'Data Input'!K432)</f>
        <v>800</v>
      </c>
      <c r="M432">
        <f>IF(ISBLANK('Data Input'!L432),"",'Data Input'!L432)</f>
        <v>3</v>
      </c>
      <c r="N432">
        <f>IF(ISBLANK('Data Input'!M432),"",'Data Input'!M432)</f>
        <v>2</v>
      </c>
      <c r="O432" t="str">
        <f>IF(ISBLANK('Data Input'!N432),"",'Data Input'!N432)</f>
        <v/>
      </c>
      <c r="P432" t="str">
        <f>IF(ISBLANK('Data Input'!O432),"",'Data Input'!O432)</f>
        <v/>
      </c>
      <c r="Q432" t="str">
        <f>IF(ISBLANK('Data Input'!P432),"",'Data Input'!P432)</f>
        <v/>
      </c>
      <c r="R432" t="b">
        <f>IF(ISBLANK('Data Input'!Q432),"",'Data Input'!Q432)</f>
        <v>1</v>
      </c>
      <c r="T432" s="2">
        <f t="shared" si="26"/>
        <v>43284</v>
      </c>
      <c r="U432" s="12">
        <f t="shared" si="27"/>
        <v>0.70833333333333337</v>
      </c>
      <c r="V432" s="2" t="str">
        <f t="shared" si="28"/>
        <v>dd - Missing Data</v>
      </c>
      <c r="W432" s="12" t="str">
        <f t="shared" si="29"/>
        <v>dd - Missing Data</v>
      </c>
    </row>
    <row r="433" spans="1:23">
      <c r="A433">
        <f>IF(ISBLANK('Data Input'!A433),"",'Data Input'!A433)</f>
        <v>117</v>
      </c>
      <c r="B433" t="str">
        <f>IF(ISBLANK('Data Input'!B433),"",'Data Input'!B433)</f>
        <v>ST116</v>
      </c>
      <c r="C433" t="str">
        <f>IF(ISBLANK('Data Input'!C433),"",'Data Input'!C433)</f>
        <v>7/3/18 1700</v>
      </c>
      <c r="E433" t="str">
        <f>IF(ISBLANK('Data Input'!D433),"",'Data Input'!D433)</f>
        <v>dd - Missing Data</v>
      </c>
      <c r="G433">
        <f>IF(ISBLANK('Data Input'!E433),"",'Data Input'!E433)</f>
        <v>28</v>
      </c>
      <c r="H433" t="str">
        <f>IF(ISBLANK('Data Input'!F433),"",'Data Input'!F433)</f>
        <v>White</v>
      </c>
      <c r="I433" t="str">
        <f>IF(ISBLANK('Data Input'!G433),"",'Data Input'!G433)</f>
        <v>SVD</v>
      </c>
      <c r="J433" t="str">
        <f>IF(ISBLANK('Data Input'!I433),"",'Data Input'!I433)</f>
        <v>7=4=18 0222</v>
      </c>
      <c r="K433" t="str">
        <f>IF(ISBLANK('Data Input'!J433),"",'Data Input'!J433)</f>
        <v>rr - Percocet</v>
      </c>
      <c r="L433">
        <f>IF(ISBLANK('Data Input'!K433),"",'Data Input'!K433)</f>
        <v>1</v>
      </c>
      <c r="M433">
        <f>IF(ISBLANK('Data Input'!L433),"",'Data Input'!L433)</f>
        <v>5</v>
      </c>
      <c r="N433">
        <f>IF(ISBLANK('Data Input'!M433),"",'Data Input'!M433)</f>
        <v>2</v>
      </c>
      <c r="O433" t="str">
        <f>IF(ISBLANK('Data Input'!N433),"",'Data Input'!N433)</f>
        <v/>
      </c>
      <c r="P433" t="str">
        <f>IF(ISBLANK('Data Input'!O433),"",'Data Input'!O433)</f>
        <v/>
      </c>
      <c r="Q433" t="str">
        <f>IF(ISBLANK('Data Input'!P433),"",'Data Input'!P433)</f>
        <v/>
      </c>
      <c r="R433" t="b">
        <f>IF(ISBLANK('Data Input'!Q433),"",'Data Input'!Q433)</f>
        <v>1</v>
      </c>
      <c r="T433" s="2">
        <f t="shared" si="26"/>
        <v>43284</v>
      </c>
      <c r="U433" s="12">
        <f t="shared" si="27"/>
        <v>0.70833333333333337</v>
      </c>
      <c r="V433" s="2" t="str">
        <f t="shared" si="28"/>
        <v>dd - Missing Data</v>
      </c>
      <c r="W433" s="12" t="str">
        <f t="shared" si="29"/>
        <v>dd - Missing Data</v>
      </c>
    </row>
    <row r="434" spans="1:23">
      <c r="A434">
        <f>IF(ISBLANK('Data Input'!A434),"",'Data Input'!A434)</f>
        <v>117</v>
      </c>
      <c r="B434" t="str">
        <f>IF(ISBLANK('Data Input'!B434),"",'Data Input'!B434)</f>
        <v>ST116</v>
      </c>
      <c r="C434" t="str">
        <f>IF(ISBLANK('Data Input'!C434),"",'Data Input'!C434)</f>
        <v>7/3/18 1700</v>
      </c>
      <c r="E434" t="str">
        <f>IF(ISBLANK('Data Input'!D434),"",'Data Input'!D434)</f>
        <v>dd - Missing Data</v>
      </c>
      <c r="G434">
        <f>IF(ISBLANK('Data Input'!E434),"",'Data Input'!E434)</f>
        <v>28</v>
      </c>
      <c r="H434" t="str">
        <f>IF(ISBLANK('Data Input'!F434),"",'Data Input'!F434)</f>
        <v>White</v>
      </c>
      <c r="I434" t="str">
        <f>IF(ISBLANK('Data Input'!G434),"",'Data Input'!G434)</f>
        <v>SVD</v>
      </c>
      <c r="J434" t="str">
        <f>IF(ISBLANK('Data Input'!I434),"",'Data Input'!I434)</f>
        <v>7=4=18 0909</v>
      </c>
      <c r="K434" t="str">
        <f>IF(ISBLANK('Data Input'!J434),"",'Data Input'!J434)</f>
        <v>bb - Ibuprofen</v>
      </c>
      <c r="L434">
        <f>IF(ISBLANK('Data Input'!K434),"",'Data Input'!K434)</f>
        <v>800</v>
      </c>
      <c r="M434">
        <f>IF(ISBLANK('Data Input'!L434),"",'Data Input'!L434)</f>
        <v>4</v>
      </c>
      <c r="N434">
        <f>IF(ISBLANK('Data Input'!M434),"",'Data Input'!M434)</f>
        <v>2</v>
      </c>
      <c r="O434" t="str">
        <f>IF(ISBLANK('Data Input'!N434),"",'Data Input'!N434)</f>
        <v/>
      </c>
      <c r="P434" t="str">
        <f>IF(ISBLANK('Data Input'!O434),"",'Data Input'!O434)</f>
        <v/>
      </c>
      <c r="Q434" t="str">
        <f>IF(ISBLANK('Data Input'!P434),"",'Data Input'!P434)</f>
        <v/>
      </c>
      <c r="R434" t="b">
        <f>IF(ISBLANK('Data Input'!Q434),"",'Data Input'!Q434)</f>
        <v>1</v>
      </c>
      <c r="T434" s="2">
        <f t="shared" si="26"/>
        <v>43284</v>
      </c>
      <c r="U434" s="12">
        <f t="shared" si="27"/>
        <v>0.70833333333333337</v>
      </c>
      <c r="V434" s="2" t="str">
        <f t="shared" si="28"/>
        <v>dd - Missing Data</v>
      </c>
      <c r="W434" s="12" t="str">
        <f t="shared" si="29"/>
        <v>dd - Missing Data</v>
      </c>
    </row>
    <row r="435" spans="1:23">
      <c r="A435">
        <f>IF(ISBLANK('Data Input'!A435),"",'Data Input'!A435)</f>
        <v>118</v>
      </c>
      <c r="B435" t="str">
        <f>IF(ISBLANK('Data Input'!B435),"",'Data Input'!B435)</f>
        <v>RF117</v>
      </c>
      <c r="C435" t="str">
        <f>IF(ISBLANK('Data Input'!C435),"",'Data Input'!C435)</f>
        <v>7/3/18 0740</v>
      </c>
      <c r="E435" t="str">
        <f>IF(ISBLANK('Data Input'!D435),"",'Data Input'!D435)</f>
        <v>7/4/18 0337</v>
      </c>
      <c r="G435">
        <f>IF(ISBLANK('Data Input'!E435),"",'Data Input'!E435)</f>
        <v>34</v>
      </c>
      <c r="H435" t="str">
        <f>IF(ISBLANK('Data Input'!F435),"",'Data Input'!F435)</f>
        <v>White</v>
      </c>
      <c r="I435" t="str">
        <f>IF(ISBLANK('Data Input'!G435),"",'Data Input'!G435)</f>
        <v>SVD</v>
      </c>
      <c r="J435" t="str">
        <f>IF(ISBLANK('Data Input'!I435),"",'Data Input'!I435)</f>
        <v>7=3=18 1549</v>
      </c>
      <c r="K435" t="str">
        <f>IF(ISBLANK('Data Input'!J435),"",'Data Input'!J435)</f>
        <v>bb - Ibuprofen</v>
      </c>
      <c r="L435">
        <f>IF(ISBLANK('Data Input'!K435),"",'Data Input'!K435)</f>
        <v>800</v>
      </c>
      <c r="M435">
        <f>IF(ISBLANK('Data Input'!L435),"",'Data Input'!L435)</f>
        <v>2</v>
      </c>
      <c r="N435">
        <f>IF(ISBLANK('Data Input'!M435),"",'Data Input'!M435)</f>
        <v>0</v>
      </c>
      <c r="O435" t="str">
        <f>IF(ISBLANK('Data Input'!N435),"",'Data Input'!N435)</f>
        <v/>
      </c>
      <c r="P435" t="str">
        <f>IF(ISBLANK('Data Input'!O435),"",'Data Input'!O435)</f>
        <v/>
      </c>
      <c r="Q435" t="str">
        <f>IF(ISBLANK('Data Input'!P435),"",'Data Input'!P435)</f>
        <v/>
      </c>
      <c r="R435" t="b">
        <f>IF(ISBLANK('Data Input'!Q435),"",'Data Input'!Q435)</f>
        <v>0</v>
      </c>
      <c r="T435" s="2">
        <f t="shared" si="26"/>
        <v>43284</v>
      </c>
      <c r="U435" s="12">
        <f t="shared" si="27"/>
        <v>0.31944444444444448</v>
      </c>
      <c r="V435" s="2">
        <f t="shared" si="28"/>
        <v>43285</v>
      </c>
      <c r="W435" s="12">
        <f t="shared" si="29"/>
        <v>0.15069444444444444</v>
      </c>
    </row>
    <row r="436" spans="1:23">
      <c r="A436">
        <f>IF(ISBLANK('Data Input'!A436),"",'Data Input'!A436)</f>
        <v>118</v>
      </c>
      <c r="B436" t="str">
        <f>IF(ISBLANK('Data Input'!B436),"",'Data Input'!B436)</f>
        <v>RF117</v>
      </c>
      <c r="C436" t="str">
        <f>IF(ISBLANK('Data Input'!C436),"",'Data Input'!C436)</f>
        <v>7/3/18 0740</v>
      </c>
      <c r="E436" t="str">
        <f>IF(ISBLANK('Data Input'!D436),"",'Data Input'!D436)</f>
        <v>7/4/18 0337</v>
      </c>
      <c r="G436">
        <f>IF(ISBLANK('Data Input'!E436),"",'Data Input'!E436)</f>
        <v>34</v>
      </c>
      <c r="H436" t="str">
        <f>IF(ISBLANK('Data Input'!F436),"",'Data Input'!F436)</f>
        <v>White</v>
      </c>
      <c r="I436" t="str">
        <f>IF(ISBLANK('Data Input'!G436),"",'Data Input'!G436)</f>
        <v>SVD</v>
      </c>
      <c r="J436" t="str">
        <f>IF(ISBLANK('Data Input'!I436),"",'Data Input'!I436)</f>
        <v>7=3=18 2149</v>
      </c>
      <c r="K436" t="str">
        <f>IF(ISBLANK('Data Input'!J436),"",'Data Input'!J436)</f>
        <v>bb - Ibuprofen</v>
      </c>
      <c r="L436">
        <f>IF(ISBLANK('Data Input'!K436),"",'Data Input'!K436)</f>
        <v>800</v>
      </c>
      <c r="M436">
        <f>IF(ISBLANK('Data Input'!L436),"",'Data Input'!L436)</f>
        <v>3</v>
      </c>
      <c r="N436">
        <f>IF(ISBLANK('Data Input'!M436),"",'Data Input'!M436)</f>
        <v>2</v>
      </c>
      <c r="O436" t="str">
        <f>IF(ISBLANK('Data Input'!N436),"",'Data Input'!N436)</f>
        <v/>
      </c>
      <c r="P436" t="str">
        <f>IF(ISBLANK('Data Input'!O436),"",'Data Input'!O436)</f>
        <v/>
      </c>
      <c r="Q436" t="str">
        <f>IF(ISBLANK('Data Input'!P436),"",'Data Input'!P436)</f>
        <v/>
      </c>
      <c r="R436" t="b">
        <f>IF(ISBLANK('Data Input'!Q436),"",'Data Input'!Q436)</f>
        <v>0</v>
      </c>
      <c r="T436" s="2">
        <f t="shared" si="26"/>
        <v>43284</v>
      </c>
      <c r="U436" s="12">
        <f t="shared" si="27"/>
        <v>0.31944444444444448</v>
      </c>
      <c r="V436" s="2">
        <f t="shared" si="28"/>
        <v>43285</v>
      </c>
      <c r="W436" s="12">
        <f t="shared" si="29"/>
        <v>0.15069444444444444</v>
      </c>
    </row>
    <row r="437" spans="1:23">
      <c r="A437">
        <f>IF(ISBLANK('Data Input'!A437),"",'Data Input'!A437)</f>
        <v>118</v>
      </c>
      <c r="B437" t="str">
        <f>IF(ISBLANK('Data Input'!B437),"",'Data Input'!B437)</f>
        <v>RF117</v>
      </c>
      <c r="C437" t="str">
        <f>IF(ISBLANK('Data Input'!C437),"",'Data Input'!C437)</f>
        <v>7/3/18 0740</v>
      </c>
      <c r="E437" t="str">
        <f>IF(ISBLANK('Data Input'!D437),"",'Data Input'!D437)</f>
        <v>7/4/18 0337</v>
      </c>
      <c r="G437">
        <f>IF(ISBLANK('Data Input'!E437),"",'Data Input'!E437)</f>
        <v>34</v>
      </c>
      <c r="H437" t="str">
        <f>IF(ISBLANK('Data Input'!F437),"",'Data Input'!F437)</f>
        <v>White</v>
      </c>
      <c r="I437" t="str">
        <f>IF(ISBLANK('Data Input'!G437),"",'Data Input'!G437)</f>
        <v>SVD</v>
      </c>
      <c r="J437" t="str">
        <f>IF(ISBLANK('Data Input'!I437),"",'Data Input'!I437)</f>
        <v>7=4=18 0337</v>
      </c>
      <c r="K437" t="str">
        <f>IF(ISBLANK('Data Input'!J437),"",'Data Input'!J437)</f>
        <v>bb - Ibuprofen</v>
      </c>
      <c r="L437">
        <f>IF(ISBLANK('Data Input'!K437),"",'Data Input'!K437)</f>
        <v>800</v>
      </c>
      <c r="M437" t="str">
        <f>IF(ISBLANK('Data Input'!L437),"",'Data Input'!L437)</f>
        <v>dd - Missing Data</v>
      </c>
      <c r="N437" t="str">
        <f>IF(ISBLANK('Data Input'!M437),"",'Data Input'!M437)</f>
        <v>dd - Missing Data</v>
      </c>
      <c r="O437" t="str">
        <f>IF(ISBLANK('Data Input'!N437),"",'Data Input'!N437)</f>
        <v/>
      </c>
      <c r="P437" t="str">
        <f>IF(ISBLANK('Data Input'!O437),"",'Data Input'!O437)</f>
        <v/>
      </c>
      <c r="Q437" t="str">
        <f>IF(ISBLANK('Data Input'!P437),"",'Data Input'!P437)</f>
        <v/>
      </c>
      <c r="R437" t="b">
        <f>IF(ISBLANK('Data Input'!Q437),"",'Data Input'!Q437)</f>
        <v>0</v>
      </c>
      <c r="T437" s="2">
        <f t="shared" si="26"/>
        <v>43284</v>
      </c>
      <c r="U437" s="12">
        <f t="shared" si="27"/>
        <v>0.31944444444444448</v>
      </c>
      <c r="V437" s="2">
        <f t="shared" si="28"/>
        <v>43285</v>
      </c>
      <c r="W437" s="12">
        <f t="shared" si="29"/>
        <v>0.15069444444444444</v>
      </c>
    </row>
    <row r="438" spans="1:23">
      <c r="A438">
        <f>IF(ISBLANK('Data Input'!A438),"",'Data Input'!A438)</f>
        <v>119</v>
      </c>
      <c r="B438" t="str">
        <f>IF(ISBLANK('Data Input'!B438),"",'Data Input'!B438)</f>
        <v>RD118</v>
      </c>
      <c r="C438" t="str">
        <f>IF(ISBLANK('Data Input'!C438),"",'Data Input'!C438)</f>
        <v>7/3/18 1136</v>
      </c>
      <c r="E438" t="str">
        <f>IF(ISBLANK('Data Input'!D438),"",'Data Input'!D438)</f>
        <v>7/4/18 0935</v>
      </c>
      <c r="G438">
        <f>IF(ISBLANK('Data Input'!E438),"",'Data Input'!E438)</f>
        <v>39</v>
      </c>
      <c r="H438" t="str">
        <f>IF(ISBLANK('Data Input'!F438),"",'Data Input'!F438)</f>
        <v>Asian</v>
      </c>
      <c r="I438" t="str">
        <f>IF(ISBLANK('Data Input'!G438),"",'Data Input'!G438)</f>
        <v>Caesarean</v>
      </c>
      <c r="J438" t="str">
        <f>IF(ISBLANK('Data Input'!I438),"",'Data Input'!I438)</f>
        <v>7=3=18 1213</v>
      </c>
      <c r="K438" t="str">
        <f>IF(ISBLANK('Data Input'!J438),"",'Data Input'!J438)</f>
        <v>bb - Ibuprofen</v>
      </c>
      <c r="L438">
        <f>IF(ISBLANK('Data Input'!K438),"",'Data Input'!K438)</f>
        <v>800</v>
      </c>
      <c r="M438">
        <f>IF(ISBLANK('Data Input'!L438),"",'Data Input'!L438)</f>
        <v>6</v>
      </c>
      <c r="N438">
        <f>IF(ISBLANK('Data Input'!M438),"",'Data Input'!M438)</f>
        <v>2</v>
      </c>
      <c r="O438" t="str">
        <f>IF(ISBLANK('Data Input'!N438),"",'Data Input'!N438)</f>
        <v/>
      </c>
      <c r="P438" t="str">
        <f>IF(ISBLANK('Data Input'!O438),"",'Data Input'!O438)</f>
        <v/>
      </c>
      <c r="Q438" t="str">
        <f>IF(ISBLANK('Data Input'!P438),"",'Data Input'!P438)</f>
        <v/>
      </c>
      <c r="R438" t="b">
        <f>IF(ISBLANK('Data Input'!Q438),"",'Data Input'!Q438)</f>
        <v>1</v>
      </c>
      <c r="T438" s="2">
        <f t="shared" si="26"/>
        <v>43284</v>
      </c>
      <c r="U438" s="12">
        <f t="shared" si="27"/>
        <v>0.48333333333333334</v>
      </c>
      <c r="V438" s="2">
        <f t="shared" si="28"/>
        <v>43285</v>
      </c>
      <c r="W438" s="12">
        <f t="shared" si="29"/>
        <v>0.39930555555555558</v>
      </c>
    </row>
    <row r="439" spans="1:23">
      <c r="A439">
        <f>IF(ISBLANK('Data Input'!A439),"",'Data Input'!A439)</f>
        <v>119</v>
      </c>
      <c r="B439" t="str">
        <f>IF(ISBLANK('Data Input'!B439),"",'Data Input'!B439)</f>
        <v>RD118</v>
      </c>
      <c r="C439" t="str">
        <f>IF(ISBLANK('Data Input'!C439),"",'Data Input'!C439)</f>
        <v>7/3/18 1136</v>
      </c>
      <c r="E439" t="str">
        <f>IF(ISBLANK('Data Input'!D439),"",'Data Input'!D439)</f>
        <v>7/4/18 0935</v>
      </c>
      <c r="G439">
        <f>IF(ISBLANK('Data Input'!E439),"",'Data Input'!E439)</f>
        <v>39</v>
      </c>
      <c r="H439" t="str">
        <f>IF(ISBLANK('Data Input'!F439),"",'Data Input'!F439)</f>
        <v>Asian</v>
      </c>
      <c r="I439" t="str">
        <f>IF(ISBLANK('Data Input'!G439),"",'Data Input'!G439)</f>
        <v>Caesarean</v>
      </c>
      <c r="J439" t="str">
        <f>IF(ISBLANK('Data Input'!I439),"",'Data Input'!I439)</f>
        <v>7=3=18 1213</v>
      </c>
      <c r="K439" t="str">
        <f>IF(ISBLANK('Data Input'!J439),"",'Data Input'!J439)</f>
        <v>rr - Percocet</v>
      </c>
      <c r="L439">
        <f>IF(ISBLANK('Data Input'!K439),"",'Data Input'!K439)</f>
        <v>2</v>
      </c>
      <c r="M439">
        <f>IF(ISBLANK('Data Input'!L439),"",'Data Input'!L439)</f>
        <v>6</v>
      </c>
      <c r="N439">
        <f>IF(ISBLANK('Data Input'!M439),"",'Data Input'!M439)</f>
        <v>2</v>
      </c>
      <c r="O439" t="str">
        <f>IF(ISBLANK('Data Input'!N439),"",'Data Input'!N439)</f>
        <v/>
      </c>
      <c r="P439" t="str">
        <f>IF(ISBLANK('Data Input'!O439),"",'Data Input'!O439)</f>
        <v/>
      </c>
      <c r="Q439" t="str">
        <f>IF(ISBLANK('Data Input'!P439),"",'Data Input'!P439)</f>
        <v/>
      </c>
      <c r="R439" t="b">
        <f>IF(ISBLANK('Data Input'!Q439),"",'Data Input'!Q439)</f>
        <v>1</v>
      </c>
      <c r="T439" s="2">
        <f t="shared" si="26"/>
        <v>43284</v>
      </c>
      <c r="U439" s="12">
        <f t="shared" si="27"/>
        <v>0.48333333333333334</v>
      </c>
      <c r="V439" s="2">
        <f t="shared" si="28"/>
        <v>43285</v>
      </c>
      <c r="W439" s="12">
        <f t="shared" si="29"/>
        <v>0.39930555555555558</v>
      </c>
    </row>
    <row r="440" spans="1:23">
      <c r="A440">
        <f>IF(ISBLANK('Data Input'!A440),"",'Data Input'!A440)</f>
        <v>119</v>
      </c>
      <c r="B440" t="str">
        <f>IF(ISBLANK('Data Input'!B440),"",'Data Input'!B440)</f>
        <v>RD118</v>
      </c>
      <c r="C440" t="str">
        <f>IF(ISBLANK('Data Input'!C440),"",'Data Input'!C440)</f>
        <v>7/3/18 1136</v>
      </c>
      <c r="E440" t="str">
        <f>IF(ISBLANK('Data Input'!D440),"",'Data Input'!D440)</f>
        <v>7/4/18 0935</v>
      </c>
      <c r="G440">
        <f>IF(ISBLANK('Data Input'!E440),"",'Data Input'!E440)</f>
        <v>39</v>
      </c>
      <c r="H440" t="str">
        <f>IF(ISBLANK('Data Input'!F440),"",'Data Input'!F440)</f>
        <v>Asian</v>
      </c>
      <c r="I440" t="str">
        <f>IF(ISBLANK('Data Input'!G440),"",'Data Input'!G440)</f>
        <v>Caesarean</v>
      </c>
      <c r="J440" t="str">
        <f>IF(ISBLANK('Data Input'!I440),"",'Data Input'!I440)</f>
        <v>7=3=18 1824</v>
      </c>
      <c r="K440" t="str">
        <f>IF(ISBLANK('Data Input'!J440),"",'Data Input'!J440)</f>
        <v>bb - Ibuprofen</v>
      </c>
      <c r="L440">
        <f>IF(ISBLANK('Data Input'!K440),"",'Data Input'!K440)</f>
        <v>800</v>
      </c>
      <c r="M440">
        <f>IF(ISBLANK('Data Input'!L440),"",'Data Input'!L440)</f>
        <v>7</v>
      </c>
      <c r="N440">
        <f>IF(ISBLANK('Data Input'!M440),"",'Data Input'!M440)</f>
        <v>3</v>
      </c>
      <c r="O440" t="str">
        <f>IF(ISBLANK('Data Input'!N440),"",'Data Input'!N440)</f>
        <v/>
      </c>
      <c r="P440" t="str">
        <f>IF(ISBLANK('Data Input'!O440),"",'Data Input'!O440)</f>
        <v/>
      </c>
      <c r="Q440" t="str">
        <f>IF(ISBLANK('Data Input'!P440),"",'Data Input'!P440)</f>
        <v/>
      </c>
      <c r="R440" t="b">
        <f>IF(ISBLANK('Data Input'!Q440),"",'Data Input'!Q440)</f>
        <v>1</v>
      </c>
      <c r="T440" s="2">
        <f t="shared" si="26"/>
        <v>43284</v>
      </c>
      <c r="U440" s="12">
        <f t="shared" si="27"/>
        <v>0.48333333333333334</v>
      </c>
      <c r="V440" s="2">
        <f t="shared" si="28"/>
        <v>43285</v>
      </c>
      <c r="W440" s="12">
        <f t="shared" si="29"/>
        <v>0.39930555555555558</v>
      </c>
    </row>
    <row r="441" spans="1:23">
      <c r="A441">
        <f>IF(ISBLANK('Data Input'!A441),"",'Data Input'!A441)</f>
        <v>119</v>
      </c>
      <c r="B441" t="str">
        <f>IF(ISBLANK('Data Input'!B441),"",'Data Input'!B441)</f>
        <v>RD118</v>
      </c>
      <c r="C441" t="str">
        <f>IF(ISBLANK('Data Input'!C441),"",'Data Input'!C441)</f>
        <v>7/3/18 1136</v>
      </c>
      <c r="E441" t="str">
        <f>IF(ISBLANK('Data Input'!D441),"",'Data Input'!D441)</f>
        <v>7/4/18 0935</v>
      </c>
      <c r="G441">
        <f>IF(ISBLANK('Data Input'!E441),"",'Data Input'!E441)</f>
        <v>39</v>
      </c>
      <c r="H441" t="str">
        <f>IF(ISBLANK('Data Input'!F441),"",'Data Input'!F441)</f>
        <v>Asian</v>
      </c>
      <c r="I441" t="str">
        <f>IF(ISBLANK('Data Input'!G441),"",'Data Input'!G441)</f>
        <v>Caesarean</v>
      </c>
      <c r="J441" t="str">
        <f>IF(ISBLANK('Data Input'!I441),"",'Data Input'!I441)</f>
        <v>7=3=18 1824</v>
      </c>
      <c r="K441" t="str">
        <f>IF(ISBLANK('Data Input'!J441),"",'Data Input'!J441)</f>
        <v>rr - Percocet</v>
      </c>
      <c r="L441">
        <f>IF(ISBLANK('Data Input'!K441),"",'Data Input'!K441)</f>
        <v>2</v>
      </c>
      <c r="M441">
        <f>IF(ISBLANK('Data Input'!L441),"",'Data Input'!L441)</f>
        <v>7</v>
      </c>
      <c r="N441">
        <f>IF(ISBLANK('Data Input'!M441),"",'Data Input'!M441)</f>
        <v>3</v>
      </c>
      <c r="O441" t="str">
        <f>IF(ISBLANK('Data Input'!N441),"",'Data Input'!N441)</f>
        <v/>
      </c>
      <c r="P441" t="str">
        <f>IF(ISBLANK('Data Input'!O441),"",'Data Input'!O441)</f>
        <v/>
      </c>
      <c r="Q441" t="str">
        <f>IF(ISBLANK('Data Input'!P441),"",'Data Input'!P441)</f>
        <v/>
      </c>
      <c r="R441" t="b">
        <f>IF(ISBLANK('Data Input'!Q441),"",'Data Input'!Q441)</f>
        <v>1</v>
      </c>
      <c r="T441" s="2">
        <f t="shared" si="26"/>
        <v>43284</v>
      </c>
      <c r="U441" s="12">
        <f t="shared" si="27"/>
        <v>0.48333333333333334</v>
      </c>
      <c r="V441" s="2">
        <f t="shared" si="28"/>
        <v>43285</v>
      </c>
      <c r="W441" s="12">
        <f t="shared" si="29"/>
        <v>0.39930555555555558</v>
      </c>
    </row>
    <row r="442" spans="1:23">
      <c r="A442">
        <f>IF(ISBLANK('Data Input'!A442),"",'Data Input'!A442)</f>
        <v>119</v>
      </c>
      <c r="B442" t="str">
        <f>IF(ISBLANK('Data Input'!B442),"",'Data Input'!B442)</f>
        <v>RD118</v>
      </c>
      <c r="C442" t="str">
        <f>IF(ISBLANK('Data Input'!C442),"",'Data Input'!C442)</f>
        <v>7/3/18 1136</v>
      </c>
      <c r="E442" t="str">
        <f>IF(ISBLANK('Data Input'!D442),"",'Data Input'!D442)</f>
        <v>7/4/18 0935</v>
      </c>
      <c r="G442">
        <f>IF(ISBLANK('Data Input'!E442),"",'Data Input'!E442)</f>
        <v>39</v>
      </c>
      <c r="H442" t="str">
        <f>IF(ISBLANK('Data Input'!F442),"",'Data Input'!F442)</f>
        <v>Asian</v>
      </c>
      <c r="I442" t="str">
        <f>IF(ISBLANK('Data Input'!G442),"",'Data Input'!G442)</f>
        <v>Caesarean</v>
      </c>
      <c r="J442" t="str">
        <f>IF(ISBLANK('Data Input'!I442),"",'Data Input'!I442)</f>
        <v>7=3=18 2237</v>
      </c>
      <c r="K442" t="str">
        <f>IF(ISBLANK('Data Input'!J442),"",'Data Input'!J442)</f>
        <v>rr - Percocet</v>
      </c>
      <c r="L442">
        <f>IF(ISBLANK('Data Input'!K442),"",'Data Input'!K442)</f>
        <v>2</v>
      </c>
      <c r="M442">
        <f>IF(ISBLANK('Data Input'!L442),"",'Data Input'!L442)</f>
        <v>7</v>
      </c>
      <c r="N442">
        <f>IF(ISBLANK('Data Input'!M442),"",'Data Input'!M442)</f>
        <v>3</v>
      </c>
      <c r="O442" t="str">
        <f>IF(ISBLANK('Data Input'!N442),"",'Data Input'!N442)</f>
        <v/>
      </c>
      <c r="P442" t="str">
        <f>IF(ISBLANK('Data Input'!O442),"",'Data Input'!O442)</f>
        <v/>
      </c>
      <c r="Q442" t="str">
        <f>IF(ISBLANK('Data Input'!P442),"",'Data Input'!P442)</f>
        <v/>
      </c>
      <c r="R442" t="b">
        <f>IF(ISBLANK('Data Input'!Q442),"",'Data Input'!Q442)</f>
        <v>1</v>
      </c>
      <c r="T442" s="2">
        <f t="shared" si="26"/>
        <v>43284</v>
      </c>
      <c r="U442" s="12">
        <f t="shared" si="27"/>
        <v>0.48333333333333334</v>
      </c>
      <c r="V442" s="2">
        <f t="shared" si="28"/>
        <v>43285</v>
      </c>
      <c r="W442" s="12">
        <f t="shared" si="29"/>
        <v>0.39930555555555558</v>
      </c>
    </row>
    <row r="443" spans="1:23">
      <c r="A443">
        <f>IF(ISBLANK('Data Input'!A443),"",'Data Input'!A443)</f>
        <v>119</v>
      </c>
      <c r="B443" t="str">
        <f>IF(ISBLANK('Data Input'!B443),"",'Data Input'!B443)</f>
        <v>RD118</v>
      </c>
      <c r="C443" t="str">
        <f>IF(ISBLANK('Data Input'!C443),"",'Data Input'!C443)</f>
        <v>7/3/18 1136</v>
      </c>
      <c r="E443" t="str">
        <f>IF(ISBLANK('Data Input'!D443),"",'Data Input'!D443)</f>
        <v>7/4/18 0935</v>
      </c>
      <c r="G443">
        <f>IF(ISBLANK('Data Input'!E443),"",'Data Input'!E443)</f>
        <v>39</v>
      </c>
      <c r="H443" t="str">
        <f>IF(ISBLANK('Data Input'!F443),"",'Data Input'!F443)</f>
        <v>Asian</v>
      </c>
      <c r="I443" t="str">
        <f>IF(ISBLANK('Data Input'!G443),"",'Data Input'!G443)</f>
        <v>Caesarean</v>
      </c>
      <c r="J443" t="str">
        <f>IF(ISBLANK('Data Input'!I443),"",'Data Input'!I443)</f>
        <v>7=4=18 0343</v>
      </c>
      <c r="K443" t="str">
        <f>IF(ISBLANK('Data Input'!J443),"",'Data Input'!J443)</f>
        <v>bb - Ibuprofen</v>
      </c>
      <c r="L443">
        <f>IF(ISBLANK('Data Input'!K443),"",'Data Input'!K443)</f>
        <v>800</v>
      </c>
      <c r="M443">
        <f>IF(ISBLANK('Data Input'!L443),"",'Data Input'!L443)</f>
        <v>7</v>
      </c>
      <c r="N443">
        <f>IF(ISBLANK('Data Input'!M443),"",'Data Input'!M443)</f>
        <v>0</v>
      </c>
      <c r="O443" t="str">
        <f>IF(ISBLANK('Data Input'!N443),"",'Data Input'!N443)</f>
        <v/>
      </c>
      <c r="P443" t="str">
        <f>IF(ISBLANK('Data Input'!O443),"",'Data Input'!O443)</f>
        <v/>
      </c>
      <c r="Q443" t="str">
        <f>IF(ISBLANK('Data Input'!P443),"",'Data Input'!P443)</f>
        <v/>
      </c>
      <c r="R443" t="b">
        <f>IF(ISBLANK('Data Input'!Q443),"",'Data Input'!Q443)</f>
        <v>1</v>
      </c>
      <c r="T443" s="2">
        <f t="shared" si="26"/>
        <v>43284</v>
      </c>
      <c r="U443" s="12">
        <f t="shared" si="27"/>
        <v>0.48333333333333334</v>
      </c>
      <c r="V443" s="2">
        <f t="shared" si="28"/>
        <v>43285</v>
      </c>
      <c r="W443" s="12">
        <f t="shared" si="29"/>
        <v>0.39930555555555558</v>
      </c>
    </row>
    <row r="444" spans="1:23">
      <c r="A444">
        <f>IF(ISBLANK('Data Input'!A444),"",'Data Input'!A444)</f>
        <v>119</v>
      </c>
      <c r="B444" t="str">
        <f>IF(ISBLANK('Data Input'!B444),"",'Data Input'!B444)</f>
        <v>RD118</v>
      </c>
      <c r="C444" t="str">
        <f>IF(ISBLANK('Data Input'!C444),"",'Data Input'!C444)</f>
        <v>7/3/18 1136</v>
      </c>
      <c r="E444" t="str">
        <f>IF(ISBLANK('Data Input'!D444),"",'Data Input'!D444)</f>
        <v>7/4/18 0935</v>
      </c>
      <c r="G444">
        <f>IF(ISBLANK('Data Input'!E444),"",'Data Input'!E444)</f>
        <v>39</v>
      </c>
      <c r="H444" t="str">
        <f>IF(ISBLANK('Data Input'!F444),"",'Data Input'!F444)</f>
        <v>Asian</v>
      </c>
      <c r="I444" t="str">
        <f>IF(ISBLANK('Data Input'!G444),"",'Data Input'!G444)</f>
        <v>Caesarean</v>
      </c>
      <c r="J444" t="str">
        <f>IF(ISBLANK('Data Input'!I444),"",'Data Input'!I444)</f>
        <v>7=4=18 0343</v>
      </c>
      <c r="K444" t="str">
        <f>IF(ISBLANK('Data Input'!J444),"",'Data Input'!J444)</f>
        <v>rr - Percocet</v>
      </c>
      <c r="L444">
        <f>IF(ISBLANK('Data Input'!K444),"",'Data Input'!K444)</f>
        <v>2</v>
      </c>
      <c r="M444">
        <f>IF(ISBLANK('Data Input'!L444),"",'Data Input'!L444)</f>
        <v>7</v>
      </c>
      <c r="N444">
        <f>IF(ISBLANK('Data Input'!M444),"",'Data Input'!M444)</f>
        <v>0</v>
      </c>
      <c r="O444" t="str">
        <f>IF(ISBLANK('Data Input'!N444),"",'Data Input'!N444)</f>
        <v/>
      </c>
      <c r="P444" t="str">
        <f>IF(ISBLANK('Data Input'!O444),"",'Data Input'!O444)</f>
        <v/>
      </c>
      <c r="Q444" t="str">
        <f>IF(ISBLANK('Data Input'!P444),"",'Data Input'!P444)</f>
        <v/>
      </c>
      <c r="R444" t="b">
        <f>IF(ISBLANK('Data Input'!Q444),"",'Data Input'!Q444)</f>
        <v>1</v>
      </c>
      <c r="T444" s="2">
        <f t="shared" si="26"/>
        <v>43284</v>
      </c>
      <c r="U444" s="12">
        <f t="shared" si="27"/>
        <v>0.48333333333333334</v>
      </c>
      <c r="V444" s="2">
        <f t="shared" si="28"/>
        <v>43285</v>
      </c>
      <c r="W444" s="12">
        <f t="shared" si="29"/>
        <v>0.39930555555555558</v>
      </c>
    </row>
    <row r="445" spans="1:23">
      <c r="A445">
        <f>IF(ISBLANK('Data Input'!A445),"",'Data Input'!A445)</f>
        <v>119</v>
      </c>
      <c r="B445" t="str">
        <f>IF(ISBLANK('Data Input'!B445),"",'Data Input'!B445)</f>
        <v>RD118</v>
      </c>
      <c r="C445" t="str">
        <f>IF(ISBLANK('Data Input'!C445),"",'Data Input'!C445)</f>
        <v>7/3/18 1136</v>
      </c>
      <c r="E445" t="str">
        <f>IF(ISBLANK('Data Input'!D445),"",'Data Input'!D445)</f>
        <v>7/4/18 0935</v>
      </c>
      <c r="G445">
        <f>IF(ISBLANK('Data Input'!E445),"",'Data Input'!E445)</f>
        <v>39</v>
      </c>
      <c r="H445" t="str">
        <f>IF(ISBLANK('Data Input'!F445),"",'Data Input'!F445)</f>
        <v>Asian</v>
      </c>
      <c r="I445" t="str">
        <f>IF(ISBLANK('Data Input'!G445),"",'Data Input'!G445)</f>
        <v>Caesarean</v>
      </c>
      <c r="J445" t="str">
        <f>IF(ISBLANK('Data Input'!I445),"",'Data Input'!I445)</f>
        <v>7=4=18 0824</v>
      </c>
      <c r="K445" t="str">
        <f>IF(ISBLANK('Data Input'!J445),"",'Data Input'!J445)</f>
        <v>rr - Percocet</v>
      </c>
      <c r="L445">
        <f>IF(ISBLANK('Data Input'!K445),"",'Data Input'!K445)</f>
        <v>2</v>
      </c>
      <c r="M445">
        <f>IF(ISBLANK('Data Input'!L445),"",'Data Input'!L445)</f>
        <v>5</v>
      </c>
      <c r="N445">
        <f>IF(ISBLANK('Data Input'!M445),"",'Data Input'!M445)</f>
        <v>5</v>
      </c>
      <c r="O445" t="str">
        <f>IF(ISBLANK('Data Input'!N445),"",'Data Input'!N445)</f>
        <v/>
      </c>
      <c r="P445" t="str">
        <f>IF(ISBLANK('Data Input'!O445),"",'Data Input'!O445)</f>
        <v/>
      </c>
      <c r="Q445" t="str">
        <f>IF(ISBLANK('Data Input'!P445),"",'Data Input'!P445)</f>
        <v/>
      </c>
      <c r="R445" t="b">
        <f>IF(ISBLANK('Data Input'!Q445),"",'Data Input'!Q445)</f>
        <v>1</v>
      </c>
      <c r="T445" s="2">
        <f t="shared" si="26"/>
        <v>43284</v>
      </c>
      <c r="U445" s="12">
        <f t="shared" si="27"/>
        <v>0.48333333333333334</v>
      </c>
      <c r="V445" s="2">
        <f t="shared" si="28"/>
        <v>43285</v>
      </c>
      <c r="W445" s="12">
        <f t="shared" si="29"/>
        <v>0.39930555555555558</v>
      </c>
    </row>
    <row r="446" spans="1:23">
      <c r="A446">
        <f>IF(ISBLANK('Data Input'!A446),"",'Data Input'!A446)</f>
        <v>119</v>
      </c>
      <c r="B446" t="str">
        <f>IF(ISBLANK('Data Input'!B446),"",'Data Input'!B446)</f>
        <v>RD118</v>
      </c>
      <c r="C446" t="str">
        <f>IF(ISBLANK('Data Input'!C446),"",'Data Input'!C446)</f>
        <v>7/3/18 1136</v>
      </c>
      <c r="E446" t="str">
        <f>IF(ISBLANK('Data Input'!D446),"",'Data Input'!D446)</f>
        <v>7/4/18 0935</v>
      </c>
      <c r="G446">
        <f>IF(ISBLANK('Data Input'!E446),"",'Data Input'!E446)</f>
        <v>39</v>
      </c>
      <c r="H446" t="str">
        <f>IF(ISBLANK('Data Input'!F446),"",'Data Input'!F446)</f>
        <v>Asian</v>
      </c>
      <c r="I446" t="str">
        <f>IF(ISBLANK('Data Input'!G446),"",'Data Input'!G446)</f>
        <v>Caesarean</v>
      </c>
      <c r="J446" t="str">
        <f>IF(ISBLANK('Data Input'!I446),"",'Data Input'!I446)</f>
        <v>7=4=18 0935</v>
      </c>
      <c r="K446" t="str">
        <f>IF(ISBLANK('Data Input'!J446),"",'Data Input'!J446)</f>
        <v>bb - Ibuprofen</v>
      </c>
      <c r="L446">
        <f>IF(ISBLANK('Data Input'!K446),"",'Data Input'!K446)</f>
        <v>800</v>
      </c>
      <c r="M446">
        <f>IF(ISBLANK('Data Input'!L446),"",'Data Input'!L446)</f>
        <v>5</v>
      </c>
      <c r="N446">
        <f>IF(ISBLANK('Data Input'!M446),"",'Data Input'!M446)</f>
        <v>5</v>
      </c>
      <c r="O446" t="str">
        <f>IF(ISBLANK('Data Input'!N446),"",'Data Input'!N446)</f>
        <v/>
      </c>
      <c r="P446" t="str">
        <f>IF(ISBLANK('Data Input'!O446),"",'Data Input'!O446)</f>
        <v/>
      </c>
      <c r="Q446" t="str">
        <f>IF(ISBLANK('Data Input'!P446),"",'Data Input'!P446)</f>
        <v/>
      </c>
      <c r="R446" t="b">
        <f>IF(ISBLANK('Data Input'!Q446),"",'Data Input'!Q446)</f>
        <v>1</v>
      </c>
      <c r="T446" s="2">
        <f t="shared" si="26"/>
        <v>43284</v>
      </c>
      <c r="U446" s="12">
        <f t="shared" si="27"/>
        <v>0.48333333333333334</v>
      </c>
      <c r="V446" s="2">
        <f t="shared" si="28"/>
        <v>43285</v>
      </c>
      <c r="W446" s="12">
        <f t="shared" si="29"/>
        <v>0.39930555555555558</v>
      </c>
    </row>
    <row r="447" spans="1:23">
      <c r="A447">
        <f>IF(ISBLANK('Data Input'!A447),"",'Data Input'!A447)</f>
        <v>120</v>
      </c>
      <c r="B447" t="str">
        <f>IF(ISBLANK('Data Input'!B447),"",'Data Input'!B447)</f>
        <v>MR119</v>
      </c>
      <c r="C447" t="str">
        <f>IF(ISBLANK('Data Input'!C447),"",'Data Input'!C447)</f>
        <v>7/3/18 2305</v>
      </c>
      <c r="E447">
        <f>IF(ISBLANK('Data Input'!D447),"",'Data Input'!D447)</f>
        <v>43285</v>
      </c>
      <c r="G447">
        <f>IF(ISBLANK('Data Input'!E447),"",'Data Input'!E447)</f>
        <v>44</v>
      </c>
      <c r="H447" t="str">
        <f>IF(ISBLANK('Data Input'!F447),"",'Data Input'!F447)</f>
        <v>White</v>
      </c>
      <c r="I447" t="str">
        <f>IF(ISBLANK('Data Input'!G447),"",'Data Input'!G447)</f>
        <v>Caesarean</v>
      </c>
      <c r="J447" t="str">
        <f>IF(ISBLANK('Data Input'!I447),"",'Data Input'!I447)</f>
        <v>7=4=18 0129</v>
      </c>
      <c r="K447" t="str">
        <f>IF(ISBLANK('Data Input'!J447),"",'Data Input'!J447)</f>
        <v>te - Tylenol</v>
      </c>
      <c r="L447">
        <f>IF(ISBLANK('Data Input'!K447),"",'Data Input'!K447)</f>
        <v>1000</v>
      </c>
      <c r="M447">
        <f>IF(ISBLANK('Data Input'!L447),"",'Data Input'!L447)</f>
        <v>0</v>
      </c>
      <c r="N447">
        <f>IF(ISBLANK('Data Input'!M447),"",'Data Input'!M447)</f>
        <v>0</v>
      </c>
      <c r="O447" t="str">
        <f>IF(ISBLANK('Data Input'!N447),"",'Data Input'!N447)</f>
        <v/>
      </c>
      <c r="P447" t="str">
        <f>IF(ISBLANK('Data Input'!O447),"",'Data Input'!O447)</f>
        <v/>
      </c>
      <c r="Q447" t="str">
        <f>IF(ISBLANK('Data Input'!P447),"",'Data Input'!P447)</f>
        <v/>
      </c>
      <c r="R447" t="b">
        <f>IF(ISBLANK('Data Input'!Q447),"",'Data Input'!Q447)</f>
        <v>0</v>
      </c>
      <c r="T447" s="2">
        <f t="shared" si="26"/>
        <v>43284</v>
      </c>
      <c r="U447" s="12">
        <f t="shared" si="27"/>
        <v>0.96180555555555547</v>
      </c>
      <c r="V447" s="2">
        <f t="shared" si="28"/>
        <v>43285</v>
      </c>
      <c r="W447" s="12">
        <f t="shared" si="29"/>
        <v>43285</v>
      </c>
    </row>
    <row r="448" spans="1:23">
      <c r="A448">
        <f>IF(ISBLANK('Data Input'!A448),"",'Data Input'!A448)</f>
        <v>120</v>
      </c>
      <c r="B448" t="str">
        <f>IF(ISBLANK('Data Input'!B448),"",'Data Input'!B448)</f>
        <v>MR119</v>
      </c>
      <c r="C448" t="str">
        <f>IF(ISBLANK('Data Input'!C448),"",'Data Input'!C448)</f>
        <v>7/3/18 2305</v>
      </c>
      <c r="E448">
        <f>IF(ISBLANK('Data Input'!D448),"",'Data Input'!D448)</f>
        <v>43285</v>
      </c>
      <c r="G448">
        <f>IF(ISBLANK('Data Input'!E448),"",'Data Input'!E448)</f>
        <v>44</v>
      </c>
      <c r="H448" t="str">
        <f>IF(ISBLANK('Data Input'!F448),"",'Data Input'!F448)</f>
        <v>White</v>
      </c>
      <c r="I448" t="str">
        <f>IF(ISBLANK('Data Input'!G448),"",'Data Input'!G448)</f>
        <v>Caesarean</v>
      </c>
      <c r="J448" t="str">
        <f>IF(ISBLANK('Data Input'!I448),"",'Data Input'!I448)</f>
        <v>7=4=18 0517</v>
      </c>
      <c r="K448" t="str">
        <f>IF(ISBLANK('Data Input'!J448),"",'Data Input'!J448)</f>
        <v>tr - Toradol</v>
      </c>
      <c r="L448">
        <f>IF(ISBLANK('Data Input'!K448),"",'Data Input'!K448)</f>
        <v>30</v>
      </c>
      <c r="M448">
        <f>IF(ISBLANK('Data Input'!L448),"",'Data Input'!L448)</f>
        <v>0</v>
      </c>
      <c r="N448">
        <f>IF(ISBLANK('Data Input'!M448),"",'Data Input'!M448)</f>
        <v>0</v>
      </c>
      <c r="O448" t="str">
        <f>IF(ISBLANK('Data Input'!N448),"",'Data Input'!N448)</f>
        <v/>
      </c>
      <c r="P448" t="str">
        <f>IF(ISBLANK('Data Input'!O448),"",'Data Input'!O448)</f>
        <v/>
      </c>
      <c r="Q448" t="str">
        <f>IF(ISBLANK('Data Input'!P448),"",'Data Input'!P448)</f>
        <v/>
      </c>
      <c r="R448" t="b">
        <f>IF(ISBLANK('Data Input'!Q448),"",'Data Input'!Q448)</f>
        <v>0</v>
      </c>
      <c r="T448" s="2">
        <f t="shared" si="26"/>
        <v>43284</v>
      </c>
      <c r="U448" s="12">
        <f t="shared" si="27"/>
        <v>0.96180555555555547</v>
      </c>
      <c r="V448" s="2">
        <f t="shared" si="28"/>
        <v>43285</v>
      </c>
      <c r="W448" s="12">
        <f t="shared" si="29"/>
        <v>43285</v>
      </c>
    </row>
    <row r="449" spans="1:23">
      <c r="A449">
        <f>IF(ISBLANK('Data Input'!A449),"",'Data Input'!A449)</f>
        <v>120</v>
      </c>
      <c r="B449" t="str">
        <f>IF(ISBLANK('Data Input'!B449),"",'Data Input'!B449)</f>
        <v>MR119</v>
      </c>
      <c r="C449" t="str">
        <f>IF(ISBLANK('Data Input'!C449),"",'Data Input'!C449)</f>
        <v>7/3/18 2305</v>
      </c>
      <c r="E449">
        <f>IF(ISBLANK('Data Input'!D449),"",'Data Input'!D449)</f>
        <v>43285</v>
      </c>
      <c r="G449">
        <f>IF(ISBLANK('Data Input'!E449),"",'Data Input'!E449)</f>
        <v>44</v>
      </c>
      <c r="H449" t="str">
        <f>IF(ISBLANK('Data Input'!F449),"",'Data Input'!F449)</f>
        <v>White</v>
      </c>
      <c r="I449" t="str">
        <f>IF(ISBLANK('Data Input'!G449),"",'Data Input'!G449)</f>
        <v>Caesarean</v>
      </c>
      <c r="J449" t="str">
        <f>IF(ISBLANK('Data Input'!I449),"",'Data Input'!I449)</f>
        <v>7=4=18 1047</v>
      </c>
      <c r="K449" t="str">
        <f>IF(ISBLANK('Data Input'!J449),"",'Data Input'!J449)</f>
        <v>tr - Toradol</v>
      </c>
      <c r="L449">
        <f>IF(ISBLANK('Data Input'!K449),"",'Data Input'!K449)</f>
        <v>30</v>
      </c>
      <c r="M449">
        <f>IF(ISBLANK('Data Input'!L449),"",'Data Input'!L449)</f>
        <v>0</v>
      </c>
      <c r="N449">
        <f>IF(ISBLANK('Data Input'!M449),"",'Data Input'!M449)</f>
        <v>0</v>
      </c>
      <c r="O449" t="str">
        <f>IF(ISBLANK('Data Input'!N449),"",'Data Input'!N449)</f>
        <v/>
      </c>
      <c r="P449" t="str">
        <f>IF(ISBLANK('Data Input'!O449),"",'Data Input'!O449)</f>
        <v/>
      </c>
      <c r="Q449" t="str">
        <f>IF(ISBLANK('Data Input'!P449),"",'Data Input'!P449)</f>
        <v/>
      </c>
      <c r="R449" t="b">
        <f>IF(ISBLANK('Data Input'!Q449),"",'Data Input'!Q449)</f>
        <v>0</v>
      </c>
      <c r="T449" s="2">
        <f t="shared" si="26"/>
        <v>43284</v>
      </c>
      <c r="U449" s="12">
        <f t="shared" si="27"/>
        <v>0.96180555555555547</v>
      </c>
      <c r="V449" s="2">
        <f t="shared" si="28"/>
        <v>43285</v>
      </c>
      <c r="W449" s="12">
        <f t="shared" si="29"/>
        <v>43285</v>
      </c>
    </row>
    <row r="450" spans="1:23">
      <c r="A450">
        <f>IF(ISBLANK('Data Input'!A450),"",'Data Input'!A450)</f>
        <v>120</v>
      </c>
      <c r="B450" t="str">
        <f>IF(ISBLANK('Data Input'!B450),"",'Data Input'!B450)</f>
        <v>MR119</v>
      </c>
      <c r="C450" t="str">
        <f>IF(ISBLANK('Data Input'!C450),"",'Data Input'!C450)</f>
        <v>7/3/18 2305</v>
      </c>
      <c r="E450">
        <f>IF(ISBLANK('Data Input'!D450),"",'Data Input'!D450)</f>
        <v>43285</v>
      </c>
      <c r="G450">
        <f>IF(ISBLANK('Data Input'!E450),"",'Data Input'!E450)</f>
        <v>44</v>
      </c>
      <c r="H450" t="str">
        <f>IF(ISBLANK('Data Input'!F450),"",'Data Input'!F450)</f>
        <v>White</v>
      </c>
      <c r="I450" t="str">
        <f>IF(ISBLANK('Data Input'!G450),"",'Data Input'!G450)</f>
        <v>Caesarean</v>
      </c>
      <c r="J450" t="str">
        <f>IF(ISBLANK('Data Input'!I450),"",'Data Input'!I450)</f>
        <v>7=4=18 1623</v>
      </c>
      <c r="K450" t="str">
        <f>IF(ISBLANK('Data Input'!J450),"",'Data Input'!J450)</f>
        <v>tr - Toradol</v>
      </c>
      <c r="L450">
        <f>IF(ISBLANK('Data Input'!K450),"",'Data Input'!K450)</f>
        <v>30</v>
      </c>
      <c r="M450">
        <f>IF(ISBLANK('Data Input'!L450),"",'Data Input'!L450)</f>
        <v>3</v>
      </c>
      <c r="N450">
        <f>IF(ISBLANK('Data Input'!M450),"",'Data Input'!M450)</f>
        <v>0</v>
      </c>
      <c r="O450" t="str">
        <f>IF(ISBLANK('Data Input'!N450),"",'Data Input'!N450)</f>
        <v/>
      </c>
      <c r="P450" t="str">
        <f>IF(ISBLANK('Data Input'!O450),"",'Data Input'!O450)</f>
        <v/>
      </c>
      <c r="Q450" t="str">
        <f>IF(ISBLANK('Data Input'!P450),"",'Data Input'!P450)</f>
        <v/>
      </c>
      <c r="R450" t="b">
        <f>IF(ISBLANK('Data Input'!Q450),"",'Data Input'!Q450)</f>
        <v>0</v>
      </c>
      <c r="T450" s="2">
        <f t="shared" si="26"/>
        <v>43284</v>
      </c>
      <c r="U450" s="12">
        <f t="shared" si="27"/>
        <v>0.96180555555555547</v>
      </c>
      <c r="V450" s="2">
        <f t="shared" si="28"/>
        <v>43285</v>
      </c>
      <c r="W450" s="12">
        <f t="shared" si="29"/>
        <v>43285</v>
      </c>
    </row>
    <row r="451" spans="1:23">
      <c r="A451">
        <f>IF(ISBLANK('Data Input'!A451),"",'Data Input'!A451)</f>
        <v>120</v>
      </c>
      <c r="B451" t="str">
        <f>IF(ISBLANK('Data Input'!B451),"",'Data Input'!B451)</f>
        <v>MR119</v>
      </c>
      <c r="C451" t="str">
        <f>IF(ISBLANK('Data Input'!C451),"",'Data Input'!C451)</f>
        <v>7/3/18 2305</v>
      </c>
      <c r="E451">
        <f>IF(ISBLANK('Data Input'!D451),"",'Data Input'!D451)</f>
        <v>43285</v>
      </c>
      <c r="G451">
        <f>IF(ISBLANK('Data Input'!E451),"",'Data Input'!E451)</f>
        <v>44</v>
      </c>
      <c r="H451" t="str">
        <f>IF(ISBLANK('Data Input'!F451),"",'Data Input'!F451)</f>
        <v>White</v>
      </c>
      <c r="I451" t="str">
        <f>IF(ISBLANK('Data Input'!G451),"",'Data Input'!G451)</f>
        <v>Caesarean</v>
      </c>
      <c r="J451" t="str">
        <f>IF(ISBLANK('Data Input'!I451),"",'Data Input'!I451)</f>
        <v>7=4=18 2106</v>
      </c>
      <c r="K451" t="str">
        <f>IF(ISBLANK('Data Input'!J451),"",'Data Input'!J451)</f>
        <v>tt - Tylenol</v>
      </c>
      <c r="L451">
        <f>IF(ISBLANK('Data Input'!K451),"",'Data Input'!K451)</f>
        <v>650</v>
      </c>
      <c r="M451">
        <f>IF(ISBLANK('Data Input'!L451),"",'Data Input'!L451)</f>
        <v>7</v>
      </c>
      <c r="N451">
        <f>IF(ISBLANK('Data Input'!M451),"",'Data Input'!M451)</f>
        <v>0</v>
      </c>
      <c r="O451" t="str">
        <f>IF(ISBLANK('Data Input'!N451),"",'Data Input'!N451)</f>
        <v/>
      </c>
      <c r="P451" t="str">
        <f>IF(ISBLANK('Data Input'!O451),"",'Data Input'!O451)</f>
        <v/>
      </c>
      <c r="Q451" t="str">
        <f>IF(ISBLANK('Data Input'!P451),"",'Data Input'!P451)</f>
        <v/>
      </c>
      <c r="R451" t="b">
        <f>IF(ISBLANK('Data Input'!Q451),"",'Data Input'!Q451)</f>
        <v>0</v>
      </c>
      <c r="T451" s="2">
        <f t="shared" ref="T451:T514" si="30">DATEVALUE(LEFT(C451,FIND(" ",C451)))</f>
        <v>43284</v>
      </c>
      <c r="U451" s="12">
        <f t="shared" ref="U451:U514" si="31">TIMEVALUE(CONCATENATE(MID(C451,FIND(" ",C451)+1,2),":",RIGHT(C451,LEN(C451)-FIND(" ",C451)-2)))</f>
        <v>0.96180555555555547</v>
      </c>
      <c r="V451" s="2">
        <f t="shared" si="28"/>
        <v>43285</v>
      </c>
      <c r="W451" s="12">
        <f t="shared" si="29"/>
        <v>43285</v>
      </c>
    </row>
    <row r="452" spans="1:23">
      <c r="A452">
        <f>IF(ISBLANK('Data Input'!A452),"",'Data Input'!A452)</f>
        <v>120</v>
      </c>
      <c r="B452" t="str">
        <f>IF(ISBLANK('Data Input'!B452),"",'Data Input'!B452)</f>
        <v>MR119</v>
      </c>
      <c r="C452" t="str">
        <f>IF(ISBLANK('Data Input'!C452),"",'Data Input'!C452)</f>
        <v>7/3/18 2305</v>
      </c>
      <c r="E452">
        <f>IF(ISBLANK('Data Input'!D452),"",'Data Input'!D452)</f>
        <v>43285</v>
      </c>
      <c r="G452">
        <f>IF(ISBLANK('Data Input'!E452),"",'Data Input'!E452)</f>
        <v>44</v>
      </c>
      <c r="H452" t="str">
        <f>IF(ISBLANK('Data Input'!F452),"",'Data Input'!F452)</f>
        <v>White</v>
      </c>
      <c r="I452" t="str">
        <f>IF(ISBLANK('Data Input'!G452),"",'Data Input'!G452)</f>
        <v>Caesarean</v>
      </c>
      <c r="J452" t="str">
        <f>IF(ISBLANK('Data Input'!I452),"",'Data Input'!I452)</f>
        <v>7=4=18 2106</v>
      </c>
      <c r="K452" t="str">
        <f>IF(ISBLANK('Data Input'!J452),"",'Data Input'!J452)</f>
        <v>tr - Toradol</v>
      </c>
      <c r="L452">
        <f>IF(ISBLANK('Data Input'!K452),"",'Data Input'!K452)</f>
        <v>30</v>
      </c>
      <c r="M452">
        <f>IF(ISBLANK('Data Input'!L452),"",'Data Input'!L452)</f>
        <v>7</v>
      </c>
      <c r="N452">
        <f>IF(ISBLANK('Data Input'!M452),"",'Data Input'!M452)</f>
        <v>0</v>
      </c>
      <c r="O452" t="str">
        <f>IF(ISBLANK('Data Input'!N452),"",'Data Input'!N452)</f>
        <v/>
      </c>
      <c r="P452" t="str">
        <f>IF(ISBLANK('Data Input'!O452),"",'Data Input'!O452)</f>
        <v/>
      </c>
      <c r="Q452" t="str">
        <f>IF(ISBLANK('Data Input'!P452),"",'Data Input'!P452)</f>
        <v/>
      </c>
      <c r="R452" t="b">
        <f>IF(ISBLANK('Data Input'!Q452),"",'Data Input'!Q452)</f>
        <v>0</v>
      </c>
      <c r="T452" s="2">
        <f t="shared" si="30"/>
        <v>43284</v>
      </c>
      <c r="U452" s="12">
        <f t="shared" si="31"/>
        <v>0.96180555555555547</v>
      </c>
      <c r="V452" s="2">
        <f t="shared" si="28"/>
        <v>43285</v>
      </c>
      <c r="W452" s="12">
        <f t="shared" si="29"/>
        <v>43285</v>
      </c>
    </row>
    <row r="453" spans="1:23">
      <c r="A453">
        <f>IF(ISBLANK('Data Input'!A453),"",'Data Input'!A453)</f>
        <v>121</v>
      </c>
      <c r="B453" t="str">
        <f>IF(ISBLANK('Data Input'!B453),"",'Data Input'!B453)</f>
        <v>JA120</v>
      </c>
      <c r="C453" t="str">
        <f>IF(ISBLANK('Data Input'!C453),"",'Data Input'!C453)</f>
        <v>7/4/18 1401</v>
      </c>
      <c r="E453" t="str">
        <f>IF(ISBLANK('Data Input'!D453),"",'Data Input'!D453)</f>
        <v>7/5/18 0904</v>
      </c>
      <c r="G453">
        <f>IF(ISBLANK('Data Input'!E453),"",'Data Input'!E453)</f>
        <v>35</v>
      </c>
      <c r="H453" t="str">
        <f>IF(ISBLANK('Data Input'!F453),"",'Data Input'!F453)</f>
        <v>White</v>
      </c>
      <c r="I453" t="str">
        <f>IF(ISBLANK('Data Input'!G453),"",'Data Input'!G453)</f>
        <v>SVD</v>
      </c>
      <c r="J453" t="str">
        <f>IF(ISBLANK('Data Input'!I453),"",'Data Input'!I453)</f>
        <v>7=4=18 1939</v>
      </c>
      <c r="K453" t="str">
        <f>IF(ISBLANK('Data Input'!J453),"",'Data Input'!J453)</f>
        <v>bb - Ibuprofen</v>
      </c>
      <c r="L453">
        <f>IF(ISBLANK('Data Input'!K453),"",'Data Input'!K453)</f>
        <v>800</v>
      </c>
      <c r="M453">
        <f>IF(ISBLANK('Data Input'!L453),"",'Data Input'!L453)</f>
        <v>4</v>
      </c>
      <c r="N453">
        <f>IF(ISBLANK('Data Input'!M453),"",'Data Input'!M453)</f>
        <v>0</v>
      </c>
      <c r="O453" t="str">
        <f>IF(ISBLANK('Data Input'!N453),"",'Data Input'!N453)</f>
        <v/>
      </c>
      <c r="P453" t="str">
        <f>IF(ISBLANK('Data Input'!O453),"",'Data Input'!O453)</f>
        <v/>
      </c>
      <c r="Q453" t="str">
        <f>IF(ISBLANK('Data Input'!P453),"",'Data Input'!P453)</f>
        <v/>
      </c>
      <c r="R453" t="b">
        <f>IF(ISBLANK('Data Input'!Q453),"",'Data Input'!Q453)</f>
        <v>1</v>
      </c>
      <c r="T453" s="2">
        <f t="shared" si="30"/>
        <v>43285</v>
      </c>
      <c r="U453" s="12">
        <f t="shared" si="31"/>
        <v>0.58402777777777781</v>
      </c>
      <c r="V453" s="2">
        <f t="shared" si="28"/>
        <v>43286</v>
      </c>
      <c r="W453" s="12">
        <f t="shared" si="29"/>
        <v>0.37777777777777777</v>
      </c>
    </row>
    <row r="454" spans="1:23">
      <c r="A454">
        <f>IF(ISBLANK('Data Input'!A454),"",'Data Input'!A454)</f>
        <v>121</v>
      </c>
      <c r="B454" t="str">
        <f>IF(ISBLANK('Data Input'!B454),"",'Data Input'!B454)</f>
        <v>JA120</v>
      </c>
      <c r="C454" t="str">
        <f>IF(ISBLANK('Data Input'!C454),"",'Data Input'!C454)</f>
        <v>7/4/18 1401</v>
      </c>
      <c r="E454" t="str">
        <f>IF(ISBLANK('Data Input'!D454),"",'Data Input'!D454)</f>
        <v>7/5/18 0904</v>
      </c>
      <c r="G454">
        <f>IF(ISBLANK('Data Input'!E454),"",'Data Input'!E454)</f>
        <v>35</v>
      </c>
      <c r="H454" t="str">
        <f>IF(ISBLANK('Data Input'!F454),"",'Data Input'!F454)</f>
        <v>White</v>
      </c>
      <c r="I454" t="str">
        <f>IF(ISBLANK('Data Input'!G454),"",'Data Input'!G454)</f>
        <v>SVD</v>
      </c>
      <c r="J454" t="str">
        <f>IF(ISBLANK('Data Input'!I454),"",'Data Input'!I454)</f>
        <v>7=4=18 0222</v>
      </c>
      <c r="K454" t="str">
        <f>IF(ISBLANK('Data Input'!J454),"",'Data Input'!J454)</f>
        <v>bb - Ibuprofen</v>
      </c>
      <c r="L454">
        <f>IF(ISBLANK('Data Input'!K454),"",'Data Input'!K454)</f>
        <v>800</v>
      </c>
      <c r="M454">
        <f>IF(ISBLANK('Data Input'!L454),"",'Data Input'!L454)</f>
        <v>5</v>
      </c>
      <c r="N454">
        <f>IF(ISBLANK('Data Input'!M454),"",'Data Input'!M454)</f>
        <v>0</v>
      </c>
      <c r="O454" t="str">
        <f>IF(ISBLANK('Data Input'!N454),"",'Data Input'!N454)</f>
        <v/>
      </c>
      <c r="P454" t="str">
        <f>IF(ISBLANK('Data Input'!O454),"",'Data Input'!O454)</f>
        <v/>
      </c>
      <c r="Q454" t="str">
        <f>IF(ISBLANK('Data Input'!P454),"",'Data Input'!P454)</f>
        <v/>
      </c>
      <c r="R454" t="b">
        <f>IF(ISBLANK('Data Input'!Q454),"",'Data Input'!Q454)</f>
        <v>1</v>
      </c>
      <c r="T454" s="2">
        <f t="shared" si="30"/>
        <v>43285</v>
      </c>
      <c r="U454" s="12">
        <f t="shared" si="31"/>
        <v>0.58402777777777781</v>
      </c>
      <c r="V454" s="2">
        <f t="shared" si="28"/>
        <v>43286</v>
      </c>
      <c r="W454" s="12">
        <f t="shared" si="29"/>
        <v>0.37777777777777777</v>
      </c>
    </row>
    <row r="455" spans="1:23">
      <c r="A455">
        <f>IF(ISBLANK('Data Input'!A455),"",'Data Input'!A455)</f>
        <v>121</v>
      </c>
      <c r="B455" t="str">
        <f>IF(ISBLANK('Data Input'!B455),"",'Data Input'!B455)</f>
        <v>JA120</v>
      </c>
      <c r="C455" t="str">
        <f>IF(ISBLANK('Data Input'!C455),"",'Data Input'!C455)</f>
        <v>7/4/18 1401</v>
      </c>
      <c r="E455" t="str">
        <f>IF(ISBLANK('Data Input'!D455),"",'Data Input'!D455)</f>
        <v>7/5/18 0904</v>
      </c>
      <c r="G455">
        <f>IF(ISBLANK('Data Input'!E455),"",'Data Input'!E455)</f>
        <v>35</v>
      </c>
      <c r="H455" t="str">
        <f>IF(ISBLANK('Data Input'!F455),"",'Data Input'!F455)</f>
        <v>White</v>
      </c>
      <c r="I455" t="str">
        <f>IF(ISBLANK('Data Input'!G455),"",'Data Input'!G455)</f>
        <v>SVD</v>
      </c>
      <c r="J455" t="str">
        <f>IF(ISBLANK('Data Input'!I455),"",'Data Input'!I455)</f>
        <v>7=5=18 0904</v>
      </c>
      <c r="K455" t="str">
        <f>IF(ISBLANK('Data Input'!J455),"",'Data Input'!J455)</f>
        <v>bb - Ibuprofen</v>
      </c>
      <c r="L455">
        <f>IF(ISBLANK('Data Input'!K455),"",'Data Input'!K455)</f>
        <v>800</v>
      </c>
      <c r="M455">
        <f>IF(ISBLANK('Data Input'!L455),"",'Data Input'!L455)</f>
        <v>5</v>
      </c>
      <c r="N455">
        <f>IF(ISBLANK('Data Input'!M455),"",'Data Input'!M455)</f>
        <v>0</v>
      </c>
      <c r="O455" t="str">
        <f>IF(ISBLANK('Data Input'!N455),"",'Data Input'!N455)</f>
        <v/>
      </c>
      <c r="P455" t="str">
        <f>IF(ISBLANK('Data Input'!O455),"",'Data Input'!O455)</f>
        <v/>
      </c>
      <c r="Q455" t="str">
        <f>IF(ISBLANK('Data Input'!P455),"",'Data Input'!P455)</f>
        <v/>
      </c>
      <c r="R455" t="b">
        <f>IF(ISBLANK('Data Input'!Q455),"",'Data Input'!Q455)</f>
        <v>1</v>
      </c>
      <c r="T455" s="2">
        <f t="shared" si="30"/>
        <v>43285</v>
      </c>
      <c r="U455" s="12">
        <f t="shared" si="31"/>
        <v>0.58402777777777781</v>
      </c>
      <c r="V455" s="2">
        <f t="shared" ref="V455:V518" si="32">IFERROR(DATEVALUE(LEFT(E455,FIND(" ",E455))),E455)</f>
        <v>43286</v>
      </c>
      <c r="W455" s="12">
        <f t="shared" ref="W455:W518" si="33">IFERROR(TIMEVALUE(CONCATENATE(MID(E455,FIND(" ",E455)+1,2),":",RIGHT(E455,LEN(E455)-FIND(" ",E455)-2))),E455)</f>
        <v>0.37777777777777777</v>
      </c>
    </row>
    <row r="456" spans="1:23">
      <c r="A456">
        <f>IF(ISBLANK('Data Input'!A456),"",'Data Input'!A456)</f>
        <v>121</v>
      </c>
      <c r="B456" t="str">
        <f>IF(ISBLANK('Data Input'!B456),"",'Data Input'!B456)</f>
        <v>JA120</v>
      </c>
      <c r="C456" t="str">
        <f>IF(ISBLANK('Data Input'!C456),"",'Data Input'!C456)</f>
        <v>7/4/18 1401</v>
      </c>
      <c r="E456" t="str">
        <f>IF(ISBLANK('Data Input'!D456),"",'Data Input'!D456)</f>
        <v>7/5/18 0904</v>
      </c>
      <c r="G456">
        <f>IF(ISBLANK('Data Input'!E456),"",'Data Input'!E456)</f>
        <v>35</v>
      </c>
      <c r="H456" t="str">
        <f>IF(ISBLANK('Data Input'!F456),"",'Data Input'!F456)</f>
        <v>White</v>
      </c>
      <c r="I456" t="str">
        <f>IF(ISBLANK('Data Input'!G456),"",'Data Input'!G456)</f>
        <v>SVD</v>
      </c>
      <c r="J456" t="str">
        <f>IF(ISBLANK('Data Input'!I456),"",'Data Input'!I456)</f>
        <v>7=5=18 0904</v>
      </c>
      <c r="K456" t="str">
        <f>IF(ISBLANK('Data Input'!J456),"",'Data Input'!J456)</f>
        <v>rr - Percocet</v>
      </c>
      <c r="L456">
        <f>IF(ISBLANK('Data Input'!K456),"",'Data Input'!K456)</f>
        <v>1</v>
      </c>
      <c r="M456">
        <f>IF(ISBLANK('Data Input'!L456),"",'Data Input'!L456)</f>
        <v>5</v>
      </c>
      <c r="N456">
        <f>IF(ISBLANK('Data Input'!M456),"",'Data Input'!M456)</f>
        <v>0</v>
      </c>
      <c r="O456" t="str">
        <f>IF(ISBLANK('Data Input'!N456),"",'Data Input'!N456)</f>
        <v/>
      </c>
      <c r="P456" t="str">
        <f>IF(ISBLANK('Data Input'!O456),"",'Data Input'!O456)</f>
        <v/>
      </c>
      <c r="Q456" t="str">
        <f>IF(ISBLANK('Data Input'!P456),"",'Data Input'!P456)</f>
        <v/>
      </c>
      <c r="R456" t="b">
        <f>IF(ISBLANK('Data Input'!Q456),"",'Data Input'!Q456)</f>
        <v>1</v>
      </c>
      <c r="T456" s="2">
        <f t="shared" si="30"/>
        <v>43285</v>
      </c>
      <c r="U456" s="12">
        <f t="shared" si="31"/>
        <v>0.58402777777777781</v>
      </c>
      <c r="V456" s="2">
        <f t="shared" si="32"/>
        <v>43286</v>
      </c>
      <c r="W456" s="12">
        <f t="shared" si="33"/>
        <v>0.37777777777777777</v>
      </c>
    </row>
    <row r="457" spans="1:23">
      <c r="A457">
        <f>IF(ISBLANK('Data Input'!A457),"",'Data Input'!A457)</f>
        <v>122</v>
      </c>
      <c r="B457" t="str">
        <f>IF(ISBLANK('Data Input'!B457),"",'Data Input'!B457)</f>
        <v>IC121</v>
      </c>
      <c r="C457" t="str">
        <f>IF(ISBLANK('Data Input'!C457),"",'Data Input'!C457)</f>
        <v>7/5/18 0635</v>
      </c>
      <c r="E457" t="str">
        <f>IF(ISBLANK('Data Input'!D457),"",'Data Input'!D457)</f>
        <v>dd - Missing Data</v>
      </c>
      <c r="G457">
        <f>IF(ISBLANK('Data Input'!E457),"",'Data Input'!E457)</f>
        <v>34</v>
      </c>
      <c r="H457" t="str">
        <f>IF(ISBLANK('Data Input'!F457),"",'Data Input'!F457)</f>
        <v>bb - Black</v>
      </c>
      <c r="I457" t="str">
        <f>IF(ISBLANK('Data Input'!G457),"",'Data Input'!G457)</f>
        <v>SVD</v>
      </c>
      <c r="J457" t="str">
        <f>IF(ISBLANK('Data Input'!I457),"",'Data Input'!I457)</f>
        <v>7=5=18 0900</v>
      </c>
      <c r="K457" t="str">
        <f>IF(ISBLANK('Data Input'!J457),"",'Data Input'!J457)</f>
        <v>bb - Ibuprofen</v>
      </c>
      <c r="L457">
        <f>IF(ISBLANK('Data Input'!K457),"",'Data Input'!K457)</f>
        <v>800</v>
      </c>
      <c r="M457">
        <f>IF(ISBLANK('Data Input'!L457),"",'Data Input'!L457)</f>
        <v>0</v>
      </c>
      <c r="N457">
        <f>IF(ISBLANK('Data Input'!M457),"",'Data Input'!M457)</f>
        <v>0</v>
      </c>
      <c r="O457" t="str">
        <f>IF(ISBLANK('Data Input'!N457),"",'Data Input'!N457)</f>
        <v/>
      </c>
      <c r="P457" t="str">
        <f>IF(ISBLANK('Data Input'!O457),"",'Data Input'!O457)</f>
        <v/>
      </c>
      <c r="Q457" t="str">
        <f>IF(ISBLANK('Data Input'!P457),"",'Data Input'!P457)</f>
        <v/>
      </c>
      <c r="R457" t="b">
        <f>IF(ISBLANK('Data Input'!Q457),"",'Data Input'!Q457)</f>
        <v>0</v>
      </c>
      <c r="T457" s="2">
        <f t="shared" si="30"/>
        <v>43286</v>
      </c>
      <c r="U457" s="12">
        <f t="shared" si="31"/>
        <v>0.27430555555555552</v>
      </c>
      <c r="V457" s="2" t="str">
        <f t="shared" si="32"/>
        <v>dd - Missing Data</v>
      </c>
      <c r="W457" s="12" t="str">
        <f t="shared" si="33"/>
        <v>dd - Missing Data</v>
      </c>
    </row>
    <row r="458" spans="1:23">
      <c r="A458">
        <f>IF(ISBLANK('Data Input'!A458),"",'Data Input'!A458)</f>
        <v>122</v>
      </c>
      <c r="B458" t="str">
        <f>IF(ISBLANK('Data Input'!B458),"",'Data Input'!B458)</f>
        <v>IC121</v>
      </c>
      <c r="C458" t="str">
        <f>IF(ISBLANK('Data Input'!C458),"",'Data Input'!C458)</f>
        <v>7/5/18 0635</v>
      </c>
      <c r="E458" t="str">
        <f>IF(ISBLANK('Data Input'!D458),"",'Data Input'!D458)</f>
        <v>dd - Missing Data</v>
      </c>
      <c r="G458">
        <f>IF(ISBLANK('Data Input'!E458),"",'Data Input'!E458)</f>
        <v>34</v>
      </c>
      <c r="H458" t="str">
        <f>IF(ISBLANK('Data Input'!F458),"",'Data Input'!F458)</f>
        <v>bb - Black</v>
      </c>
      <c r="I458" t="str">
        <f>IF(ISBLANK('Data Input'!G458),"",'Data Input'!G458)</f>
        <v>SVD</v>
      </c>
      <c r="J458" t="str">
        <f>IF(ISBLANK('Data Input'!I458),"",'Data Input'!I458)</f>
        <v>7=5=18 1806</v>
      </c>
      <c r="K458" t="str">
        <f>IF(ISBLANK('Data Input'!J458),"",'Data Input'!J458)</f>
        <v>bb - Ibuprofen</v>
      </c>
      <c r="L458">
        <f>IF(ISBLANK('Data Input'!K458),"",'Data Input'!K458)</f>
        <v>800</v>
      </c>
      <c r="M458">
        <f>IF(ISBLANK('Data Input'!L458),"",'Data Input'!L458)</f>
        <v>2</v>
      </c>
      <c r="N458">
        <f>IF(ISBLANK('Data Input'!M458),"",'Data Input'!M458)</f>
        <v>0</v>
      </c>
      <c r="O458" t="str">
        <f>IF(ISBLANK('Data Input'!N458),"",'Data Input'!N458)</f>
        <v/>
      </c>
      <c r="P458" t="str">
        <f>IF(ISBLANK('Data Input'!O458),"",'Data Input'!O458)</f>
        <v/>
      </c>
      <c r="Q458" t="str">
        <f>IF(ISBLANK('Data Input'!P458),"",'Data Input'!P458)</f>
        <v/>
      </c>
      <c r="R458" t="b">
        <f>IF(ISBLANK('Data Input'!Q458),"",'Data Input'!Q458)</f>
        <v>0</v>
      </c>
      <c r="T458" s="2">
        <f t="shared" si="30"/>
        <v>43286</v>
      </c>
      <c r="U458" s="12">
        <f t="shared" si="31"/>
        <v>0.27430555555555552</v>
      </c>
      <c r="V458" s="2" t="str">
        <f t="shared" si="32"/>
        <v>dd - Missing Data</v>
      </c>
      <c r="W458" s="12" t="str">
        <f t="shared" si="33"/>
        <v>dd - Missing Data</v>
      </c>
    </row>
    <row r="459" spans="1:23">
      <c r="A459">
        <f>IF(ISBLANK('Data Input'!A459),"",'Data Input'!A459)</f>
        <v>122</v>
      </c>
      <c r="B459" t="str">
        <f>IF(ISBLANK('Data Input'!B459),"",'Data Input'!B459)</f>
        <v>IC121</v>
      </c>
      <c r="C459" t="str">
        <f>IF(ISBLANK('Data Input'!C459),"",'Data Input'!C459)</f>
        <v>7/5/18 0635</v>
      </c>
      <c r="E459" t="str">
        <f>IF(ISBLANK('Data Input'!D459),"",'Data Input'!D459)</f>
        <v>dd - Missing Data</v>
      </c>
      <c r="G459">
        <f>IF(ISBLANK('Data Input'!E459),"",'Data Input'!E459)</f>
        <v>34</v>
      </c>
      <c r="H459" t="str">
        <f>IF(ISBLANK('Data Input'!F459),"",'Data Input'!F459)</f>
        <v>bb - Black</v>
      </c>
      <c r="I459" t="str">
        <f>IF(ISBLANK('Data Input'!G459),"",'Data Input'!G459)</f>
        <v>SVD</v>
      </c>
      <c r="J459" t="str">
        <f>IF(ISBLANK('Data Input'!I459),"",'Data Input'!I459)</f>
        <v>7=6=18 0010</v>
      </c>
      <c r="K459" t="str">
        <f>IF(ISBLANK('Data Input'!J459),"",'Data Input'!J459)</f>
        <v>bb - Ibuprofen</v>
      </c>
      <c r="L459">
        <f>IF(ISBLANK('Data Input'!K459),"",'Data Input'!K459)</f>
        <v>800</v>
      </c>
      <c r="M459">
        <f>IF(ISBLANK('Data Input'!L459),"",'Data Input'!L459)</f>
        <v>2</v>
      </c>
      <c r="N459">
        <f>IF(ISBLANK('Data Input'!M459),"",'Data Input'!M459)</f>
        <v>0</v>
      </c>
      <c r="O459" t="str">
        <f>IF(ISBLANK('Data Input'!N459),"",'Data Input'!N459)</f>
        <v/>
      </c>
      <c r="P459" t="str">
        <f>IF(ISBLANK('Data Input'!O459),"",'Data Input'!O459)</f>
        <v/>
      </c>
      <c r="Q459" t="str">
        <f>IF(ISBLANK('Data Input'!P459),"",'Data Input'!P459)</f>
        <v/>
      </c>
      <c r="R459" t="b">
        <f>IF(ISBLANK('Data Input'!Q459),"",'Data Input'!Q459)</f>
        <v>0</v>
      </c>
      <c r="T459" s="2">
        <f t="shared" si="30"/>
        <v>43286</v>
      </c>
      <c r="U459" s="12">
        <f t="shared" si="31"/>
        <v>0.27430555555555552</v>
      </c>
      <c r="V459" s="2" t="str">
        <f t="shared" si="32"/>
        <v>dd - Missing Data</v>
      </c>
      <c r="W459" s="12" t="str">
        <f t="shared" si="33"/>
        <v>dd - Missing Data</v>
      </c>
    </row>
    <row r="460" spans="1:23">
      <c r="A460">
        <f>IF(ISBLANK('Data Input'!A460),"",'Data Input'!A460)</f>
        <v>122</v>
      </c>
      <c r="B460" t="str">
        <f>IF(ISBLANK('Data Input'!B460),"",'Data Input'!B460)</f>
        <v>IC121</v>
      </c>
      <c r="C460" t="str">
        <f>IF(ISBLANK('Data Input'!C460),"",'Data Input'!C460)</f>
        <v>7/5/18 0635</v>
      </c>
      <c r="E460" t="str">
        <f>IF(ISBLANK('Data Input'!D460),"",'Data Input'!D460)</f>
        <v>dd - Missing Data</v>
      </c>
      <c r="G460">
        <f>IF(ISBLANK('Data Input'!E460),"",'Data Input'!E460)</f>
        <v>34</v>
      </c>
      <c r="H460" t="str">
        <f>IF(ISBLANK('Data Input'!F460),"",'Data Input'!F460)</f>
        <v>bb - Black</v>
      </c>
      <c r="I460" t="str">
        <f>IF(ISBLANK('Data Input'!G460),"",'Data Input'!G460)</f>
        <v>SVD</v>
      </c>
      <c r="J460" t="str">
        <f>IF(ISBLANK('Data Input'!I460),"",'Data Input'!I460)</f>
        <v>7=6=18 0607</v>
      </c>
      <c r="K460" t="str">
        <f>IF(ISBLANK('Data Input'!J460),"",'Data Input'!J460)</f>
        <v>bb - Ibuprofen</v>
      </c>
      <c r="L460">
        <f>IF(ISBLANK('Data Input'!K460),"",'Data Input'!K460)</f>
        <v>800</v>
      </c>
      <c r="M460">
        <f>IF(ISBLANK('Data Input'!L460),"",'Data Input'!L460)</f>
        <v>2</v>
      </c>
      <c r="N460">
        <f>IF(ISBLANK('Data Input'!M460),"",'Data Input'!M460)</f>
        <v>0</v>
      </c>
      <c r="O460" t="str">
        <f>IF(ISBLANK('Data Input'!N460),"",'Data Input'!N460)</f>
        <v/>
      </c>
      <c r="P460" t="str">
        <f>IF(ISBLANK('Data Input'!O460),"",'Data Input'!O460)</f>
        <v/>
      </c>
      <c r="Q460" t="str">
        <f>IF(ISBLANK('Data Input'!P460),"",'Data Input'!P460)</f>
        <v/>
      </c>
      <c r="R460" t="b">
        <f>IF(ISBLANK('Data Input'!Q460),"",'Data Input'!Q460)</f>
        <v>0</v>
      </c>
      <c r="T460" s="2">
        <f t="shared" si="30"/>
        <v>43286</v>
      </c>
      <c r="U460" s="12">
        <f t="shared" si="31"/>
        <v>0.27430555555555552</v>
      </c>
      <c r="V460" s="2" t="str">
        <f t="shared" si="32"/>
        <v>dd - Missing Data</v>
      </c>
      <c r="W460" s="12" t="str">
        <f t="shared" si="33"/>
        <v>dd - Missing Data</v>
      </c>
    </row>
    <row r="461" spans="1:23">
      <c r="A461">
        <f>IF(ISBLANK('Data Input'!A461),"",'Data Input'!A461)</f>
        <v>123</v>
      </c>
      <c r="B461" t="str">
        <f>IF(ISBLANK('Data Input'!B461),"",'Data Input'!B461)</f>
        <v>KB122</v>
      </c>
      <c r="C461" t="str">
        <f>IF(ISBLANK('Data Input'!C461),"",'Data Input'!C461)</f>
        <v>7/4/18 11025</v>
      </c>
      <c r="E461" t="str">
        <f>IF(ISBLANK('Data Input'!D461),"",'Data Input'!D461)</f>
        <v>7/5/18 0815</v>
      </c>
      <c r="G461">
        <f>IF(ISBLANK('Data Input'!E461),"",'Data Input'!E461)</f>
        <v>27</v>
      </c>
      <c r="H461" t="str">
        <f>IF(ISBLANK('Data Input'!F461),"",'Data Input'!F461)</f>
        <v>bb - Black</v>
      </c>
      <c r="I461" t="str">
        <f>IF(ISBLANK('Data Input'!G461),"",'Data Input'!G461)</f>
        <v>SVD</v>
      </c>
      <c r="J461" t="str">
        <f>IF(ISBLANK('Data Input'!I461),"",'Data Input'!I461)</f>
        <v>7=4=18 1733</v>
      </c>
      <c r="K461" t="str">
        <f>IF(ISBLANK('Data Input'!J461),"",'Data Input'!J461)</f>
        <v>bb - Ibuprofen</v>
      </c>
      <c r="L461">
        <f>IF(ISBLANK('Data Input'!K461),"",'Data Input'!K461)</f>
        <v>800</v>
      </c>
      <c r="M461">
        <f>IF(ISBLANK('Data Input'!L461),"",'Data Input'!L461)</f>
        <v>5</v>
      </c>
      <c r="N461">
        <f>IF(ISBLANK('Data Input'!M461),"",'Data Input'!M461)</f>
        <v>4</v>
      </c>
      <c r="O461" t="str">
        <f>IF(ISBLANK('Data Input'!N461),"",'Data Input'!N461)</f>
        <v/>
      </c>
      <c r="P461" t="str">
        <f>IF(ISBLANK('Data Input'!O461),"",'Data Input'!O461)</f>
        <v/>
      </c>
      <c r="Q461" t="str">
        <f>IF(ISBLANK('Data Input'!P461),"",'Data Input'!P461)</f>
        <v/>
      </c>
      <c r="R461" t="b">
        <f>IF(ISBLANK('Data Input'!Q461),"",'Data Input'!Q461)</f>
        <v>1</v>
      </c>
      <c r="T461" s="2">
        <f t="shared" si="30"/>
        <v>43285</v>
      </c>
      <c r="U461" s="12" t="e">
        <f t="shared" si="31"/>
        <v>#VALUE!</v>
      </c>
      <c r="V461" s="2">
        <f t="shared" si="32"/>
        <v>43286</v>
      </c>
      <c r="W461" s="12">
        <f t="shared" si="33"/>
        <v>0.34375</v>
      </c>
    </row>
    <row r="462" spans="1:23">
      <c r="A462">
        <f>IF(ISBLANK('Data Input'!A462),"",'Data Input'!A462)</f>
        <v>123</v>
      </c>
      <c r="B462" t="str">
        <f>IF(ISBLANK('Data Input'!B462),"",'Data Input'!B462)</f>
        <v>KB122</v>
      </c>
      <c r="C462" t="str">
        <f>IF(ISBLANK('Data Input'!C462),"",'Data Input'!C462)</f>
        <v>7/4/18 11025</v>
      </c>
      <c r="E462" t="str">
        <f>IF(ISBLANK('Data Input'!D462),"",'Data Input'!D462)</f>
        <v>7/5/18 0815</v>
      </c>
      <c r="G462">
        <f>IF(ISBLANK('Data Input'!E462),"",'Data Input'!E462)</f>
        <v>27</v>
      </c>
      <c r="H462" t="str">
        <f>IF(ISBLANK('Data Input'!F462),"",'Data Input'!F462)</f>
        <v>bb - Black</v>
      </c>
      <c r="I462" t="str">
        <f>IF(ISBLANK('Data Input'!G462),"",'Data Input'!G462)</f>
        <v>SVD</v>
      </c>
      <c r="J462" t="str">
        <f>IF(ISBLANK('Data Input'!I462),"",'Data Input'!I462)</f>
        <v>7=4=18 1955</v>
      </c>
      <c r="K462" t="str">
        <f>IF(ISBLANK('Data Input'!J462),"",'Data Input'!J462)</f>
        <v>rr - Percocet</v>
      </c>
      <c r="L462">
        <f>IF(ISBLANK('Data Input'!K462),"",'Data Input'!K462)</f>
        <v>2</v>
      </c>
      <c r="M462">
        <f>IF(ISBLANK('Data Input'!L462),"",'Data Input'!L462)</f>
        <v>9</v>
      </c>
      <c r="N462">
        <f>IF(ISBLANK('Data Input'!M462),"",'Data Input'!M462)</f>
        <v>1</v>
      </c>
      <c r="O462" t="str">
        <f>IF(ISBLANK('Data Input'!N462),"",'Data Input'!N462)</f>
        <v/>
      </c>
      <c r="P462" t="str">
        <f>IF(ISBLANK('Data Input'!O462),"",'Data Input'!O462)</f>
        <v/>
      </c>
      <c r="Q462" t="str">
        <f>IF(ISBLANK('Data Input'!P462),"",'Data Input'!P462)</f>
        <v/>
      </c>
      <c r="R462" t="b">
        <f>IF(ISBLANK('Data Input'!Q462),"",'Data Input'!Q462)</f>
        <v>1</v>
      </c>
      <c r="T462" s="2">
        <f t="shared" si="30"/>
        <v>43285</v>
      </c>
      <c r="U462" s="12" t="e">
        <f t="shared" si="31"/>
        <v>#VALUE!</v>
      </c>
      <c r="V462" s="2">
        <f t="shared" si="32"/>
        <v>43286</v>
      </c>
      <c r="W462" s="12">
        <f t="shared" si="33"/>
        <v>0.34375</v>
      </c>
    </row>
    <row r="463" spans="1:23">
      <c r="A463">
        <f>IF(ISBLANK('Data Input'!A463),"",'Data Input'!A463)</f>
        <v>123</v>
      </c>
      <c r="B463" t="str">
        <f>IF(ISBLANK('Data Input'!B463),"",'Data Input'!B463)</f>
        <v>KB122</v>
      </c>
      <c r="C463" t="str">
        <f>IF(ISBLANK('Data Input'!C463),"",'Data Input'!C463)</f>
        <v>7/4/18 11025</v>
      </c>
      <c r="E463" t="str">
        <f>IF(ISBLANK('Data Input'!D463),"",'Data Input'!D463)</f>
        <v>7/5/18 0815</v>
      </c>
      <c r="G463">
        <f>IF(ISBLANK('Data Input'!E463),"",'Data Input'!E463)</f>
        <v>27</v>
      </c>
      <c r="H463" t="str">
        <f>IF(ISBLANK('Data Input'!F463),"",'Data Input'!F463)</f>
        <v>bb - Black</v>
      </c>
      <c r="I463" t="str">
        <f>IF(ISBLANK('Data Input'!G463),"",'Data Input'!G463)</f>
        <v>SVD</v>
      </c>
      <c r="J463" t="str">
        <f>IF(ISBLANK('Data Input'!I463),"",'Data Input'!I463)</f>
        <v>7=4=18 2341</v>
      </c>
      <c r="K463" t="str">
        <f>IF(ISBLANK('Data Input'!J463),"",'Data Input'!J463)</f>
        <v>bb - Ibuprofen</v>
      </c>
      <c r="L463">
        <f>IF(ISBLANK('Data Input'!K463),"",'Data Input'!K463)</f>
        <v>800</v>
      </c>
      <c r="M463">
        <f>IF(ISBLANK('Data Input'!L463),"",'Data Input'!L463)</f>
        <v>7</v>
      </c>
      <c r="N463">
        <f>IF(ISBLANK('Data Input'!M463),"",'Data Input'!M463)</f>
        <v>1</v>
      </c>
      <c r="O463" t="str">
        <f>IF(ISBLANK('Data Input'!N463),"",'Data Input'!N463)</f>
        <v/>
      </c>
      <c r="P463" t="str">
        <f>IF(ISBLANK('Data Input'!O463),"",'Data Input'!O463)</f>
        <v/>
      </c>
      <c r="Q463" t="str">
        <f>IF(ISBLANK('Data Input'!P463),"",'Data Input'!P463)</f>
        <v/>
      </c>
      <c r="R463" t="b">
        <f>IF(ISBLANK('Data Input'!Q463),"",'Data Input'!Q463)</f>
        <v>1</v>
      </c>
      <c r="T463" s="2">
        <f t="shared" si="30"/>
        <v>43285</v>
      </c>
      <c r="U463" s="12" t="e">
        <f t="shared" si="31"/>
        <v>#VALUE!</v>
      </c>
      <c r="V463" s="2">
        <f t="shared" si="32"/>
        <v>43286</v>
      </c>
      <c r="W463" s="12">
        <f t="shared" si="33"/>
        <v>0.34375</v>
      </c>
    </row>
    <row r="464" spans="1:23">
      <c r="A464">
        <f>IF(ISBLANK('Data Input'!A464),"",'Data Input'!A464)</f>
        <v>123</v>
      </c>
      <c r="B464" t="str">
        <f>IF(ISBLANK('Data Input'!B464),"",'Data Input'!B464)</f>
        <v>KB122</v>
      </c>
      <c r="C464" t="str">
        <f>IF(ISBLANK('Data Input'!C464),"",'Data Input'!C464)</f>
        <v>7/4/18 11025</v>
      </c>
      <c r="E464" t="str">
        <f>IF(ISBLANK('Data Input'!D464),"",'Data Input'!D464)</f>
        <v>7/5/18 0815</v>
      </c>
      <c r="G464">
        <f>IF(ISBLANK('Data Input'!E464),"",'Data Input'!E464)</f>
        <v>27</v>
      </c>
      <c r="H464" t="str">
        <f>IF(ISBLANK('Data Input'!F464),"",'Data Input'!F464)</f>
        <v>bb - Black</v>
      </c>
      <c r="I464" t="str">
        <f>IF(ISBLANK('Data Input'!G464),"",'Data Input'!G464)</f>
        <v>SVD</v>
      </c>
      <c r="J464" t="str">
        <f>IF(ISBLANK('Data Input'!I464),"",'Data Input'!I464)</f>
        <v>7=5=18 0815</v>
      </c>
      <c r="K464" t="str">
        <f>IF(ISBLANK('Data Input'!J464),"",'Data Input'!J464)</f>
        <v>bb - Ibuprofen</v>
      </c>
      <c r="L464">
        <f>IF(ISBLANK('Data Input'!K464),"",'Data Input'!K464)</f>
        <v>800</v>
      </c>
      <c r="M464">
        <f>IF(ISBLANK('Data Input'!L464),"",'Data Input'!L464)</f>
        <v>3</v>
      </c>
      <c r="N464">
        <f>IF(ISBLANK('Data Input'!M464),"",'Data Input'!M464)</f>
        <v>0</v>
      </c>
      <c r="O464" t="str">
        <f>IF(ISBLANK('Data Input'!N464),"",'Data Input'!N464)</f>
        <v/>
      </c>
      <c r="P464" t="str">
        <f>IF(ISBLANK('Data Input'!O464),"",'Data Input'!O464)</f>
        <v/>
      </c>
      <c r="Q464" t="str">
        <f>IF(ISBLANK('Data Input'!P464),"",'Data Input'!P464)</f>
        <v/>
      </c>
      <c r="R464" t="b">
        <f>IF(ISBLANK('Data Input'!Q464),"",'Data Input'!Q464)</f>
        <v>1</v>
      </c>
      <c r="T464" s="2">
        <f t="shared" si="30"/>
        <v>43285</v>
      </c>
      <c r="U464" s="12" t="e">
        <f t="shared" si="31"/>
        <v>#VALUE!</v>
      </c>
      <c r="V464" s="2">
        <f t="shared" si="32"/>
        <v>43286</v>
      </c>
      <c r="W464" s="12">
        <f t="shared" si="33"/>
        <v>0.34375</v>
      </c>
    </row>
    <row r="465" spans="1:23">
      <c r="A465">
        <f>IF(ISBLANK('Data Input'!A465),"",'Data Input'!A465)</f>
        <v>124</v>
      </c>
      <c r="B465" t="str">
        <f>IF(ISBLANK('Data Input'!B465),"",'Data Input'!B465)</f>
        <v>KA123</v>
      </c>
      <c r="C465" t="str">
        <f>IF(ISBLANK('Data Input'!C465),"",'Data Input'!C465)</f>
        <v>7/5/18 1430</v>
      </c>
      <c r="E465" t="str">
        <f>IF(ISBLANK('Data Input'!D465),"",'Data Input'!D465)</f>
        <v>7/6/18 1248</v>
      </c>
      <c r="G465">
        <f>IF(ISBLANK('Data Input'!E465),"",'Data Input'!E465)</f>
        <v>31</v>
      </c>
      <c r="H465" t="str">
        <f>IF(ISBLANK('Data Input'!F465),"",'Data Input'!F465)</f>
        <v>White</v>
      </c>
      <c r="I465" t="str">
        <f>IF(ISBLANK('Data Input'!G465),"",'Data Input'!G465)</f>
        <v>Caesarean</v>
      </c>
      <c r="J465" t="str">
        <f>IF(ISBLANK('Data Input'!I465),"",'Data Input'!I465)</f>
        <v>7=5=18 1811</v>
      </c>
      <c r="K465" t="str">
        <f>IF(ISBLANK('Data Input'!J465),"",'Data Input'!J465)</f>
        <v>tr - Toradol</v>
      </c>
      <c r="L465">
        <f>IF(ISBLANK('Data Input'!K465),"",'Data Input'!K465)</f>
        <v>30</v>
      </c>
      <c r="M465">
        <f>IF(ISBLANK('Data Input'!L465),"",'Data Input'!L465)</f>
        <v>10</v>
      </c>
      <c r="N465">
        <f>IF(ISBLANK('Data Input'!M465),"",'Data Input'!M465)</f>
        <v>0</v>
      </c>
      <c r="O465" t="str">
        <f>IF(ISBLANK('Data Input'!N465),"",'Data Input'!N465)</f>
        <v/>
      </c>
      <c r="P465" t="str">
        <f>IF(ISBLANK('Data Input'!O465),"",'Data Input'!O465)</f>
        <v/>
      </c>
      <c r="Q465" t="str">
        <f>IF(ISBLANK('Data Input'!P465),"",'Data Input'!P465)</f>
        <v/>
      </c>
      <c r="R465" t="b">
        <f>IF(ISBLANK('Data Input'!Q465),"",'Data Input'!Q465)</f>
        <v>0</v>
      </c>
      <c r="T465" s="2">
        <f t="shared" si="30"/>
        <v>43286</v>
      </c>
      <c r="U465" s="12">
        <f t="shared" si="31"/>
        <v>0.60416666666666663</v>
      </c>
      <c r="V465" s="2">
        <f t="shared" si="32"/>
        <v>43287</v>
      </c>
      <c r="W465" s="12">
        <f t="shared" si="33"/>
        <v>0.53333333333333333</v>
      </c>
    </row>
    <row r="466" spans="1:23">
      <c r="A466">
        <f>IF(ISBLANK('Data Input'!A466),"",'Data Input'!A466)</f>
        <v>124</v>
      </c>
      <c r="B466" t="str">
        <f>IF(ISBLANK('Data Input'!B466),"",'Data Input'!B466)</f>
        <v>KA123</v>
      </c>
      <c r="C466" t="str">
        <f>IF(ISBLANK('Data Input'!C466),"",'Data Input'!C466)</f>
        <v>7/5/18 1430</v>
      </c>
      <c r="E466" t="str">
        <f>IF(ISBLANK('Data Input'!D466),"",'Data Input'!D466)</f>
        <v>7/6/18 1248</v>
      </c>
      <c r="G466">
        <f>IF(ISBLANK('Data Input'!E466),"",'Data Input'!E466)</f>
        <v>31</v>
      </c>
      <c r="H466" t="str">
        <f>IF(ISBLANK('Data Input'!F466),"",'Data Input'!F466)</f>
        <v>White</v>
      </c>
      <c r="I466" t="str">
        <f>IF(ISBLANK('Data Input'!G466),"",'Data Input'!G466)</f>
        <v>Caesarean</v>
      </c>
      <c r="J466" t="str">
        <f>IF(ISBLANK('Data Input'!I466),"",'Data Input'!I466)</f>
        <v>7=6=18 0057</v>
      </c>
      <c r="K466" t="str">
        <f>IF(ISBLANK('Data Input'!J466),"",'Data Input'!J466)</f>
        <v>tr - Toradol</v>
      </c>
      <c r="L466">
        <f>IF(ISBLANK('Data Input'!K466),"",'Data Input'!K466)</f>
        <v>30</v>
      </c>
      <c r="M466">
        <f>IF(ISBLANK('Data Input'!L466),"",'Data Input'!L466)</f>
        <v>6</v>
      </c>
      <c r="N466">
        <f>IF(ISBLANK('Data Input'!M466),"",'Data Input'!M466)</f>
        <v>0</v>
      </c>
      <c r="O466" t="str">
        <f>IF(ISBLANK('Data Input'!N466),"",'Data Input'!N466)</f>
        <v/>
      </c>
      <c r="P466" t="str">
        <f>IF(ISBLANK('Data Input'!O466),"",'Data Input'!O466)</f>
        <v/>
      </c>
      <c r="Q466" t="str">
        <f>IF(ISBLANK('Data Input'!P466),"",'Data Input'!P466)</f>
        <v/>
      </c>
      <c r="R466" t="b">
        <f>IF(ISBLANK('Data Input'!Q466),"",'Data Input'!Q466)</f>
        <v>0</v>
      </c>
      <c r="T466" s="2">
        <f t="shared" si="30"/>
        <v>43286</v>
      </c>
      <c r="U466" s="12">
        <f t="shared" si="31"/>
        <v>0.60416666666666663</v>
      </c>
      <c r="V466" s="2">
        <f t="shared" si="32"/>
        <v>43287</v>
      </c>
      <c r="W466" s="12">
        <f t="shared" si="33"/>
        <v>0.53333333333333333</v>
      </c>
    </row>
    <row r="467" spans="1:23">
      <c r="A467">
        <f>IF(ISBLANK('Data Input'!A467),"",'Data Input'!A467)</f>
        <v>124</v>
      </c>
      <c r="B467" t="str">
        <f>IF(ISBLANK('Data Input'!B467),"",'Data Input'!B467)</f>
        <v>KA123</v>
      </c>
      <c r="C467" t="str">
        <f>IF(ISBLANK('Data Input'!C467),"",'Data Input'!C467)</f>
        <v>7/5/18 1430</v>
      </c>
      <c r="E467" t="str">
        <f>IF(ISBLANK('Data Input'!D467),"",'Data Input'!D467)</f>
        <v>7/6/18 1248</v>
      </c>
      <c r="G467">
        <f>IF(ISBLANK('Data Input'!E467),"",'Data Input'!E467)</f>
        <v>31</v>
      </c>
      <c r="H467" t="str">
        <f>IF(ISBLANK('Data Input'!F467),"",'Data Input'!F467)</f>
        <v>White</v>
      </c>
      <c r="I467" t="str">
        <f>IF(ISBLANK('Data Input'!G467),"",'Data Input'!G467)</f>
        <v>Caesarean</v>
      </c>
      <c r="J467" t="str">
        <f>IF(ISBLANK('Data Input'!I467),"",'Data Input'!I467)</f>
        <v>7=6=18 0640</v>
      </c>
      <c r="K467" t="str">
        <f>IF(ISBLANK('Data Input'!J467),"",'Data Input'!J467)</f>
        <v>tr - Toradol</v>
      </c>
      <c r="L467">
        <f>IF(ISBLANK('Data Input'!K467),"",'Data Input'!K467)</f>
        <v>30</v>
      </c>
      <c r="M467">
        <f>IF(ISBLANK('Data Input'!L467),"",'Data Input'!L467)</f>
        <v>5</v>
      </c>
      <c r="N467">
        <f>IF(ISBLANK('Data Input'!M467),"",'Data Input'!M467)</f>
        <v>3</v>
      </c>
      <c r="O467" t="str">
        <f>IF(ISBLANK('Data Input'!N467),"",'Data Input'!N467)</f>
        <v/>
      </c>
      <c r="P467" t="str">
        <f>IF(ISBLANK('Data Input'!O467),"",'Data Input'!O467)</f>
        <v/>
      </c>
      <c r="Q467" t="str">
        <f>IF(ISBLANK('Data Input'!P467),"",'Data Input'!P467)</f>
        <v/>
      </c>
      <c r="R467" t="b">
        <f>IF(ISBLANK('Data Input'!Q467),"",'Data Input'!Q467)</f>
        <v>0</v>
      </c>
      <c r="T467" s="2">
        <f t="shared" si="30"/>
        <v>43286</v>
      </c>
      <c r="U467" s="12">
        <f t="shared" si="31"/>
        <v>0.60416666666666663</v>
      </c>
      <c r="V467" s="2">
        <f t="shared" si="32"/>
        <v>43287</v>
      </c>
      <c r="W467" s="12">
        <f t="shared" si="33"/>
        <v>0.53333333333333333</v>
      </c>
    </row>
    <row r="468" spans="1:23">
      <c r="A468">
        <f>IF(ISBLANK('Data Input'!A468),"",'Data Input'!A468)</f>
        <v>124</v>
      </c>
      <c r="B468" t="str">
        <f>IF(ISBLANK('Data Input'!B468),"",'Data Input'!B468)</f>
        <v>KA123</v>
      </c>
      <c r="C468" t="str">
        <f>IF(ISBLANK('Data Input'!C468),"",'Data Input'!C468)</f>
        <v>7/5/18 1430</v>
      </c>
      <c r="E468" t="str">
        <f>IF(ISBLANK('Data Input'!D468),"",'Data Input'!D468)</f>
        <v>7/6/18 1248</v>
      </c>
      <c r="G468">
        <f>IF(ISBLANK('Data Input'!E468),"",'Data Input'!E468)</f>
        <v>31</v>
      </c>
      <c r="H468" t="str">
        <f>IF(ISBLANK('Data Input'!F468),"",'Data Input'!F468)</f>
        <v>White</v>
      </c>
      <c r="I468" t="str">
        <f>IF(ISBLANK('Data Input'!G468),"",'Data Input'!G468)</f>
        <v>Caesarean</v>
      </c>
      <c r="J468" t="str">
        <f>IF(ISBLANK('Data Input'!I468),"",'Data Input'!I468)</f>
        <v>7=6=18 1248</v>
      </c>
      <c r="K468" t="str">
        <f>IF(ISBLANK('Data Input'!J468),"",'Data Input'!J468)</f>
        <v>tr - Toradol</v>
      </c>
      <c r="L468">
        <f>IF(ISBLANK('Data Input'!K468),"",'Data Input'!K468)</f>
        <v>30</v>
      </c>
      <c r="M468">
        <f>IF(ISBLANK('Data Input'!L468),"",'Data Input'!L468)</f>
        <v>5</v>
      </c>
      <c r="N468">
        <f>IF(ISBLANK('Data Input'!M468),"",'Data Input'!M468)</f>
        <v>3</v>
      </c>
      <c r="O468" t="str">
        <f>IF(ISBLANK('Data Input'!N468),"",'Data Input'!N468)</f>
        <v/>
      </c>
      <c r="P468" t="str">
        <f>IF(ISBLANK('Data Input'!O468),"",'Data Input'!O468)</f>
        <v/>
      </c>
      <c r="Q468" t="str">
        <f>IF(ISBLANK('Data Input'!P468),"",'Data Input'!P468)</f>
        <v/>
      </c>
      <c r="R468" t="b">
        <f>IF(ISBLANK('Data Input'!Q468),"",'Data Input'!Q468)</f>
        <v>0</v>
      </c>
      <c r="T468" s="2">
        <f t="shared" si="30"/>
        <v>43286</v>
      </c>
      <c r="U468" s="12">
        <f t="shared" si="31"/>
        <v>0.60416666666666663</v>
      </c>
      <c r="V468" s="2">
        <f t="shared" si="32"/>
        <v>43287</v>
      </c>
      <c r="W468" s="12">
        <f t="shared" si="33"/>
        <v>0.53333333333333333</v>
      </c>
    </row>
    <row r="469" spans="1:23">
      <c r="A469">
        <f>IF(ISBLANK('Data Input'!A469),"",'Data Input'!A469)</f>
        <v>125</v>
      </c>
      <c r="B469" t="str">
        <f>IF(ISBLANK('Data Input'!B469),"",'Data Input'!B469)</f>
        <v>MT124</v>
      </c>
      <c r="C469" t="str">
        <f>IF(ISBLANK('Data Input'!C469),"",'Data Input'!C469)</f>
        <v>7/4/18 0505</v>
      </c>
      <c r="E469" t="str">
        <f>IF(ISBLANK('Data Input'!D469),"",'Data Input'!D469)</f>
        <v>7/5/18 0440</v>
      </c>
      <c r="G469">
        <f>IF(ISBLANK('Data Input'!E469),"",'Data Input'!E469)</f>
        <v>19</v>
      </c>
      <c r="H469" t="str">
        <f>IF(ISBLANK('Data Input'!F469),"",'Data Input'!F469)</f>
        <v>White</v>
      </c>
      <c r="I469" t="str">
        <f>IF(ISBLANK('Data Input'!G469),"",'Data Input'!G469)</f>
        <v>SVD</v>
      </c>
      <c r="J469" t="str">
        <f>IF(ISBLANK('Data Input'!I469),"",'Data Input'!I469)</f>
        <v>7=4=18 0902</v>
      </c>
      <c r="K469" t="str">
        <f>IF(ISBLANK('Data Input'!J469),"",'Data Input'!J469)</f>
        <v>bb - Ibuprofen</v>
      </c>
      <c r="L469">
        <f>IF(ISBLANK('Data Input'!K469),"",'Data Input'!K469)</f>
        <v>800</v>
      </c>
      <c r="M469">
        <f>IF(ISBLANK('Data Input'!L469),"",'Data Input'!L469)</f>
        <v>8</v>
      </c>
      <c r="N469">
        <f>IF(ISBLANK('Data Input'!M469),"",'Data Input'!M469)</f>
        <v>5</v>
      </c>
      <c r="O469" t="str">
        <f>IF(ISBLANK('Data Input'!N469),"",'Data Input'!N469)</f>
        <v/>
      </c>
      <c r="P469" t="str">
        <f>IF(ISBLANK('Data Input'!O469),"",'Data Input'!O469)</f>
        <v/>
      </c>
      <c r="Q469" t="str">
        <f>IF(ISBLANK('Data Input'!P469),"",'Data Input'!P469)</f>
        <v/>
      </c>
      <c r="R469" t="b">
        <f>IF(ISBLANK('Data Input'!Q469),"",'Data Input'!Q469)</f>
        <v>1</v>
      </c>
      <c r="T469" s="2">
        <f t="shared" si="30"/>
        <v>43285</v>
      </c>
      <c r="U469" s="12">
        <f t="shared" si="31"/>
        <v>0.21180555555555555</v>
      </c>
      <c r="V469" s="2">
        <f t="shared" si="32"/>
        <v>43286</v>
      </c>
      <c r="W469" s="12">
        <f t="shared" si="33"/>
        <v>0.19444444444444445</v>
      </c>
    </row>
    <row r="470" spans="1:23">
      <c r="A470">
        <f>IF(ISBLANK('Data Input'!A470),"",'Data Input'!A470)</f>
        <v>125</v>
      </c>
      <c r="B470" t="str">
        <f>IF(ISBLANK('Data Input'!B470),"",'Data Input'!B470)</f>
        <v>MT124</v>
      </c>
      <c r="C470" t="str">
        <f>IF(ISBLANK('Data Input'!C470),"",'Data Input'!C470)</f>
        <v>7/4/18 0505</v>
      </c>
      <c r="E470" t="str">
        <f>IF(ISBLANK('Data Input'!D470),"",'Data Input'!D470)</f>
        <v>7/5/18 0440</v>
      </c>
      <c r="G470">
        <f>IF(ISBLANK('Data Input'!E470),"",'Data Input'!E470)</f>
        <v>19</v>
      </c>
      <c r="H470" t="str">
        <f>IF(ISBLANK('Data Input'!F470),"",'Data Input'!F470)</f>
        <v>White</v>
      </c>
      <c r="I470" t="str">
        <f>IF(ISBLANK('Data Input'!G470),"",'Data Input'!G470)</f>
        <v>SVD</v>
      </c>
      <c r="J470" t="str">
        <f>IF(ISBLANK('Data Input'!I470),"",'Data Input'!I470)</f>
        <v>7=4=18 1456</v>
      </c>
      <c r="K470" t="str">
        <f>IF(ISBLANK('Data Input'!J470),"",'Data Input'!J470)</f>
        <v>bb - Ibuprofen</v>
      </c>
      <c r="L470">
        <f>IF(ISBLANK('Data Input'!K470),"",'Data Input'!K470)</f>
        <v>800</v>
      </c>
      <c r="M470">
        <f>IF(ISBLANK('Data Input'!L470),"",'Data Input'!L470)</f>
        <v>3</v>
      </c>
      <c r="N470">
        <f>IF(ISBLANK('Data Input'!M470),"",'Data Input'!M470)</f>
        <v>0</v>
      </c>
      <c r="O470" t="str">
        <f>IF(ISBLANK('Data Input'!N470),"",'Data Input'!N470)</f>
        <v/>
      </c>
      <c r="P470" t="str">
        <f>IF(ISBLANK('Data Input'!O470),"",'Data Input'!O470)</f>
        <v/>
      </c>
      <c r="Q470" t="str">
        <f>IF(ISBLANK('Data Input'!P470),"",'Data Input'!P470)</f>
        <v/>
      </c>
      <c r="R470" t="b">
        <f>IF(ISBLANK('Data Input'!Q470),"",'Data Input'!Q470)</f>
        <v>1</v>
      </c>
      <c r="T470" s="2">
        <f t="shared" si="30"/>
        <v>43285</v>
      </c>
      <c r="U470" s="12">
        <f t="shared" si="31"/>
        <v>0.21180555555555555</v>
      </c>
      <c r="V470" s="2">
        <f t="shared" si="32"/>
        <v>43286</v>
      </c>
      <c r="W470" s="12">
        <f t="shared" si="33"/>
        <v>0.19444444444444445</v>
      </c>
    </row>
    <row r="471" spans="1:23">
      <c r="A471">
        <f>IF(ISBLANK('Data Input'!A471),"",'Data Input'!A471)</f>
        <v>125</v>
      </c>
      <c r="B471" t="str">
        <f>IF(ISBLANK('Data Input'!B471),"",'Data Input'!B471)</f>
        <v>MT124</v>
      </c>
      <c r="C471" t="str">
        <f>IF(ISBLANK('Data Input'!C471),"",'Data Input'!C471)</f>
        <v>7/4/18 0505</v>
      </c>
      <c r="E471" t="str">
        <f>IF(ISBLANK('Data Input'!D471),"",'Data Input'!D471)</f>
        <v>7/5/18 0440</v>
      </c>
      <c r="G471">
        <f>IF(ISBLANK('Data Input'!E471),"",'Data Input'!E471)</f>
        <v>19</v>
      </c>
      <c r="H471" t="str">
        <f>IF(ISBLANK('Data Input'!F471),"",'Data Input'!F471)</f>
        <v>White</v>
      </c>
      <c r="I471" t="str">
        <f>IF(ISBLANK('Data Input'!G471),"",'Data Input'!G471)</f>
        <v>SVD</v>
      </c>
      <c r="J471" t="str">
        <f>IF(ISBLANK('Data Input'!I471),"",'Data Input'!I471)</f>
        <v>7=4=18 2111</v>
      </c>
      <c r="K471" t="str">
        <f>IF(ISBLANK('Data Input'!J471),"",'Data Input'!J471)</f>
        <v>bb - Ibuprofen</v>
      </c>
      <c r="L471">
        <f>IF(ISBLANK('Data Input'!K471),"",'Data Input'!K471)</f>
        <v>800</v>
      </c>
      <c r="M471">
        <f>IF(ISBLANK('Data Input'!L471),"",'Data Input'!L471)</f>
        <v>5</v>
      </c>
      <c r="N471">
        <f>IF(ISBLANK('Data Input'!M471),"",'Data Input'!M471)</f>
        <v>2</v>
      </c>
      <c r="O471" t="str">
        <f>IF(ISBLANK('Data Input'!N471),"",'Data Input'!N471)</f>
        <v/>
      </c>
      <c r="P471" t="str">
        <f>IF(ISBLANK('Data Input'!O471),"",'Data Input'!O471)</f>
        <v/>
      </c>
      <c r="Q471" t="str">
        <f>IF(ISBLANK('Data Input'!P471),"",'Data Input'!P471)</f>
        <v/>
      </c>
      <c r="R471" t="b">
        <f>IF(ISBLANK('Data Input'!Q471),"",'Data Input'!Q471)</f>
        <v>1</v>
      </c>
      <c r="T471" s="2">
        <f t="shared" si="30"/>
        <v>43285</v>
      </c>
      <c r="U471" s="12">
        <f t="shared" si="31"/>
        <v>0.21180555555555555</v>
      </c>
      <c r="V471" s="2">
        <f t="shared" si="32"/>
        <v>43286</v>
      </c>
      <c r="W471" s="12">
        <f t="shared" si="33"/>
        <v>0.19444444444444445</v>
      </c>
    </row>
    <row r="472" spans="1:23">
      <c r="A472">
        <f>IF(ISBLANK('Data Input'!A472),"",'Data Input'!A472)</f>
        <v>125</v>
      </c>
      <c r="B472" t="str">
        <f>IF(ISBLANK('Data Input'!B472),"",'Data Input'!B472)</f>
        <v>MT124</v>
      </c>
      <c r="C472" t="str">
        <f>IF(ISBLANK('Data Input'!C472),"",'Data Input'!C472)</f>
        <v>7/4/18 0505</v>
      </c>
      <c r="E472" t="str">
        <f>IF(ISBLANK('Data Input'!D472),"",'Data Input'!D472)</f>
        <v>7/5/18 0440</v>
      </c>
      <c r="G472">
        <f>IF(ISBLANK('Data Input'!E472),"",'Data Input'!E472)</f>
        <v>19</v>
      </c>
      <c r="H472" t="str">
        <f>IF(ISBLANK('Data Input'!F472),"",'Data Input'!F472)</f>
        <v>White</v>
      </c>
      <c r="I472" t="str">
        <f>IF(ISBLANK('Data Input'!G472),"",'Data Input'!G472)</f>
        <v>SVD</v>
      </c>
      <c r="J472" t="str">
        <f>IF(ISBLANK('Data Input'!I472),"",'Data Input'!I472)</f>
        <v>7=5=18 0440</v>
      </c>
      <c r="K472" t="str">
        <f>IF(ISBLANK('Data Input'!J472),"",'Data Input'!J472)</f>
        <v>bb - Ibuprofen</v>
      </c>
      <c r="L472">
        <f>IF(ISBLANK('Data Input'!K472),"",'Data Input'!K472)</f>
        <v>800</v>
      </c>
      <c r="M472">
        <f>IF(ISBLANK('Data Input'!L472),"",'Data Input'!L472)</f>
        <v>5</v>
      </c>
      <c r="N472">
        <f>IF(ISBLANK('Data Input'!M472),"",'Data Input'!M472)</f>
        <v>1</v>
      </c>
      <c r="O472" t="str">
        <f>IF(ISBLANK('Data Input'!N472),"",'Data Input'!N472)</f>
        <v/>
      </c>
      <c r="P472" t="str">
        <f>IF(ISBLANK('Data Input'!O472),"",'Data Input'!O472)</f>
        <v/>
      </c>
      <c r="Q472" t="str">
        <f>IF(ISBLANK('Data Input'!P472),"",'Data Input'!P472)</f>
        <v/>
      </c>
      <c r="R472" t="b">
        <f>IF(ISBLANK('Data Input'!Q472),"",'Data Input'!Q472)</f>
        <v>1</v>
      </c>
      <c r="T472" s="2">
        <f t="shared" si="30"/>
        <v>43285</v>
      </c>
      <c r="U472" s="12">
        <f t="shared" si="31"/>
        <v>0.21180555555555555</v>
      </c>
      <c r="V472" s="2">
        <f t="shared" si="32"/>
        <v>43286</v>
      </c>
      <c r="W472" s="12">
        <f t="shared" si="33"/>
        <v>0.19444444444444445</v>
      </c>
    </row>
    <row r="473" spans="1:23">
      <c r="A473">
        <f>IF(ISBLANK('Data Input'!A473),"",'Data Input'!A473)</f>
        <v>126</v>
      </c>
      <c r="B473" t="str">
        <f>IF(ISBLANK('Data Input'!B473),"",'Data Input'!B473)</f>
        <v>JC125</v>
      </c>
      <c r="C473" t="str">
        <f>IF(ISBLANK('Data Input'!C473),"",'Data Input'!C473)</f>
        <v>7/4/18 1915</v>
      </c>
      <c r="E473" t="str">
        <f>IF(ISBLANK('Data Input'!D473),"",'Data Input'!D473)</f>
        <v>7/5/18 1325</v>
      </c>
      <c r="G473">
        <f>IF(ISBLANK('Data Input'!E473),"",'Data Input'!E473)</f>
        <v>36</v>
      </c>
      <c r="H473" t="str">
        <f>IF(ISBLANK('Data Input'!F473),"",'Data Input'!F473)</f>
        <v>White</v>
      </c>
      <c r="I473" t="str">
        <f>IF(ISBLANK('Data Input'!G473),"",'Data Input'!G473)</f>
        <v>Caesarean</v>
      </c>
      <c r="J473" t="str">
        <f>IF(ISBLANK('Data Input'!I473),"",'Data Input'!I473)</f>
        <v>7=5=18 0552</v>
      </c>
      <c r="K473" t="str">
        <f>IF(ISBLANK('Data Input'!J473),"",'Data Input'!J473)</f>
        <v>tr - Toradol</v>
      </c>
      <c r="L473">
        <f>IF(ISBLANK('Data Input'!K473),"",'Data Input'!K473)</f>
        <v>30</v>
      </c>
      <c r="M473">
        <f>IF(ISBLANK('Data Input'!L473),"",'Data Input'!L473)</f>
        <v>6</v>
      </c>
      <c r="N473">
        <f>IF(ISBLANK('Data Input'!M473),"",'Data Input'!M473)</f>
        <v>0</v>
      </c>
      <c r="O473" t="str">
        <f>IF(ISBLANK('Data Input'!N473),"",'Data Input'!N473)</f>
        <v/>
      </c>
      <c r="P473" t="str">
        <f>IF(ISBLANK('Data Input'!O473),"",'Data Input'!O473)</f>
        <v/>
      </c>
      <c r="Q473" t="str">
        <f>IF(ISBLANK('Data Input'!P473),"",'Data Input'!P473)</f>
        <v/>
      </c>
      <c r="R473" t="b">
        <f>IF(ISBLANK('Data Input'!Q473),"",'Data Input'!Q473)</f>
        <v>0</v>
      </c>
      <c r="T473" s="2">
        <f t="shared" si="30"/>
        <v>43285</v>
      </c>
      <c r="U473" s="12">
        <f t="shared" si="31"/>
        <v>0.80208333333333337</v>
      </c>
      <c r="V473" s="2">
        <f t="shared" si="32"/>
        <v>43286</v>
      </c>
      <c r="W473" s="12">
        <f t="shared" si="33"/>
        <v>0.55902777777777779</v>
      </c>
    </row>
    <row r="474" spans="1:23">
      <c r="A474">
        <f>IF(ISBLANK('Data Input'!A474),"",'Data Input'!A474)</f>
        <v>126</v>
      </c>
      <c r="B474" t="str">
        <f>IF(ISBLANK('Data Input'!B474),"",'Data Input'!B474)</f>
        <v>JC125</v>
      </c>
      <c r="C474" t="str">
        <f>IF(ISBLANK('Data Input'!C474),"",'Data Input'!C474)</f>
        <v>7/4/18 1915</v>
      </c>
      <c r="E474" t="str">
        <f>IF(ISBLANK('Data Input'!D474),"",'Data Input'!D474)</f>
        <v>7/5/18 1325</v>
      </c>
      <c r="G474">
        <f>IF(ISBLANK('Data Input'!E474),"",'Data Input'!E474)</f>
        <v>36</v>
      </c>
      <c r="H474" t="str">
        <f>IF(ISBLANK('Data Input'!F474),"",'Data Input'!F474)</f>
        <v>White</v>
      </c>
      <c r="I474" t="str">
        <f>IF(ISBLANK('Data Input'!G474),"",'Data Input'!G474)</f>
        <v>Caesarean</v>
      </c>
      <c r="J474" t="str">
        <f>IF(ISBLANK('Data Input'!I474),"",'Data Input'!I474)</f>
        <v>7=5=18 1325</v>
      </c>
      <c r="K474" t="str">
        <f>IF(ISBLANK('Data Input'!J474),"",'Data Input'!J474)</f>
        <v>tr - Toradol</v>
      </c>
      <c r="L474">
        <f>IF(ISBLANK('Data Input'!K474),"",'Data Input'!K474)</f>
        <v>30</v>
      </c>
      <c r="M474">
        <f>IF(ISBLANK('Data Input'!L474),"",'Data Input'!L474)</f>
        <v>5</v>
      </c>
      <c r="N474">
        <f>IF(ISBLANK('Data Input'!M474),"",'Data Input'!M474)</f>
        <v>3</v>
      </c>
      <c r="O474" t="str">
        <f>IF(ISBLANK('Data Input'!N474),"",'Data Input'!N474)</f>
        <v/>
      </c>
      <c r="P474" t="str">
        <f>IF(ISBLANK('Data Input'!O474),"",'Data Input'!O474)</f>
        <v/>
      </c>
      <c r="Q474" t="str">
        <f>IF(ISBLANK('Data Input'!P474),"",'Data Input'!P474)</f>
        <v/>
      </c>
      <c r="R474" t="b">
        <f>IF(ISBLANK('Data Input'!Q474),"",'Data Input'!Q474)</f>
        <v>0</v>
      </c>
      <c r="T474" s="2">
        <f t="shared" si="30"/>
        <v>43285</v>
      </c>
      <c r="U474" s="12">
        <f t="shared" si="31"/>
        <v>0.80208333333333337</v>
      </c>
      <c r="V474" s="2">
        <f t="shared" si="32"/>
        <v>43286</v>
      </c>
      <c r="W474" s="12">
        <f t="shared" si="33"/>
        <v>0.55902777777777779</v>
      </c>
    </row>
    <row r="475" spans="1:23">
      <c r="A475">
        <f>IF(ISBLANK('Data Input'!A475),"",'Data Input'!A475)</f>
        <v>127</v>
      </c>
      <c r="B475" t="str">
        <f>IF(ISBLANK('Data Input'!B475),"",'Data Input'!B475)</f>
        <v>AR126</v>
      </c>
      <c r="C475" t="str">
        <f>IF(ISBLANK('Data Input'!C475),"",'Data Input'!C475)</f>
        <v>7/5/18 1200</v>
      </c>
      <c r="E475" t="str">
        <f>IF(ISBLANK('Data Input'!D475),"",'Data Input'!D475)</f>
        <v>7/6/18 0945</v>
      </c>
      <c r="G475">
        <f>IF(ISBLANK('Data Input'!E475),"",'Data Input'!E475)</f>
        <v>24</v>
      </c>
      <c r="H475" t="str">
        <f>IF(ISBLANK('Data Input'!F475),"",'Data Input'!F475)</f>
        <v>Other</v>
      </c>
      <c r="I475" t="str">
        <f>IF(ISBLANK('Data Input'!G475),"",'Data Input'!G475)</f>
        <v>Caesarean</v>
      </c>
      <c r="J475" t="str">
        <f>IF(ISBLANK('Data Input'!I475),"",'Data Input'!I475)</f>
        <v>7=5=18 1248</v>
      </c>
      <c r="K475" t="str">
        <f>IF(ISBLANK('Data Input'!J475),"",'Data Input'!J475)</f>
        <v>tr - Toradol</v>
      </c>
      <c r="L475">
        <f>IF(ISBLANK('Data Input'!K475),"",'Data Input'!K475)</f>
        <v>30</v>
      </c>
      <c r="M475">
        <f>IF(ISBLANK('Data Input'!L475),"",'Data Input'!L475)</f>
        <v>3</v>
      </c>
      <c r="N475">
        <f>IF(ISBLANK('Data Input'!M475),"",'Data Input'!M475)</f>
        <v>1</v>
      </c>
      <c r="O475" t="str">
        <f>IF(ISBLANK('Data Input'!N475),"",'Data Input'!N475)</f>
        <v/>
      </c>
      <c r="P475" t="str">
        <f>IF(ISBLANK('Data Input'!O475),"",'Data Input'!O475)</f>
        <v/>
      </c>
      <c r="Q475" t="str">
        <f>IF(ISBLANK('Data Input'!P475),"",'Data Input'!P475)</f>
        <v/>
      </c>
      <c r="R475" t="b">
        <f>IF(ISBLANK('Data Input'!Q475),"",'Data Input'!Q475)</f>
        <v>1</v>
      </c>
      <c r="T475" s="2">
        <f t="shared" si="30"/>
        <v>43286</v>
      </c>
      <c r="U475" s="12">
        <f t="shared" si="31"/>
        <v>0.5</v>
      </c>
      <c r="V475" s="2">
        <f t="shared" si="32"/>
        <v>43287</v>
      </c>
      <c r="W475" s="12">
        <f t="shared" si="33"/>
        <v>0.40625</v>
      </c>
    </row>
    <row r="476" spans="1:23">
      <c r="A476">
        <f>IF(ISBLANK('Data Input'!A476),"",'Data Input'!A476)</f>
        <v>127</v>
      </c>
      <c r="B476" t="str">
        <f>IF(ISBLANK('Data Input'!B476),"",'Data Input'!B476)</f>
        <v>AR126</v>
      </c>
      <c r="C476" t="str">
        <f>IF(ISBLANK('Data Input'!C476),"",'Data Input'!C476)</f>
        <v>7/5/18 1200</v>
      </c>
      <c r="E476" t="str">
        <f>IF(ISBLANK('Data Input'!D476),"",'Data Input'!D476)</f>
        <v>7/6/18 0945</v>
      </c>
      <c r="G476">
        <f>IF(ISBLANK('Data Input'!E476),"",'Data Input'!E476)</f>
        <v>24</v>
      </c>
      <c r="H476" t="str">
        <f>IF(ISBLANK('Data Input'!F476),"",'Data Input'!F476)</f>
        <v>Other</v>
      </c>
      <c r="I476" t="str">
        <f>IF(ISBLANK('Data Input'!G476),"",'Data Input'!G476)</f>
        <v>Caesarean</v>
      </c>
      <c r="J476" t="str">
        <f>IF(ISBLANK('Data Input'!I476),"",'Data Input'!I476)</f>
        <v>7=5=18 2048</v>
      </c>
      <c r="K476" t="str">
        <f>IF(ISBLANK('Data Input'!J476),"",'Data Input'!J476)</f>
        <v>tr - Toradol</v>
      </c>
      <c r="L476">
        <f>IF(ISBLANK('Data Input'!K476),"",'Data Input'!K476)</f>
        <v>30</v>
      </c>
      <c r="M476">
        <f>IF(ISBLANK('Data Input'!L476),"",'Data Input'!L476)</f>
        <v>2</v>
      </c>
      <c r="N476">
        <f>IF(ISBLANK('Data Input'!M476),"",'Data Input'!M476)</f>
        <v>1</v>
      </c>
      <c r="O476" t="str">
        <f>IF(ISBLANK('Data Input'!N476),"",'Data Input'!N476)</f>
        <v/>
      </c>
      <c r="P476" t="str">
        <f>IF(ISBLANK('Data Input'!O476),"",'Data Input'!O476)</f>
        <v/>
      </c>
      <c r="Q476" t="str">
        <f>IF(ISBLANK('Data Input'!P476),"",'Data Input'!P476)</f>
        <v/>
      </c>
      <c r="R476" t="b">
        <f>IF(ISBLANK('Data Input'!Q476),"",'Data Input'!Q476)</f>
        <v>1</v>
      </c>
      <c r="T476" s="2">
        <f t="shared" si="30"/>
        <v>43286</v>
      </c>
      <c r="U476" s="12">
        <f t="shared" si="31"/>
        <v>0.5</v>
      </c>
      <c r="V476" s="2">
        <f t="shared" si="32"/>
        <v>43287</v>
      </c>
      <c r="W476" s="12">
        <f t="shared" si="33"/>
        <v>0.40625</v>
      </c>
    </row>
    <row r="477" spans="1:23">
      <c r="A477">
        <f>IF(ISBLANK('Data Input'!A477),"",'Data Input'!A477)</f>
        <v>127</v>
      </c>
      <c r="B477" t="str">
        <f>IF(ISBLANK('Data Input'!B477),"",'Data Input'!B477)</f>
        <v>AR126</v>
      </c>
      <c r="C477" t="str">
        <f>IF(ISBLANK('Data Input'!C477),"",'Data Input'!C477)</f>
        <v>7/5/18 1200</v>
      </c>
      <c r="E477" t="str">
        <f>IF(ISBLANK('Data Input'!D477),"",'Data Input'!D477)</f>
        <v>7/6/18 0945</v>
      </c>
      <c r="G477">
        <f>IF(ISBLANK('Data Input'!E477),"",'Data Input'!E477)</f>
        <v>24</v>
      </c>
      <c r="H477" t="str">
        <f>IF(ISBLANK('Data Input'!F477),"",'Data Input'!F477)</f>
        <v>Other</v>
      </c>
      <c r="I477" t="str">
        <f>IF(ISBLANK('Data Input'!G477),"",'Data Input'!G477)</f>
        <v>Caesarean</v>
      </c>
      <c r="J477" t="str">
        <f>IF(ISBLANK('Data Input'!I477),"",'Data Input'!I477)</f>
        <v>7=6=18 0318</v>
      </c>
      <c r="K477" t="str">
        <f>IF(ISBLANK('Data Input'!J477),"",'Data Input'!J477)</f>
        <v>tr - Toradol</v>
      </c>
      <c r="L477">
        <f>IF(ISBLANK('Data Input'!K477),"",'Data Input'!K477)</f>
        <v>30</v>
      </c>
      <c r="M477">
        <f>IF(ISBLANK('Data Input'!L477),"",'Data Input'!L477)</f>
        <v>3</v>
      </c>
      <c r="N477">
        <f>IF(ISBLANK('Data Input'!M477),"",'Data Input'!M477)</f>
        <v>0</v>
      </c>
      <c r="O477" t="str">
        <f>IF(ISBLANK('Data Input'!N477),"",'Data Input'!N477)</f>
        <v/>
      </c>
      <c r="P477" t="str">
        <f>IF(ISBLANK('Data Input'!O477),"",'Data Input'!O477)</f>
        <v/>
      </c>
      <c r="Q477" t="str">
        <f>IF(ISBLANK('Data Input'!P477),"",'Data Input'!P477)</f>
        <v/>
      </c>
      <c r="R477" t="b">
        <f>IF(ISBLANK('Data Input'!Q477),"",'Data Input'!Q477)</f>
        <v>1</v>
      </c>
      <c r="T477" s="2">
        <f t="shared" si="30"/>
        <v>43286</v>
      </c>
      <c r="U477" s="12">
        <f t="shared" si="31"/>
        <v>0.5</v>
      </c>
      <c r="V477" s="2">
        <f t="shared" si="32"/>
        <v>43287</v>
      </c>
      <c r="W477" s="12">
        <f t="shared" si="33"/>
        <v>0.40625</v>
      </c>
    </row>
    <row r="478" spans="1:23">
      <c r="A478">
        <f>IF(ISBLANK('Data Input'!A478),"",'Data Input'!A478)</f>
        <v>127</v>
      </c>
      <c r="B478" t="str">
        <f>IF(ISBLANK('Data Input'!B478),"",'Data Input'!B478)</f>
        <v>AR126</v>
      </c>
      <c r="C478" t="str">
        <f>IF(ISBLANK('Data Input'!C478),"",'Data Input'!C478)</f>
        <v>7/5/18 1200</v>
      </c>
      <c r="E478" t="str">
        <f>IF(ISBLANK('Data Input'!D478),"",'Data Input'!D478)</f>
        <v>7/6/18 0945</v>
      </c>
      <c r="G478">
        <f>IF(ISBLANK('Data Input'!E478),"",'Data Input'!E478)</f>
        <v>24</v>
      </c>
      <c r="H478" t="str">
        <f>IF(ISBLANK('Data Input'!F478),"",'Data Input'!F478)</f>
        <v>Other</v>
      </c>
      <c r="I478" t="str">
        <f>IF(ISBLANK('Data Input'!G478),"",'Data Input'!G478)</f>
        <v>Caesarean</v>
      </c>
      <c r="J478" t="str">
        <f>IF(ISBLANK('Data Input'!I478),"",'Data Input'!I478)</f>
        <v>7=6=18 0945</v>
      </c>
      <c r="K478" t="str">
        <f>IF(ISBLANK('Data Input'!J478),"",'Data Input'!J478)</f>
        <v>tr - Toradol</v>
      </c>
      <c r="L478">
        <f>IF(ISBLANK('Data Input'!K478),"",'Data Input'!K478)</f>
        <v>30</v>
      </c>
      <c r="M478">
        <f>IF(ISBLANK('Data Input'!L478),"",'Data Input'!L478)</f>
        <v>8</v>
      </c>
      <c r="N478">
        <f>IF(ISBLANK('Data Input'!M478),"",'Data Input'!M478)</f>
        <v>4</v>
      </c>
      <c r="O478" t="str">
        <f>IF(ISBLANK('Data Input'!N478),"",'Data Input'!N478)</f>
        <v/>
      </c>
      <c r="P478" t="str">
        <f>IF(ISBLANK('Data Input'!O478),"",'Data Input'!O478)</f>
        <v/>
      </c>
      <c r="Q478" t="str">
        <f>IF(ISBLANK('Data Input'!P478),"",'Data Input'!P478)</f>
        <v/>
      </c>
      <c r="R478" t="b">
        <f>IF(ISBLANK('Data Input'!Q478),"",'Data Input'!Q478)</f>
        <v>1</v>
      </c>
      <c r="T478" s="2">
        <f t="shared" si="30"/>
        <v>43286</v>
      </c>
      <c r="U478" s="12">
        <f t="shared" si="31"/>
        <v>0.5</v>
      </c>
      <c r="V478" s="2">
        <f t="shared" si="32"/>
        <v>43287</v>
      </c>
      <c r="W478" s="12">
        <f t="shared" si="33"/>
        <v>0.40625</v>
      </c>
    </row>
    <row r="479" spans="1:23">
      <c r="A479">
        <f>IF(ISBLANK('Data Input'!A479),"",'Data Input'!A479)</f>
        <v>128</v>
      </c>
      <c r="B479" t="str">
        <f>IF(ISBLANK('Data Input'!B479),"",'Data Input'!B479)</f>
        <v>KW127</v>
      </c>
      <c r="C479" t="str">
        <f>IF(ISBLANK('Data Input'!C479),"",'Data Input'!C479)</f>
        <v>7/6/18 0242</v>
      </c>
      <c r="E479" t="str">
        <f>IF(ISBLANK('Data Input'!D479),"",'Data Input'!D479)</f>
        <v>7/6/18 2202</v>
      </c>
      <c r="G479">
        <f>IF(ISBLANK('Data Input'!E479),"",'Data Input'!E479)</f>
        <v>26</v>
      </c>
      <c r="H479" t="str">
        <f>IF(ISBLANK('Data Input'!F479),"",'Data Input'!F479)</f>
        <v>White</v>
      </c>
      <c r="I479" t="str">
        <f>IF(ISBLANK('Data Input'!G479),"",'Data Input'!G479)</f>
        <v>SVD</v>
      </c>
      <c r="J479" t="str">
        <f>IF(ISBLANK('Data Input'!I479),"",'Data Input'!I479)</f>
        <v>7=6=18 0429</v>
      </c>
      <c r="K479" t="str">
        <f>IF(ISBLANK('Data Input'!J479),"",'Data Input'!J479)</f>
        <v>bb - Ibuprofen</v>
      </c>
      <c r="L479">
        <f>IF(ISBLANK('Data Input'!K479),"",'Data Input'!K479)</f>
        <v>800</v>
      </c>
      <c r="M479" t="str">
        <f>IF(ISBLANK('Data Input'!L479),"",'Data Input'!L479)</f>
        <v>dd - Missing Data</v>
      </c>
      <c r="N479" t="str">
        <f>IF(ISBLANK('Data Input'!M479),"",'Data Input'!M479)</f>
        <v>dd - Missing Data</v>
      </c>
      <c r="O479" t="str">
        <f>IF(ISBLANK('Data Input'!N479),"",'Data Input'!N479)</f>
        <v/>
      </c>
      <c r="P479" t="str">
        <f>IF(ISBLANK('Data Input'!O479),"",'Data Input'!O479)</f>
        <v/>
      </c>
      <c r="Q479" t="str">
        <f>IF(ISBLANK('Data Input'!P479),"",'Data Input'!P479)</f>
        <v/>
      </c>
      <c r="R479" t="b">
        <f>IF(ISBLANK('Data Input'!Q479),"",'Data Input'!Q479)</f>
        <v>0</v>
      </c>
      <c r="T479" s="2">
        <f t="shared" si="30"/>
        <v>43287</v>
      </c>
      <c r="U479" s="12">
        <f t="shared" si="31"/>
        <v>0.1125</v>
      </c>
      <c r="V479" s="2">
        <f t="shared" si="32"/>
        <v>43287</v>
      </c>
      <c r="W479" s="12">
        <f t="shared" si="33"/>
        <v>0.91805555555555562</v>
      </c>
    </row>
    <row r="480" spans="1:23">
      <c r="A480">
        <f>IF(ISBLANK('Data Input'!A480),"",'Data Input'!A480)</f>
        <v>128</v>
      </c>
      <c r="B480" t="str">
        <f>IF(ISBLANK('Data Input'!B480),"",'Data Input'!B480)</f>
        <v>KW127</v>
      </c>
      <c r="C480" t="str">
        <f>IF(ISBLANK('Data Input'!C480),"",'Data Input'!C480)</f>
        <v>7/6/18 0242</v>
      </c>
      <c r="E480" t="str">
        <f>IF(ISBLANK('Data Input'!D480),"",'Data Input'!D480)</f>
        <v>7/6/18 2202</v>
      </c>
      <c r="G480">
        <f>IF(ISBLANK('Data Input'!E480),"",'Data Input'!E480)</f>
        <v>26</v>
      </c>
      <c r="H480" t="str">
        <f>IF(ISBLANK('Data Input'!F480),"",'Data Input'!F480)</f>
        <v>White</v>
      </c>
      <c r="I480" t="str">
        <f>IF(ISBLANK('Data Input'!G480),"",'Data Input'!G480)</f>
        <v>SVD</v>
      </c>
      <c r="J480" t="str">
        <f>IF(ISBLANK('Data Input'!I480),"",'Data Input'!I480)</f>
        <v>7=6=18 1002</v>
      </c>
      <c r="K480" t="str">
        <f>IF(ISBLANK('Data Input'!J480),"",'Data Input'!J480)</f>
        <v>bb - Ibuprofen</v>
      </c>
      <c r="L480">
        <f>IF(ISBLANK('Data Input'!K480),"",'Data Input'!K480)</f>
        <v>800</v>
      </c>
      <c r="M480" t="str">
        <f>IF(ISBLANK('Data Input'!L480),"",'Data Input'!L480)</f>
        <v>dd - Missing Data</v>
      </c>
      <c r="N480" t="str">
        <f>IF(ISBLANK('Data Input'!M480),"",'Data Input'!M480)</f>
        <v>dd - Missing Data</v>
      </c>
      <c r="O480" t="str">
        <f>IF(ISBLANK('Data Input'!N480),"",'Data Input'!N480)</f>
        <v/>
      </c>
      <c r="P480" t="str">
        <f>IF(ISBLANK('Data Input'!O480),"",'Data Input'!O480)</f>
        <v/>
      </c>
      <c r="Q480" t="str">
        <f>IF(ISBLANK('Data Input'!P480),"",'Data Input'!P480)</f>
        <v/>
      </c>
      <c r="R480" t="b">
        <f>IF(ISBLANK('Data Input'!Q480),"",'Data Input'!Q480)</f>
        <v>0</v>
      </c>
      <c r="T480" s="2">
        <f t="shared" si="30"/>
        <v>43287</v>
      </c>
      <c r="U480" s="12">
        <f t="shared" si="31"/>
        <v>0.1125</v>
      </c>
      <c r="V480" s="2">
        <f t="shared" si="32"/>
        <v>43287</v>
      </c>
      <c r="W480" s="12">
        <f t="shared" si="33"/>
        <v>0.91805555555555562</v>
      </c>
    </row>
    <row r="481" spans="1:23">
      <c r="A481">
        <f>IF(ISBLANK('Data Input'!A481),"",'Data Input'!A481)</f>
        <v>128</v>
      </c>
      <c r="B481" t="str">
        <f>IF(ISBLANK('Data Input'!B481),"",'Data Input'!B481)</f>
        <v>KW127</v>
      </c>
      <c r="C481" t="str">
        <f>IF(ISBLANK('Data Input'!C481),"",'Data Input'!C481)</f>
        <v>7/6/18 0242</v>
      </c>
      <c r="E481" t="str">
        <f>IF(ISBLANK('Data Input'!D481),"",'Data Input'!D481)</f>
        <v>7/6/18 2202</v>
      </c>
      <c r="G481">
        <f>IF(ISBLANK('Data Input'!E481),"",'Data Input'!E481)</f>
        <v>26</v>
      </c>
      <c r="H481" t="str">
        <f>IF(ISBLANK('Data Input'!F481),"",'Data Input'!F481)</f>
        <v>White</v>
      </c>
      <c r="I481" t="str">
        <f>IF(ISBLANK('Data Input'!G481),"",'Data Input'!G481)</f>
        <v>SVD</v>
      </c>
      <c r="J481" t="str">
        <f>IF(ISBLANK('Data Input'!I481),"",'Data Input'!I481)</f>
        <v>7=6=18 1211</v>
      </c>
      <c r="K481" t="str">
        <f>IF(ISBLANK('Data Input'!J481),"",'Data Input'!J481)</f>
        <v>rr - Percocet</v>
      </c>
      <c r="L481">
        <f>IF(ISBLANK('Data Input'!K481),"",'Data Input'!K481)</f>
        <v>1</v>
      </c>
      <c r="M481">
        <f>IF(ISBLANK('Data Input'!L481),"",'Data Input'!L481)</f>
        <v>6</v>
      </c>
      <c r="N481">
        <f>IF(ISBLANK('Data Input'!M481),"",'Data Input'!M481)</f>
        <v>1</v>
      </c>
      <c r="O481" t="str">
        <f>IF(ISBLANK('Data Input'!N481),"",'Data Input'!N481)</f>
        <v/>
      </c>
      <c r="P481" t="str">
        <f>IF(ISBLANK('Data Input'!O481),"",'Data Input'!O481)</f>
        <v/>
      </c>
      <c r="Q481" t="str">
        <f>IF(ISBLANK('Data Input'!P481),"",'Data Input'!P481)</f>
        <v/>
      </c>
      <c r="R481" t="b">
        <f>IF(ISBLANK('Data Input'!Q481),"",'Data Input'!Q481)</f>
        <v>0</v>
      </c>
      <c r="T481" s="2">
        <f t="shared" si="30"/>
        <v>43287</v>
      </c>
      <c r="U481" s="12">
        <f t="shared" si="31"/>
        <v>0.1125</v>
      </c>
      <c r="V481" s="2">
        <f t="shared" si="32"/>
        <v>43287</v>
      </c>
      <c r="W481" s="12">
        <f t="shared" si="33"/>
        <v>0.91805555555555562</v>
      </c>
    </row>
    <row r="482" spans="1:23">
      <c r="A482">
        <f>IF(ISBLANK('Data Input'!A482),"",'Data Input'!A482)</f>
        <v>128</v>
      </c>
      <c r="B482" t="str">
        <f>IF(ISBLANK('Data Input'!B482),"",'Data Input'!B482)</f>
        <v>KW127</v>
      </c>
      <c r="C482" t="str">
        <f>IF(ISBLANK('Data Input'!C482),"",'Data Input'!C482)</f>
        <v>7/6/18 0242</v>
      </c>
      <c r="E482" t="str">
        <f>IF(ISBLANK('Data Input'!D482),"",'Data Input'!D482)</f>
        <v>7/6/18 2202</v>
      </c>
      <c r="G482">
        <f>IF(ISBLANK('Data Input'!E482),"",'Data Input'!E482)</f>
        <v>26</v>
      </c>
      <c r="H482" t="str">
        <f>IF(ISBLANK('Data Input'!F482),"",'Data Input'!F482)</f>
        <v>White</v>
      </c>
      <c r="I482" t="str">
        <f>IF(ISBLANK('Data Input'!G482),"",'Data Input'!G482)</f>
        <v>SVD</v>
      </c>
      <c r="J482" t="str">
        <f>IF(ISBLANK('Data Input'!I482),"",'Data Input'!I482)</f>
        <v>7=6=18 1617</v>
      </c>
      <c r="K482" t="str">
        <f>IF(ISBLANK('Data Input'!J482),"",'Data Input'!J482)</f>
        <v>bb - Ibuprofen</v>
      </c>
      <c r="L482">
        <f>IF(ISBLANK('Data Input'!K482),"",'Data Input'!K482)</f>
        <v>800</v>
      </c>
      <c r="M482" t="str">
        <f>IF(ISBLANK('Data Input'!L482),"",'Data Input'!L482)</f>
        <v>dd - Missing Data</v>
      </c>
      <c r="N482" t="str">
        <f>IF(ISBLANK('Data Input'!M482),"",'Data Input'!M482)</f>
        <v>dd - Missing Data</v>
      </c>
      <c r="O482" t="str">
        <f>IF(ISBLANK('Data Input'!N482),"",'Data Input'!N482)</f>
        <v/>
      </c>
      <c r="P482" t="str">
        <f>IF(ISBLANK('Data Input'!O482),"",'Data Input'!O482)</f>
        <v/>
      </c>
      <c r="Q482" t="str">
        <f>IF(ISBLANK('Data Input'!P482),"",'Data Input'!P482)</f>
        <v/>
      </c>
      <c r="R482" t="b">
        <f>IF(ISBLANK('Data Input'!Q482),"",'Data Input'!Q482)</f>
        <v>0</v>
      </c>
      <c r="T482" s="2">
        <f t="shared" si="30"/>
        <v>43287</v>
      </c>
      <c r="U482" s="12">
        <f t="shared" si="31"/>
        <v>0.1125</v>
      </c>
      <c r="V482" s="2">
        <f t="shared" si="32"/>
        <v>43287</v>
      </c>
      <c r="W482" s="12">
        <f t="shared" si="33"/>
        <v>0.91805555555555562</v>
      </c>
    </row>
    <row r="483" spans="1:23">
      <c r="A483">
        <f>IF(ISBLANK('Data Input'!A483),"",'Data Input'!A483)</f>
        <v>128</v>
      </c>
      <c r="B483" t="str">
        <f>IF(ISBLANK('Data Input'!B483),"",'Data Input'!B483)</f>
        <v>KW127</v>
      </c>
      <c r="C483" t="str">
        <f>IF(ISBLANK('Data Input'!C483),"",'Data Input'!C483)</f>
        <v>7/6/18 0242</v>
      </c>
      <c r="E483" t="str">
        <f>IF(ISBLANK('Data Input'!D483),"",'Data Input'!D483)</f>
        <v>7/6/18 2202</v>
      </c>
      <c r="G483">
        <f>IF(ISBLANK('Data Input'!E483),"",'Data Input'!E483)</f>
        <v>26</v>
      </c>
      <c r="H483" t="str">
        <f>IF(ISBLANK('Data Input'!F483),"",'Data Input'!F483)</f>
        <v>White</v>
      </c>
      <c r="I483" t="str">
        <f>IF(ISBLANK('Data Input'!G483),"",'Data Input'!G483)</f>
        <v>SVD</v>
      </c>
      <c r="J483" t="str">
        <f>IF(ISBLANK('Data Input'!I483),"",'Data Input'!I483)</f>
        <v>7=6=18 2202</v>
      </c>
      <c r="K483" t="str">
        <f>IF(ISBLANK('Data Input'!J483),"",'Data Input'!J483)</f>
        <v>bb - Ibuprofen</v>
      </c>
      <c r="L483">
        <f>IF(ISBLANK('Data Input'!K483),"",'Data Input'!K483)</f>
        <v>800</v>
      </c>
      <c r="M483">
        <f>IF(ISBLANK('Data Input'!L483),"",'Data Input'!L483)</f>
        <v>5</v>
      </c>
      <c r="N483">
        <f>IF(ISBLANK('Data Input'!M483),"",'Data Input'!M483)</f>
        <v>1</v>
      </c>
      <c r="O483" t="str">
        <f>IF(ISBLANK('Data Input'!N483),"",'Data Input'!N483)</f>
        <v/>
      </c>
      <c r="P483" t="str">
        <f>IF(ISBLANK('Data Input'!O483),"",'Data Input'!O483)</f>
        <v/>
      </c>
      <c r="Q483" t="str">
        <f>IF(ISBLANK('Data Input'!P483),"",'Data Input'!P483)</f>
        <v/>
      </c>
      <c r="R483" t="b">
        <f>IF(ISBLANK('Data Input'!Q483),"",'Data Input'!Q483)</f>
        <v>0</v>
      </c>
      <c r="T483" s="2">
        <f t="shared" si="30"/>
        <v>43287</v>
      </c>
      <c r="U483" s="12">
        <f t="shared" si="31"/>
        <v>0.1125</v>
      </c>
      <c r="V483" s="2">
        <f t="shared" si="32"/>
        <v>43287</v>
      </c>
      <c r="W483" s="12">
        <f t="shared" si="33"/>
        <v>0.91805555555555562</v>
      </c>
    </row>
    <row r="484" spans="1:23">
      <c r="A484">
        <f>IF(ISBLANK('Data Input'!A484),"",'Data Input'!A484)</f>
        <v>128</v>
      </c>
      <c r="B484" t="str">
        <f>IF(ISBLANK('Data Input'!B484),"",'Data Input'!B484)</f>
        <v>KW127</v>
      </c>
      <c r="C484" t="str">
        <f>IF(ISBLANK('Data Input'!C484),"",'Data Input'!C484)</f>
        <v>7/6/18 0242</v>
      </c>
      <c r="E484" t="str">
        <f>IF(ISBLANK('Data Input'!D484),"",'Data Input'!D484)</f>
        <v>7/6/18 2202</v>
      </c>
      <c r="G484">
        <f>IF(ISBLANK('Data Input'!E484),"",'Data Input'!E484)</f>
        <v>26</v>
      </c>
      <c r="H484" t="str">
        <f>IF(ISBLANK('Data Input'!F484),"",'Data Input'!F484)</f>
        <v>White</v>
      </c>
      <c r="I484" t="str">
        <f>IF(ISBLANK('Data Input'!G484),"",'Data Input'!G484)</f>
        <v>SVD</v>
      </c>
      <c r="J484" t="str">
        <f>IF(ISBLANK('Data Input'!I484),"",'Data Input'!I484)</f>
        <v>7=6=18 2202</v>
      </c>
      <c r="K484" t="str">
        <f>IF(ISBLANK('Data Input'!J484),"",'Data Input'!J484)</f>
        <v>rr - Percocet</v>
      </c>
      <c r="L484">
        <f>IF(ISBLANK('Data Input'!K484),"",'Data Input'!K484)</f>
        <v>1</v>
      </c>
      <c r="M484">
        <f>IF(ISBLANK('Data Input'!L484),"",'Data Input'!L484)</f>
        <v>5</v>
      </c>
      <c r="N484">
        <f>IF(ISBLANK('Data Input'!M484),"",'Data Input'!M484)</f>
        <v>1</v>
      </c>
      <c r="O484" t="str">
        <f>IF(ISBLANK('Data Input'!N484),"",'Data Input'!N484)</f>
        <v/>
      </c>
      <c r="P484" t="str">
        <f>IF(ISBLANK('Data Input'!O484),"",'Data Input'!O484)</f>
        <v/>
      </c>
      <c r="Q484" t="str">
        <f>IF(ISBLANK('Data Input'!P484),"",'Data Input'!P484)</f>
        <v/>
      </c>
      <c r="R484" t="b">
        <f>IF(ISBLANK('Data Input'!Q484),"",'Data Input'!Q484)</f>
        <v>0</v>
      </c>
      <c r="T484" s="2">
        <f t="shared" si="30"/>
        <v>43287</v>
      </c>
      <c r="U484" s="12">
        <f t="shared" si="31"/>
        <v>0.1125</v>
      </c>
      <c r="V484" s="2">
        <f t="shared" si="32"/>
        <v>43287</v>
      </c>
      <c r="W484" s="12">
        <f t="shared" si="33"/>
        <v>0.91805555555555562</v>
      </c>
    </row>
    <row r="485" spans="1:23">
      <c r="A485">
        <f>IF(ISBLANK('Data Input'!A485),"",'Data Input'!A485)</f>
        <v>129</v>
      </c>
      <c r="B485" t="str">
        <f>IF(ISBLANK('Data Input'!B485),"",'Data Input'!B485)</f>
        <v>JH131</v>
      </c>
      <c r="C485" t="str">
        <f>IF(ISBLANK('Data Input'!C485),"",'Data Input'!C485)</f>
        <v>7/14/18 1345</v>
      </c>
      <c r="E485">
        <f>IF(ISBLANK('Data Input'!D485),"",'Data Input'!D485)</f>
        <v>43296</v>
      </c>
      <c r="G485">
        <f>IF(ISBLANK('Data Input'!E485),"",'Data Input'!E485)</f>
        <v>33</v>
      </c>
      <c r="H485" t="str">
        <f>IF(ISBLANK('Data Input'!F485),"",'Data Input'!F485)</f>
        <v>White</v>
      </c>
      <c r="I485" t="str">
        <f>IF(ISBLANK('Data Input'!G485),"",'Data Input'!G485)</f>
        <v>SVD</v>
      </c>
      <c r="J485" t="str">
        <f>IF(ISBLANK('Data Input'!I485),"",'Data Input'!I485)</f>
        <v>7=14=18 1453</v>
      </c>
      <c r="K485" t="str">
        <f>IF(ISBLANK('Data Input'!J485),"",'Data Input'!J485)</f>
        <v>rr - Percocet</v>
      </c>
      <c r="L485">
        <f>IF(ISBLANK('Data Input'!K485),"",'Data Input'!K485)</f>
        <v>1</v>
      </c>
      <c r="M485">
        <f>IF(ISBLANK('Data Input'!L485),"",'Data Input'!L485)</f>
        <v>3</v>
      </c>
      <c r="N485">
        <f>IF(ISBLANK('Data Input'!M485),"",'Data Input'!M485)</f>
        <v>0</v>
      </c>
      <c r="O485" t="str">
        <f>IF(ISBLANK('Data Input'!N485),"",'Data Input'!N485)</f>
        <v/>
      </c>
      <c r="P485" t="str">
        <f>IF(ISBLANK('Data Input'!O485),"",'Data Input'!O485)</f>
        <v/>
      </c>
      <c r="Q485" t="str">
        <f>IF(ISBLANK('Data Input'!P485),"",'Data Input'!P485)</f>
        <v/>
      </c>
      <c r="R485" t="b">
        <f>IF(ISBLANK('Data Input'!Q485),"",'Data Input'!Q485)</f>
        <v>1</v>
      </c>
      <c r="T485" s="2">
        <f t="shared" si="30"/>
        <v>43295</v>
      </c>
      <c r="U485" s="12">
        <f t="shared" si="31"/>
        <v>0.57291666666666663</v>
      </c>
      <c r="V485" s="2">
        <f t="shared" si="32"/>
        <v>43296</v>
      </c>
      <c r="W485" s="12">
        <f t="shared" si="33"/>
        <v>43296</v>
      </c>
    </row>
    <row r="486" spans="1:23">
      <c r="A486">
        <f>IF(ISBLANK('Data Input'!A486),"",'Data Input'!A486)</f>
        <v>129</v>
      </c>
      <c r="B486" t="str">
        <f>IF(ISBLANK('Data Input'!B486),"",'Data Input'!B486)</f>
        <v>JH131</v>
      </c>
      <c r="C486" t="str">
        <f>IF(ISBLANK('Data Input'!C486),"",'Data Input'!C486)</f>
        <v>7/14/18 1345</v>
      </c>
      <c r="E486">
        <f>IF(ISBLANK('Data Input'!D486),"",'Data Input'!D486)</f>
        <v>43296</v>
      </c>
      <c r="G486">
        <f>IF(ISBLANK('Data Input'!E486),"",'Data Input'!E486)</f>
        <v>33</v>
      </c>
      <c r="H486" t="str">
        <f>IF(ISBLANK('Data Input'!F486),"",'Data Input'!F486)</f>
        <v>White</v>
      </c>
      <c r="I486" t="str">
        <f>IF(ISBLANK('Data Input'!G486),"",'Data Input'!G486)</f>
        <v>SVD</v>
      </c>
      <c r="J486" t="str">
        <f>IF(ISBLANK('Data Input'!I486),"",'Data Input'!I486)</f>
        <v>7=14=18 2021</v>
      </c>
      <c r="K486" t="str">
        <f>IF(ISBLANK('Data Input'!J486),"",'Data Input'!J486)</f>
        <v>bb - Ibuprofen</v>
      </c>
      <c r="L486">
        <f>IF(ISBLANK('Data Input'!K486),"",'Data Input'!K486)</f>
        <v>800</v>
      </c>
      <c r="M486">
        <f>IF(ISBLANK('Data Input'!L486),"",'Data Input'!L486)</f>
        <v>2</v>
      </c>
      <c r="N486">
        <f>IF(ISBLANK('Data Input'!M486),"",'Data Input'!M486)</f>
        <v>0</v>
      </c>
      <c r="O486" t="str">
        <f>IF(ISBLANK('Data Input'!N486),"",'Data Input'!N486)</f>
        <v/>
      </c>
      <c r="P486" t="str">
        <f>IF(ISBLANK('Data Input'!O486),"",'Data Input'!O486)</f>
        <v/>
      </c>
      <c r="Q486" t="str">
        <f>IF(ISBLANK('Data Input'!P486),"",'Data Input'!P486)</f>
        <v/>
      </c>
      <c r="R486" t="b">
        <f>IF(ISBLANK('Data Input'!Q486),"",'Data Input'!Q486)</f>
        <v>1</v>
      </c>
      <c r="T486" s="2">
        <f t="shared" si="30"/>
        <v>43295</v>
      </c>
      <c r="U486" s="12">
        <f t="shared" si="31"/>
        <v>0.57291666666666663</v>
      </c>
      <c r="V486" s="2">
        <f t="shared" si="32"/>
        <v>43296</v>
      </c>
      <c r="W486" s="12">
        <f t="shared" si="33"/>
        <v>43296</v>
      </c>
    </row>
    <row r="487" spans="1:23">
      <c r="A487">
        <f>IF(ISBLANK('Data Input'!A487),"",'Data Input'!A487)</f>
        <v>129</v>
      </c>
      <c r="B487" t="str">
        <f>IF(ISBLANK('Data Input'!B487),"",'Data Input'!B487)</f>
        <v>JH131</v>
      </c>
      <c r="C487" t="str">
        <f>IF(ISBLANK('Data Input'!C487),"",'Data Input'!C487)</f>
        <v>7/14/18 1345</v>
      </c>
      <c r="E487">
        <f>IF(ISBLANK('Data Input'!D487),"",'Data Input'!D487)</f>
        <v>43296</v>
      </c>
      <c r="G487">
        <f>IF(ISBLANK('Data Input'!E487),"",'Data Input'!E487)</f>
        <v>33</v>
      </c>
      <c r="H487" t="str">
        <f>IF(ISBLANK('Data Input'!F487),"",'Data Input'!F487)</f>
        <v>White</v>
      </c>
      <c r="I487" t="str">
        <f>IF(ISBLANK('Data Input'!G487),"",'Data Input'!G487)</f>
        <v>SVD</v>
      </c>
      <c r="J487" t="str">
        <f>IF(ISBLANK('Data Input'!I487),"",'Data Input'!I487)</f>
        <v>7=14=18 0457</v>
      </c>
      <c r="K487" t="str">
        <f>IF(ISBLANK('Data Input'!J487),"",'Data Input'!J487)</f>
        <v>bb - Ibuprofen</v>
      </c>
      <c r="L487">
        <f>IF(ISBLANK('Data Input'!K487),"",'Data Input'!K487)</f>
        <v>800</v>
      </c>
      <c r="M487">
        <f>IF(ISBLANK('Data Input'!L487),"",'Data Input'!L487)</f>
        <v>7</v>
      </c>
      <c r="N487">
        <f>IF(ISBLANK('Data Input'!M487),"",'Data Input'!M487)</f>
        <v>1</v>
      </c>
      <c r="O487" t="str">
        <f>IF(ISBLANK('Data Input'!N487),"",'Data Input'!N487)</f>
        <v/>
      </c>
      <c r="P487" t="str">
        <f>IF(ISBLANK('Data Input'!O487),"",'Data Input'!O487)</f>
        <v/>
      </c>
      <c r="Q487" t="str">
        <f>IF(ISBLANK('Data Input'!P487),"",'Data Input'!P487)</f>
        <v/>
      </c>
      <c r="R487" t="b">
        <f>IF(ISBLANK('Data Input'!Q487),"",'Data Input'!Q487)</f>
        <v>1</v>
      </c>
      <c r="T487" s="2">
        <f t="shared" si="30"/>
        <v>43295</v>
      </c>
      <c r="U487" s="12">
        <f t="shared" si="31"/>
        <v>0.57291666666666663</v>
      </c>
      <c r="V487" s="2">
        <f t="shared" si="32"/>
        <v>43296</v>
      </c>
      <c r="W487" s="12">
        <f t="shared" si="33"/>
        <v>43296</v>
      </c>
    </row>
    <row r="488" spans="1:23">
      <c r="A488">
        <f>IF(ISBLANK('Data Input'!A488),"",'Data Input'!A488)</f>
        <v>130</v>
      </c>
      <c r="B488" t="str">
        <f>IF(ISBLANK('Data Input'!B488),"",'Data Input'!B488)</f>
        <v>MW132</v>
      </c>
      <c r="C488" t="str">
        <f>IF(ISBLANK('Data Input'!C488),"",'Data Input'!C488)</f>
        <v>7/15/18 0515</v>
      </c>
      <c r="E488" t="str">
        <f>IF(ISBLANK('Data Input'!D488),"",'Data Input'!D488)</f>
        <v>7/16/18 0359</v>
      </c>
      <c r="G488">
        <f>IF(ISBLANK('Data Input'!E488),"",'Data Input'!E488)</f>
        <v>33</v>
      </c>
      <c r="H488" t="str">
        <f>IF(ISBLANK('Data Input'!F488),"",'Data Input'!F488)</f>
        <v>White</v>
      </c>
      <c r="I488" t="str">
        <f>IF(ISBLANK('Data Input'!G488),"",'Data Input'!G488)</f>
        <v>SVD</v>
      </c>
      <c r="J488" t="str">
        <f>IF(ISBLANK('Data Input'!I488),"",'Data Input'!I488)</f>
        <v>7=15=18 0803</v>
      </c>
      <c r="K488" t="str">
        <f>IF(ISBLANK('Data Input'!J488),"",'Data Input'!J488)</f>
        <v>bb - Ibuprofen</v>
      </c>
      <c r="L488">
        <f>IF(ISBLANK('Data Input'!K488),"",'Data Input'!K488)</f>
        <v>800</v>
      </c>
      <c r="M488">
        <f>IF(ISBLANK('Data Input'!L488),"",'Data Input'!L488)</f>
        <v>2</v>
      </c>
      <c r="N488">
        <f>IF(ISBLANK('Data Input'!M488),"",'Data Input'!M488)</f>
        <v>0</v>
      </c>
      <c r="O488" t="str">
        <f>IF(ISBLANK('Data Input'!N488),"",'Data Input'!N488)</f>
        <v/>
      </c>
      <c r="P488" t="str">
        <f>IF(ISBLANK('Data Input'!O488),"",'Data Input'!O488)</f>
        <v/>
      </c>
      <c r="Q488" t="str">
        <f>IF(ISBLANK('Data Input'!P488),"",'Data Input'!P488)</f>
        <v/>
      </c>
      <c r="R488" t="b">
        <f>IF(ISBLANK('Data Input'!Q488),"",'Data Input'!Q488)</f>
        <v>0</v>
      </c>
      <c r="T488" s="2">
        <f t="shared" si="30"/>
        <v>43296</v>
      </c>
      <c r="U488" s="12">
        <f t="shared" si="31"/>
        <v>0.21875</v>
      </c>
      <c r="V488" s="2">
        <f t="shared" si="32"/>
        <v>43297</v>
      </c>
      <c r="W488" s="12">
        <f t="shared" si="33"/>
        <v>0.16597222222222222</v>
      </c>
    </row>
    <row r="489" spans="1:23">
      <c r="A489">
        <f>IF(ISBLANK('Data Input'!A489),"",'Data Input'!A489)</f>
        <v>130</v>
      </c>
      <c r="B489" t="str">
        <f>IF(ISBLANK('Data Input'!B489),"",'Data Input'!B489)</f>
        <v>MW132</v>
      </c>
      <c r="C489" t="str">
        <f>IF(ISBLANK('Data Input'!C489),"",'Data Input'!C489)</f>
        <v>7/15/18 0515</v>
      </c>
      <c r="E489" t="str">
        <f>IF(ISBLANK('Data Input'!D489),"",'Data Input'!D489)</f>
        <v>7/16/18 0359</v>
      </c>
      <c r="G489">
        <f>IF(ISBLANK('Data Input'!E489),"",'Data Input'!E489)</f>
        <v>33</v>
      </c>
      <c r="H489" t="str">
        <f>IF(ISBLANK('Data Input'!F489),"",'Data Input'!F489)</f>
        <v>White</v>
      </c>
      <c r="I489" t="str">
        <f>IF(ISBLANK('Data Input'!G489),"",'Data Input'!G489)</f>
        <v>SVD</v>
      </c>
      <c r="J489" t="str">
        <f>IF(ISBLANK('Data Input'!I489),"",'Data Input'!I489)</f>
        <v>7=16=18 0359</v>
      </c>
      <c r="K489" t="str">
        <f>IF(ISBLANK('Data Input'!J489),"",'Data Input'!J489)</f>
        <v>bb - Ibuprofen</v>
      </c>
      <c r="L489">
        <f>IF(ISBLANK('Data Input'!K489),"",'Data Input'!K489)</f>
        <v>800</v>
      </c>
      <c r="M489">
        <f>IF(ISBLANK('Data Input'!L489),"",'Data Input'!L489)</f>
        <v>1</v>
      </c>
      <c r="N489">
        <f>IF(ISBLANK('Data Input'!M489),"",'Data Input'!M489)</f>
        <v>0</v>
      </c>
      <c r="O489" t="str">
        <f>IF(ISBLANK('Data Input'!N489),"",'Data Input'!N489)</f>
        <v/>
      </c>
      <c r="P489" t="str">
        <f>IF(ISBLANK('Data Input'!O489),"",'Data Input'!O489)</f>
        <v/>
      </c>
      <c r="Q489" t="str">
        <f>IF(ISBLANK('Data Input'!P489),"",'Data Input'!P489)</f>
        <v/>
      </c>
      <c r="R489" t="b">
        <f>IF(ISBLANK('Data Input'!Q489),"",'Data Input'!Q489)</f>
        <v>0</v>
      </c>
      <c r="T489" s="2">
        <f t="shared" si="30"/>
        <v>43296</v>
      </c>
      <c r="U489" s="12">
        <f t="shared" si="31"/>
        <v>0.21875</v>
      </c>
      <c r="V489" s="2">
        <f t="shared" si="32"/>
        <v>43297</v>
      </c>
      <c r="W489" s="12">
        <f t="shared" si="33"/>
        <v>0.16597222222222222</v>
      </c>
    </row>
    <row r="490" spans="1:23">
      <c r="A490">
        <f>IF(ISBLANK('Data Input'!A490),"",'Data Input'!A490)</f>
        <v>131</v>
      </c>
      <c r="B490" t="str">
        <f>IF(ISBLANK('Data Input'!B490),"",'Data Input'!B490)</f>
        <v>MK133</v>
      </c>
      <c r="C490" t="str">
        <f>IF(ISBLANK('Data Input'!C490),"",'Data Input'!C490)</f>
        <v>7/14/18 1100</v>
      </c>
      <c r="E490" t="str">
        <f>IF(ISBLANK('Data Input'!D490),"",'Data Input'!D490)</f>
        <v>7/15/18 0810</v>
      </c>
      <c r="G490">
        <f>IF(ISBLANK('Data Input'!E490),"",'Data Input'!E490)</f>
        <v>27</v>
      </c>
      <c r="H490" t="str">
        <f>IF(ISBLANK('Data Input'!F490),"",'Data Input'!F490)</f>
        <v>bb - Black</v>
      </c>
      <c r="I490" t="str">
        <f>IF(ISBLANK('Data Input'!G490),"",'Data Input'!G490)</f>
        <v>SVD</v>
      </c>
      <c r="J490" t="str">
        <f>IF(ISBLANK('Data Input'!I490),"",'Data Input'!I490)</f>
        <v>7=14=18 1257</v>
      </c>
      <c r="K490" t="str">
        <f>IF(ISBLANK('Data Input'!J490),"",'Data Input'!J490)</f>
        <v>tr - Toradol</v>
      </c>
      <c r="L490">
        <f>IF(ISBLANK('Data Input'!K490),"",'Data Input'!K490)</f>
        <v>30</v>
      </c>
      <c r="M490">
        <f>IF(ISBLANK('Data Input'!L490),"",'Data Input'!L490)</f>
        <v>5</v>
      </c>
      <c r="N490">
        <f>IF(ISBLANK('Data Input'!M490),"",'Data Input'!M490)</f>
        <v>2</v>
      </c>
      <c r="O490" t="str">
        <f>IF(ISBLANK('Data Input'!N490),"",'Data Input'!N490)</f>
        <v/>
      </c>
      <c r="P490" t="str">
        <f>IF(ISBLANK('Data Input'!O490),"",'Data Input'!O490)</f>
        <v/>
      </c>
      <c r="Q490" t="str">
        <f>IF(ISBLANK('Data Input'!P490),"",'Data Input'!P490)</f>
        <v/>
      </c>
      <c r="R490" t="b">
        <f>IF(ISBLANK('Data Input'!Q490),"",'Data Input'!Q490)</f>
        <v>1</v>
      </c>
      <c r="T490" s="2">
        <f t="shared" si="30"/>
        <v>43295</v>
      </c>
      <c r="U490" s="12">
        <f t="shared" si="31"/>
        <v>0.45833333333333331</v>
      </c>
      <c r="V490" s="2">
        <f t="shared" si="32"/>
        <v>43296</v>
      </c>
      <c r="W490" s="12">
        <f t="shared" si="33"/>
        <v>0.34027777777777773</v>
      </c>
    </row>
    <row r="491" spans="1:23">
      <c r="A491">
        <f>IF(ISBLANK('Data Input'!A491),"",'Data Input'!A491)</f>
        <v>131</v>
      </c>
      <c r="B491" t="str">
        <f>IF(ISBLANK('Data Input'!B491),"",'Data Input'!B491)</f>
        <v>MK133</v>
      </c>
      <c r="C491" t="str">
        <f>IF(ISBLANK('Data Input'!C491),"",'Data Input'!C491)</f>
        <v>7/14/18 1100</v>
      </c>
      <c r="E491" t="str">
        <f>IF(ISBLANK('Data Input'!D491),"",'Data Input'!D491)</f>
        <v>7/15/18 0810</v>
      </c>
      <c r="G491">
        <f>IF(ISBLANK('Data Input'!E491),"",'Data Input'!E491)</f>
        <v>27</v>
      </c>
      <c r="H491" t="str">
        <f>IF(ISBLANK('Data Input'!F491),"",'Data Input'!F491)</f>
        <v>bb - Black</v>
      </c>
      <c r="I491" t="str">
        <f>IF(ISBLANK('Data Input'!G491),"",'Data Input'!G491)</f>
        <v>SVD</v>
      </c>
      <c r="J491" t="str">
        <f>IF(ISBLANK('Data Input'!I491),"",'Data Input'!I491)</f>
        <v>7=14=18 1257</v>
      </c>
      <c r="K491" t="str">
        <f>IF(ISBLANK('Data Input'!J491),"",'Data Input'!J491)</f>
        <v>rr - Percocet</v>
      </c>
      <c r="L491">
        <f>IF(ISBLANK('Data Input'!K491),"",'Data Input'!K491)</f>
        <v>1</v>
      </c>
      <c r="M491">
        <f>IF(ISBLANK('Data Input'!L491),"",'Data Input'!L491)</f>
        <v>5</v>
      </c>
      <c r="N491">
        <f>IF(ISBLANK('Data Input'!M491),"",'Data Input'!M491)</f>
        <v>2</v>
      </c>
      <c r="O491" t="str">
        <f>IF(ISBLANK('Data Input'!N491),"",'Data Input'!N491)</f>
        <v/>
      </c>
      <c r="P491" t="str">
        <f>IF(ISBLANK('Data Input'!O491),"",'Data Input'!O491)</f>
        <v/>
      </c>
      <c r="Q491" t="str">
        <f>IF(ISBLANK('Data Input'!P491),"",'Data Input'!P491)</f>
        <v/>
      </c>
      <c r="R491" t="b">
        <f>IF(ISBLANK('Data Input'!Q491),"",'Data Input'!Q491)</f>
        <v>1</v>
      </c>
      <c r="T491" s="2">
        <f t="shared" si="30"/>
        <v>43295</v>
      </c>
      <c r="U491" s="12">
        <f t="shared" si="31"/>
        <v>0.45833333333333331</v>
      </c>
      <c r="V491" s="2">
        <f t="shared" si="32"/>
        <v>43296</v>
      </c>
      <c r="W491" s="12">
        <f t="shared" si="33"/>
        <v>0.34027777777777773</v>
      </c>
    </row>
    <row r="492" spans="1:23">
      <c r="A492">
        <f>IF(ISBLANK('Data Input'!A492),"",'Data Input'!A492)</f>
        <v>131</v>
      </c>
      <c r="B492" t="str">
        <f>IF(ISBLANK('Data Input'!B492),"",'Data Input'!B492)</f>
        <v>MK133</v>
      </c>
      <c r="C492" t="str">
        <f>IF(ISBLANK('Data Input'!C492),"",'Data Input'!C492)</f>
        <v>7/14/18 1100</v>
      </c>
      <c r="E492" t="str">
        <f>IF(ISBLANK('Data Input'!D492),"",'Data Input'!D492)</f>
        <v>7/15/18 0810</v>
      </c>
      <c r="G492">
        <f>IF(ISBLANK('Data Input'!E492),"",'Data Input'!E492)</f>
        <v>27</v>
      </c>
      <c r="H492" t="str">
        <f>IF(ISBLANK('Data Input'!F492),"",'Data Input'!F492)</f>
        <v>bb - Black</v>
      </c>
      <c r="I492" t="str">
        <f>IF(ISBLANK('Data Input'!G492),"",'Data Input'!G492)</f>
        <v>SVD</v>
      </c>
      <c r="J492" t="str">
        <f>IF(ISBLANK('Data Input'!I492),"",'Data Input'!I492)</f>
        <v>7=14=18 1715</v>
      </c>
      <c r="K492" t="str">
        <f>IF(ISBLANK('Data Input'!J492),"",'Data Input'!J492)</f>
        <v>rr - Percocet</v>
      </c>
      <c r="L492">
        <f>IF(ISBLANK('Data Input'!K492),"",'Data Input'!K492)</f>
        <v>1</v>
      </c>
      <c r="M492">
        <f>IF(ISBLANK('Data Input'!L492),"",'Data Input'!L492)</f>
        <v>5</v>
      </c>
      <c r="N492">
        <f>IF(ISBLANK('Data Input'!M492),"",'Data Input'!M492)</f>
        <v>5</v>
      </c>
      <c r="O492" t="str">
        <f>IF(ISBLANK('Data Input'!N492),"",'Data Input'!N492)</f>
        <v/>
      </c>
      <c r="P492" t="str">
        <f>IF(ISBLANK('Data Input'!O492),"",'Data Input'!O492)</f>
        <v/>
      </c>
      <c r="Q492" t="str">
        <f>IF(ISBLANK('Data Input'!P492),"",'Data Input'!P492)</f>
        <v/>
      </c>
      <c r="R492" t="b">
        <f>IF(ISBLANK('Data Input'!Q492),"",'Data Input'!Q492)</f>
        <v>1</v>
      </c>
      <c r="T492" s="2">
        <f t="shared" si="30"/>
        <v>43295</v>
      </c>
      <c r="U492" s="12">
        <f t="shared" si="31"/>
        <v>0.45833333333333331</v>
      </c>
      <c r="V492" s="2">
        <f t="shared" si="32"/>
        <v>43296</v>
      </c>
      <c r="W492" s="12">
        <f t="shared" si="33"/>
        <v>0.34027777777777773</v>
      </c>
    </row>
    <row r="493" spans="1:23">
      <c r="A493">
        <f>IF(ISBLANK('Data Input'!A493),"",'Data Input'!A493)</f>
        <v>131</v>
      </c>
      <c r="B493" t="str">
        <f>IF(ISBLANK('Data Input'!B493),"",'Data Input'!B493)</f>
        <v>MK133</v>
      </c>
      <c r="C493" t="str">
        <f>IF(ISBLANK('Data Input'!C493),"",'Data Input'!C493)</f>
        <v>7/14/18 1100</v>
      </c>
      <c r="E493" t="str">
        <f>IF(ISBLANK('Data Input'!D493),"",'Data Input'!D493)</f>
        <v>7/15/18 0810</v>
      </c>
      <c r="G493">
        <f>IF(ISBLANK('Data Input'!E493),"",'Data Input'!E493)</f>
        <v>27</v>
      </c>
      <c r="H493" t="str">
        <f>IF(ISBLANK('Data Input'!F493),"",'Data Input'!F493)</f>
        <v>bb - Black</v>
      </c>
      <c r="I493" t="str">
        <f>IF(ISBLANK('Data Input'!G493),"",'Data Input'!G493)</f>
        <v>SVD</v>
      </c>
      <c r="J493" t="str">
        <f>IF(ISBLANK('Data Input'!I493),"",'Data Input'!I493)</f>
        <v>7=14=18 1843</v>
      </c>
      <c r="K493" t="str">
        <f>IF(ISBLANK('Data Input'!J493),"",'Data Input'!J493)</f>
        <v>bb - Ibuprofen</v>
      </c>
      <c r="L493">
        <f>IF(ISBLANK('Data Input'!K493),"",'Data Input'!K493)</f>
        <v>800</v>
      </c>
      <c r="M493">
        <f>IF(ISBLANK('Data Input'!L493),"",'Data Input'!L493)</f>
        <v>5</v>
      </c>
      <c r="N493">
        <f>IF(ISBLANK('Data Input'!M493),"",'Data Input'!M493)</f>
        <v>0</v>
      </c>
      <c r="O493" t="str">
        <f>IF(ISBLANK('Data Input'!N493),"",'Data Input'!N493)</f>
        <v/>
      </c>
      <c r="P493" t="str">
        <f>IF(ISBLANK('Data Input'!O493),"",'Data Input'!O493)</f>
        <v/>
      </c>
      <c r="Q493" t="str">
        <f>IF(ISBLANK('Data Input'!P493),"",'Data Input'!P493)</f>
        <v/>
      </c>
      <c r="R493" t="b">
        <f>IF(ISBLANK('Data Input'!Q493),"",'Data Input'!Q493)</f>
        <v>1</v>
      </c>
      <c r="T493" s="2">
        <f t="shared" si="30"/>
        <v>43295</v>
      </c>
      <c r="U493" s="12">
        <f t="shared" si="31"/>
        <v>0.45833333333333331</v>
      </c>
      <c r="V493" s="2">
        <f t="shared" si="32"/>
        <v>43296</v>
      </c>
      <c r="W493" s="12">
        <f t="shared" si="33"/>
        <v>0.34027777777777773</v>
      </c>
    </row>
    <row r="494" spans="1:23">
      <c r="A494">
        <f>IF(ISBLANK('Data Input'!A494),"",'Data Input'!A494)</f>
        <v>131</v>
      </c>
      <c r="B494" t="str">
        <f>IF(ISBLANK('Data Input'!B494),"",'Data Input'!B494)</f>
        <v>MK133</v>
      </c>
      <c r="C494" t="str">
        <f>IF(ISBLANK('Data Input'!C494),"",'Data Input'!C494)</f>
        <v>7/14/18 1100</v>
      </c>
      <c r="E494" t="str">
        <f>IF(ISBLANK('Data Input'!D494),"",'Data Input'!D494)</f>
        <v>7/15/18 0810</v>
      </c>
      <c r="G494">
        <f>IF(ISBLANK('Data Input'!E494),"",'Data Input'!E494)</f>
        <v>27</v>
      </c>
      <c r="H494" t="str">
        <f>IF(ISBLANK('Data Input'!F494),"",'Data Input'!F494)</f>
        <v>bb - Black</v>
      </c>
      <c r="I494" t="str">
        <f>IF(ISBLANK('Data Input'!G494),"",'Data Input'!G494)</f>
        <v>SVD</v>
      </c>
      <c r="J494" t="str">
        <f>IF(ISBLANK('Data Input'!I494),"",'Data Input'!I494)</f>
        <v>7=15=18 0030</v>
      </c>
      <c r="K494" t="str">
        <f>IF(ISBLANK('Data Input'!J494),"",'Data Input'!J494)</f>
        <v>bb - Ibuprofen</v>
      </c>
      <c r="L494">
        <f>IF(ISBLANK('Data Input'!K494),"",'Data Input'!K494)</f>
        <v>800</v>
      </c>
      <c r="M494">
        <f>IF(ISBLANK('Data Input'!L494),"",'Data Input'!L494)</f>
        <v>1</v>
      </c>
      <c r="N494">
        <f>IF(ISBLANK('Data Input'!M494),"",'Data Input'!M494)</f>
        <v>0</v>
      </c>
      <c r="O494" t="str">
        <f>IF(ISBLANK('Data Input'!N494),"",'Data Input'!N494)</f>
        <v/>
      </c>
      <c r="P494" t="str">
        <f>IF(ISBLANK('Data Input'!O494),"",'Data Input'!O494)</f>
        <v/>
      </c>
      <c r="Q494" t="str">
        <f>IF(ISBLANK('Data Input'!P494),"",'Data Input'!P494)</f>
        <v/>
      </c>
      <c r="R494" t="b">
        <f>IF(ISBLANK('Data Input'!Q494),"",'Data Input'!Q494)</f>
        <v>1</v>
      </c>
      <c r="T494" s="2">
        <f t="shared" si="30"/>
        <v>43295</v>
      </c>
      <c r="U494" s="12">
        <f t="shared" si="31"/>
        <v>0.45833333333333331</v>
      </c>
      <c r="V494" s="2">
        <f t="shared" si="32"/>
        <v>43296</v>
      </c>
      <c r="W494" s="12">
        <f t="shared" si="33"/>
        <v>0.34027777777777773</v>
      </c>
    </row>
    <row r="495" spans="1:23">
      <c r="A495">
        <f>IF(ISBLANK('Data Input'!A495),"",'Data Input'!A495)</f>
        <v>131</v>
      </c>
      <c r="B495" t="str">
        <f>IF(ISBLANK('Data Input'!B495),"",'Data Input'!B495)</f>
        <v>MK133</v>
      </c>
      <c r="C495" t="str">
        <f>IF(ISBLANK('Data Input'!C495),"",'Data Input'!C495)</f>
        <v>7/14/18 1100</v>
      </c>
      <c r="E495" t="str">
        <f>IF(ISBLANK('Data Input'!D495),"",'Data Input'!D495)</f>
        <v>7/15/18 0810</v>
      </c>
      <c r="G495">
        <f>IF(ISBLANK('Data Input'!E495),"",'Data Input'!E495)</f>
        <v>27</v>
      </c>
      <c r="H495" t="str">
        <f>IF(ISBLANK('Data Input'!F495),"",'Data Input'!F495)</f>
        <v>bb - Black</v>
      </c>
      <c r="I495" t="str">
        <f>IF(ISBLANK('Data Input'!G495),"",'Data Input'!G495)</f>
        <v>SVD</v>
      </c>
      <c r="J495" t="str">
        <f>IF(ISBLANK('Data Input'!I495),"",'Data Input'!I495)</f>
        <v>7=15=18 0030</v>
      </c>
      <c r="K495" t="str">
        <f>IF(ISBLANK('Data Input'!J495),"",'Data Input'!J495)</f>
        <v>rr - Percocet</v>
      </c>
      <c r="L495">
        <f>IF(ISBLANK('Data Input'!K495),"",'Data Input'!K495)</f>
        <v>1</v>
      </c>
      <c r="M495">
        <f>IF(ISBLANK('Data Input'!L495),"",'Data Input'!L495)</f>
        <v>1</v>
      </c>
      <c r="N495">
        <f>IF(ISBLANK('Data Input'!M495),"",'Data Input'!M495)</f>
        <v>0</v>
      </c>
      <c r="O495" t="str">
        <f>IF(ISBLANK('Data Input'!N495),"",'Data Input'!N495)</f>
        <v/>
      </c>
      <c r="P495" t="str">
        <f>IF(ISBLANK('Data Input'!O495),"",'Data Input'!O495)</f>
        <v/>
      </c>
      <c r="Q495" t="str">
        <f>IF(ISBLANK('Data Input'!P495),"",'Data Input'!P495)</f>
        <v/>
      </c>
      <c r="R495" t="b">
        <f>IF(ISBLANK('Data Input'!Q495),"",'Data Input'!Q495)</f>
        <v>1</v>
      </c>
      <c r="T495" s="2">
        <f t="shared" si="30"/>
        <v>43295</v>
      </c>
      <c r="U495" s="12">
        <f t="shared" si="31"/>
        <v>0.45833333333333331</v>
      </c>
      <c r="V495" s="2">
        <f t="shared" si="32"/>
        <v>43296</v>
      </c>
      <c r="W495" s="12">
        <f t="shared" si="33"/>
        <v>0.34027777777777773</v>
      </c>
    </row>
    <row r="496" spans="1:23">
      <c r="A496">
        <f>IF(ISBLANK('Data Input'!A496),"",'Data Input'!A496)</f>
        <v>131</v>
      </c>
      <c r="B496" t="str">
        <f>IF(ISBLANK('Data Input'!B496),"",'Data Input'!B496)</f>
        <v>MK133</v>
      </c>
      <c r="C496" t="str">
        <f>IF(ISBLANK('Data Input'!C496),"",'Data Input'!C496)</f>
        <v>7/14/18 1100</v>
      </c>
      <c r="E496" t="str">
        <f>IF(ISBLANK('Data Input'!D496),"",'Data Input'!D496)</f>
        <v>7/15/18 0810</v>
      </c>
      <c r="G496">
        <f>IF(ISBLANK('Data Input'!E496),"",'Data Input'!E496)</f>
        <v>27</v>
      </c>
      <c r="H496" t="str">
        <f>IF(ISBLANK('Data Input'!F496),"",'Data Input'!F496)</f>
        <v>bb - Black</v>
      </c>
      <c r="I496" t="str">
        <f>IF(ISBLANK('Data Input'!G496),"",'Data Input'!G496)</f>
        <v>SVD</v>
      </c>
      <c r="J496" t="str">
        <f>IF(ISBLANK('Data Input'!I496),"",'Data Input'!I496)</f>
        <v>7=15=18 0810</v>
      </c>
      <c r="K496" t="str">
        <f>IF(ISBLANK('Data Input'!J496),"",'Data Input'!J496)</f>
        <v>bb - Ibuprofen</v>
      </c>
      <c r="L496">
        <f>IF(ISBLANK('Data Input'!K496),"",'Data Input'!K496)</f>
        <v>800</v>
      </c>
      <c r="M496">
        <f>IF(ISBLANK('Data Input'!L496),"",'Data Input'!L496)</f>
        <v>5</v>
      </c>
      <c r="N496">
        <f>IF(ISBLANK('Data Input'!M496),"",'Data Input'!M496)</f>
        <v>4</v>
      </c>
      <c r="O496" t="str">
        <f>IF(ISBLANK('Data Input'!N496),"",'Data Input'!N496)</f>
        <v/>
      </c>
      <c r="P496" t="str">
        <f>IF(ISBLANK('Data Input'!O496),"",'Data Input'!O496)</f>
        <v/>
      </c>
      <c r="Q496" t="str">
        <f>IF(ISBLANK('Data Input'!P496),"",'Data Input'!P496)</f>
        <v/>
      </c>
      <c r="R496" t="b">
        <f>IF(ISBLANK('Data Input'!Q496),"",'Data Input'!Q496)</f>
        <v>1</v>
      </c>
      <c r="T496" s="2">
        <f t="shared" si="30"/>
        <v>43295</v>
      </c>
      <c r="U496" s="12">
        <f t="shared" si="31"/>
        <v>0.45833333333333331</v>
      </c>
      <c r="V496" s="2">
        <f t="shared" si="32"/>
        <v>43296</v>
      </c>
      <c r="W496" s="12">
        <f t="shared" si="33"/>
        <v>0.34027777777777773</v>
      </c>
    </row>
    <row r="497" spans="1:23">
      <c r="A497">
        <f>IF(ISBLANK('Data Input'!A497),"",'Data Input'!A497)</f>
        <v>131</v>
      </c>
      <c r="B497" t="str">
        <f>IF(ISBLANK('Data Input'!B497),"",'Data Input'!B497)</f>
        <v>MK133</v>
      </c>
      <c r="C497" t="str">
        <f>IF(ISBLANK('Data Input'!C497),"",'Data Input'!C497)</f>
        <v>7/14/18 1100</v>
      </c>
      <c r="E497" t="str">
        <f>IF(ISBLANK('Data Input'!D497),"",'Data Input'!D497)</f>
        <v>7/15/18 0810</v>
      </c>
      <c r="G497">
        <f>IF(ISBLANK('Data Input'!E497),"",'Data Input'!E497)</f>
        <v>27</v>
      </c>
      <c r="H497" t="str">
        <f>IF(ISBLANK('Data Input'!F497),"",'Data Input'!F497)</f>
        <v>bb - Black</v>
      </c>
      <c r="I497" t="str">
        <f>IF(ISBLANK('Data Input'!G497),"",'Data Input'!G497)</f>
        <v>SVD</v>
      </c>
      <c r="J497" t="str">
        <f>IF(ISBLANK('Data Input'!I497),"",'Data Input'!I497)</f>
        <v>7=15=18 0030</v>
      </c>
      <c r="K497" t="str">
        <f>IF(ISBLANK('Data Input'!J497),"",'Data Input'!J497)</f>
        <v>rr - Percocet</v>
      </c>
      <c r="L497">
        <f>IF(ISBLANK('Data Input'!K497),"",'Data Input'!K497)</f>
        <v>1</v>
      </c>
      <c r="M497">
        <f>IF(ISBLANK('Data Input'!L497),"",'Data Input'!L497)</f>
        <v>5</v>
      </c>
      <c r="N497">
        <f>IF(ISBLANK('Data Input'!M497),"",'Data Input'!M497)</f>
        <v>4</v>
      </c>
      <c r="O497" t="str">
        <f>IF(ISBLANK('Data Input'!N497),"",'Data Input'!N497)</f>
        <v/>
      </c>
      <c r="P497" t="str">
        <f>IF(ISBLANK('Data Input'!O497),"",'Data Input'!O497)</f>
        <v/>
      </c>
      <c r="Q497" t="str">
        <f>IF(ISBLANK('Data Input'!P497),"",'Data Input'!P497)</f>
        <v/>
      </c>
      <c r="R497" t="b">
        <f>IF(ISBLANK('Data Input'!Q497),"",'Data Input'!Q497)</f>
        <v>1</v>
      </c>
      <c r="T497" s="2">
        <f t="shared" si="30"/>
        <v>43295</v>
      </c>
      <c r="U497" s="12">
        <f t="shared" si="31"/>
        <v>0.45833333333333331</v>
      </c>
      <c r="V497" s="2">
        <f t="shared" si="32"/>
        <v>43296</v>
      </c>
      <c r="W497" s="12">
        <f t="shared" si="33"/>
        <v>0.34027777777777773</v>
      </c>
    </row>
    <row r="498" spans="1:23">
      <c r="A498">
        <f>IF(ISBLANK('Data Input'!A498),"",'Data Input'!A498)</f>
        <v>132</v>
      </c>
      <c r="B498" t="str">
        <f>IF(ISBLANK('Data Input'!B498),"",'Data Input'!B498)</f>
        <v>CJ134</v>
      </c>
      <c r="C498" t="str">
        <f>IF(ISBLANK('Data Input'!C498),"",'Data Input'!C498)</f>
        <v>7/16/18 1035</v>
      </c>
      <c r="E498">
        <f>IF(ISBLANK('Data Input'!D498),"",'Data Input'!D498)</f>
        <v>43295</v>
      </c>
      <c r="G498">
        <f>IF(ISBLANK('Data Input'!E498),"",'Data Input'!E498)</f>
        <v>25</v>
      </c>
      <c r="H498" t="str">
        <f>IF(ISBLANK('Data Input'!F498),"",'Data Input'!F498)</f>
        <v>bb - Black</v>
      </c>
      <c r="I498" t="str">
        <f>IF(ISBLANK('Data Input'!G498),"",'Data Input'!G498)</f>
        <v>SVD</v>
      </c>
      <c r="J498" t="str">
        <f>IF(ISBLANK('Data Input'!I498),"",'Data Input'!I498)</f>
        <v>7=13=18 1054</v>
      </c>
      <c r="K498" t="str">
        <f>IF(ISBLANK('Data Input'!J498),"",'Data Input'!J498)</f>
        <v>bb - Ibuprofen</v>
      </c>
      <c r="L498">
        <f>IF(ISBLANK('Data Input'!K498),"",'Data Input'!K498)</f>
        <v>800</v>
      </c>
      <c r="M498">
        <f>IF(ISBLANK('Data Input'!L498),"",'Data Input'!L498)</f>
        <v>4</v>
      </c>
      <c r="N498">
        <f>IF(ISBLANK('Data Input'!M498),"",'Data Input'!M498)</f>
        <v>2</v>
      </c>
      <c r="O498" t="str">
        <f>IF(ISBLANK('Data Input'!N498),"",'Data Input'!N498)</f>
        <v/>
      </c>
      <c r="P498" t="str">
        <f>IF(ISBLANK('Data Input'!O498),"",'Data Input'!O498)</f>
        <v/>
      </c>
      <c r="Q498" t="str">
        <f>IF(ISBLANK('Data Input'!P498),"",'Data Input'!P498)</f>
        <v/>
      </c>
      <c r="R498" t="b">
        <f>IF(ISBLANK('Data Input'!Q498),"",'Data Input'!Q498)</f>
        <v>0</v>
      </c>
      <c r="T498" s="2">
        <f t="shared" si="30"/>
        <v>43297</v>
      </c>
      <c r="U498" s="12">
        <f t="shared" si="31"/>
        <v>0.44097222222222227</v>
      </c>
      <c r="V498" s="2">
        <f t="shared" si="32"/>
        <v>43295</v>
      </c>
      <c r="W498" s="12">
        <f t="shared" si="33"/>
        <v>43295</v>
      </c>
    </row>
    <row r="499" spans="1:23">
      <c r="A499">
        <f>IF(ISBLANK('Data Input'!A499),"",'Data Input'!A499)</f>
        <v>132</v>
      </c>
      <c r="B499" t="str">
        <f>IF(ISBLANK('Data Input'!B499),"",'Data Input'!B499)</f>
        <v>CJ134</v>
      </c>
      <c r="C499" t="str">
        <f>IF(ISBLANK('Data Input'!C499),"",'Data Input'!C499)</f>
        <v>7/16/18 1035</v>
      </c>
      <c r="E499">
        <f>IF(ISBLANK('Data Input'!D499),"",'Data Input'!D499)</f>
        <v>43295</v>
      </c>
      <c r="G499">
        <f>IF(ISBLANK('Data Input'!E499),"",'Data Input'!E499)</f>
        <v>25</v>
      </c>
      <c r="H499" t="str">
        <f>IF(ISBLANK('Data Input'!F499),"",'Data Input'!F499)</f>
        <v>bb - Black</v>
      </c>
      <c r="I499" t="str">
        <f>IF(ISBLANK('Data Input'!G499),"",'Data Input'!G499)</f>
        <v>SVD</v>
      </c>
      <c r="J499" t="str">
        <f>IF(ISBLANK('Data Input'!I499),"",'Data Input'!I499)</f>
        <v>7=13=18 1559</v>
      </c>
      <c r="K499" t="str">
        <f>IF(ISBLANK('Data Input'!J499),"",'Data Input'!J499)</f>
        <v>rr - Percocet</v>
      </c>
      <c r="L499">
        <f>IF(ISBLANK('Data Input'!K499),"",'Data Input'!K499)</f>
        <v>1</v>
      </c>
      <c r="M499">
        <f>IF(ISBLANK('Data Input'!L499),"",'Data Input'!L499)</f>
        <v>4</v>
      </c>
      <c r="N499">
        <f>IF(ISBLANK('Data Input'!M499),"",'Data Input'!M499)</f>
        <v>2</v>
      </c>
      <c r="O499" t="str">
        <f>IF(ISBLANK('Data Input'!N499),"",'Data Input'!N499)</f>
        <v/>
      </c>
      <c r="P499" t="str">
        <f>IF(ISBLANK('Data Input'!O499),"",'Data Input'!O499)</f>
        <v/>
      </c>
      <c r="Q499" t="str">
        <f>IF(ISBLANK('Data Input'!P499),"",'Data Input'!P499)</f>
        <v/>
      </c>
      <c r="R499" t="b">
        <f>IF(ISBLANK('Data Input'!Q499),"",'Data Input'!Q499)</f>
        <v>0</v>
      </c>
      <c r="T499" s="2">
        <f t="shared" si="30"/>
        <v>43297</v>
      </c>
      <c r="U499" s="12">
        <f t="shared" si="31"/>
        <v>0.44097222222222227</v>
      </c>
      <c r="V499" s="2">
        <f t="shared" si="32"/>
        <v>43295</v>
      </c>
      <c r="W499" s="12">
        <f t="shared" si="33"/>
        <v>43295</v>
      </c>
    </row>
    <row r="500" spans="1:23">
      <c r="A500">
        <f>IF(ISBLANK('Data Input'!A500),"",'Data Input'!A500)</f>
        <v>132</v>
      </c>
      <c r="B500" t="str">
        <f>IF(ISBLANK('Data Input'!B500),"",'Data Input'!B500)</f>
        <v>CJ134</v>
      </c>
      <c r="C500" t="str">
        <f>IF(ISBLANK('Data Input'!C500),"",'Data Input'!C500)</f>
        <v>7/16/18 1035</v>
      </c>
      <c r="E500">
        <f>IF(ISBLANK('Data Input'!D500),"",'Data Input'!D500)</f>
        <v>43295</v>
      </c>
      <c r="G500">
        <f>IF(ISBLANK('Data Input'!E500),"",'Data Input'!E500)</f>
        <v>25</v>
      </c>
      <c r="H500" t="str">
        <f>IF(ISBLANK('Data Input'!F500),"",'Data Input'!F500)</f>
        <v>bb - Black</v>
      </c>
      <c r="I500" t="str">
        <f>IF(ISBLANK('Data Input'!G500),"",'Data Input'!G500)</f>
        <v>SVD</v>
      </c>
      <c r="J500" t="str">
        <f>IF(ISBLANK('Data Input'!I500),"",'Data Input'!I500)</f>
        <v>7=13=18 2214</v>
      </c>
      <c r="K500" t="str">
        <f>IF(ISBLANK('Data Input'!J500),"",'Data Input'!J500)</f>
        <v>bb - Ibuprofen</v>
      </c>
      <c r="L500">
        <f>IF(ISBLANK('Data Input'!K500),"",'Data Input'!K500)</f>
        <v>800</v>
      </c>
      <c r="M500">
        <f>IF(ISBLANK('Data Input'!L500),"",'Data Input'!L500)</f>
        <v>7</v>
      </c>
      <c r="N500">
        <f>IF(ISBLANK('Data Input'!M500),"",'Data Input'!M500)</f>
        <v>2</v>
      </c>
      <c r="O500" t="str">
        <f>IF(ISBLANK('Data Input'!N500),"",'Data Input'!N500)</f>
        <v/>
      </c>
      <c r="P500" t="str">
        <f>IF(ISBLANK('Data Input'!O500),"",'Data Input'!O500)</f>
        <v/>
      </c>
      <c r="Q500" t="str">
        <f>IF(ISBLANK('Data Input'!P500),"",'Data Input'!P500)</f>
        <v/>
      </c>
      <c r="R500" t="b">
        <f>IF(ISBLANK('Data Input'!Q500),"",'Data Input'!Q500)</f>
        <v>0</v>
      </c>
      <c r="T500" s="2">
        <f t="shared" si="30"/>
        <v>43297</v>
      </c>
      <c r="U500" s="12">
        <f t="shared" si="31"/>
        <v>0.44097222222222227</v>
      </c>
      <c r="V500" s="2">
        <f t="shared" si="32"/>
        <v>43295</v>
      </c>
      <c r="W500" s="12">
        <f t="shared" si="33"/>
        <v>43295</v>
      </c>
    </row>
    <row r="501" spans="1:23">
      <c r="A501">
        <f>IF(ISBLANK('Data Input'!A501),"",'Data Input'!A501)</f>
        <v>132</v>
      </c>
      <c r="B501" t="str">
        <f>IF(ISBLANK('Data Input'!B501),"",'Data Input'!B501)</f>
        <v>CJ134</v>
      </c>
      <c r="C501" t="str">
        <f>IF(ISBLANK('Data Input'!C501),"",'Data Input'!C501)</f>
        <v>7/16/18 1035</v>
      </c>
      <c r="E501">
        <f>IF(ISBLANK('Data Input'!D501),"",'Data Input'!D501)</f>
        <v>43295</v>
      </c>
      <c r="G501">
        <f>IF(ISBLANK('Data Input'!E501),"",'Data Input'!E501)</f>
        <v>25</v>
      </c>
      <c r="H501" t="str">
        <f>IF(ISBLANK('Data Input'!F501),"",'Data Input'!F501)</f>
        <v>bb - Black</v>
      </c>
      <c r="I501" t="str">
        <f>IF(ISBLANK('Data Input'!G501),"",'Data Input'!G501)</f>
        <v>SVD</v>
      </c>
      <c r="J501" t="str">
        <f>IF(ISBLANK('Data Input'!I501),"",'Data Input'!I501)</f>
        <v>7=13=18 2214</v>
      </c>
      <c r="K501" t="str">
        <f>IF(ISBLANK('Data Input'!J501),"",'Data Input'!J501)</f>
        <v>rr - Percocet</v>
      </c>
      <c r="L501">
        <f>IF(ISBLANK('Data Input'!K501),"",'Data Input'!K501)</f>
        <v>1</v>
      </c>
      <c r="M501">
        <f>IF(ISBLANK('Data Input'!L501),"",'Data Input'!L501)</f>
        <v>7</v>
      </c>
      <c r="N501">
        <f>IF(ISBLANK('Data Input'!M501),"",'Data Input'!M501)</f>
        <v>2</v>
      </c>
      <c r="O501" t="str">
        <f>IF(ISBLANK('Data Input'!N501),"",'Data Input'!N501)</f>
        <v/>
      </c>
      <c r="P501" t="str">
        <f>IF(ISBLANK('Data Input'!O501),"",'Data Input'!O501)</f>
        <v/>
      </c>
      <c r="Q501" t="str">
        <f>IF(ISBLANK('Data Input'!P501),"",'Data Input'!P501)</f>
        <v/>
      </c>
      <c r="R501" t="b">
        <f>IF(ISBLANK('Data Input'!Q501),"",'Data Input'!Q501)</f>
        <v>0</v>
      </c>
      <c r="T501" s="2">
        <f t="shared" si="30"/>
        <v>43297</v>
      </c>
      <c r="U501" s="12">
        <f t="shared" si="31"/>
        <v>0.44097222222222227</v>
      </c>
      <c r="V501" s="2">
        <f t="shared" si="32"/>
        <v>43295</v>
      </c>
      <c r="W501" s="12">
        <f t="shared" si="33"/>
        <v>43295</v>
      </c>
    </row>
    <row r="502" spans="1:23">
      <c r="A502">
        <f>IF(ISBLANK('Data Input'!A502),"",'Data Input'!A502)</f>
        <v>132</v>
      </c>
      <c r="B502" t="str">
        <f>IF(ISBLANK('Data Input'!B502),"",'Data Input'!B502)</f>
        <v>CJ134</v>
      </c>
      <c r="C502" t="str">
        <f>IF(ISBLANK('Data Input'!C502),"",'Data Input'!C502)</f>
        <v>7/16/18 1035</v>
      </c>
      <c r="E502">
        <f>IF(ISBLANK('Data Input'!D502),"",'Data Input'!D502)</f>
        <v>43295</v>
      </c>
      <c r="G502">
        <f>IF(ISBLANK('Data Input'!E502),"",'Data Input'!E502)</f>
        <v>25</v>
      </c>
      <c r="H502" t="str">
        <f>IF(ISBLANK('Data Input'!F502),"",'Data Input'!F502)</f>
        <v>bb - Black</v>
      </c>
      <c r="I502" t="str">
        <f>IF(ISBLANK('Data Input'!G502),"",'Data Input'!G502)</f>
        <v>SVD</v>
      </c>
      <c r="J502" t="str">
        <f>IF(ISBLANK('Data Input'!I502),"",'Data Input'!I502)</f>
        <v>7=14=18 0527</v>
      </c>
      <c r="K502" t="str">
        <f>IF(ISBLANK('Data Input'!J502),"",'Data Input'!J502)</f>
        <v>bb - Ibuprofen</v>
      </c>
      <c r="L502">
        <f>IF(ISBLANK('Data Input'!K502),"",'Data Input'!K502)</f>
        <v>800</v>
      </c>
      <c r="M502">
        <f>IF(ISBLANK('Data Input'!L502),"",'Data Input'!L502)</f>
        <v>6</v>
      </c>
      <c r="N502">
        <f>IF(ISBLANK('Data Input'!M502),"",'Data Input'!M502)</f>
        <v>2</v>
      </c>
      <c r="O502" t="str">
        <f>IF(ISBLANK('Data Input'!N502),"",'Data Input'!N502)</f>
        <v/>
      </c>
      <c r="P502" t="str">
        <f>IF(ISBLANK('Data Input'!O502),"",'Data Input'!O502)</f>
        <v/>
      </c>
      <c r="Q502" t="str">
        <f>IF(ISBLANK('Data Input'!P502),"",'Data Input'!P502)</f>
        <v/>
      </c>
      <c r="R502" t="b">
        <f>IF(ISBLANK('Data Input'!Q502),"",'Data Input'!Q502)</f>
        <v>0</v>
      </c>
      <c r="T502" s="2">
        <f t="shared" si="30"/>
        <v>43297</v>
      </c>
      <c r="U502" s="12">
        <f t="shared" si="31"/>
        <v>0.44097222222222227</v>
      </c>
      <c r="V502" s="2">
        <f t="shared" si="32"/>
        <v>43295</v>
      </c>
      <c r="W502" s="12">
        <f t="shared" si="33"/>
        <v>43295</v>
      </c>
    </row>
    <row r="503" spans="1:23">
      <c r="A503">
        <f>IF(ISBLANK('Data Input'!A503),"",'Data Input'!A503)</f>
        <v>132</v>
      </c>
      <c r="B503" t="str">
        <f>IF(ISBLANK('Data Input'!B503),"",'Data Input'!B503)</f>
        <v>CJ134</v>
      </c>
      <c r="C503" t="str">
        <f>IF(ISBLANK('Data Input'!C503),"",'Data Input'!C503)</f>
        <v>7/16/18 1035</v>
      </c>
      <c r="E503">
        <f>IF(ISBLANK('Data Input'!D503),"",'Data Input'!D503)</f>
        <v>43295</v>
      </c>
      <c r="G503">
        <f>IF(ISBLANK('Data Input'!E503),"",'Data Input'!E503)</f>
        <v>25</v>
      </c>
      <c r="H503" t="str">
        <f>IF(ISBLANK('Data Input'!F503),"",'Data Input'!F503)</f>
        <v>bb - Black</v>
      </c>
      <c r="I503" t="str">
        <f>IF(ISBLANK('Data Input'!G503),"",'Data Input'!G503)</f>
        <v>SVD</v>
      </c>
      <c r="J503" t="str">
        <f>IF(ISBLANK('Data Input'!I503),"",'Data Input'!I503)</f>
        <v>7=14=18 0527</v>
      </c>
      <c r="K503" t="str">
        <f>IF(ISBLANK('Data Input'!J503),"",'Data Input'!J503)</f>
        <v>rr - Percocet</v>
      </c>
      <c r="L503">
        <f>IF(ISBLANK('Data Input'!K503),"",'Data Input'!K503)</f>
        <v>1</v>
      </c>
      <c r="M503">
        <f>IF(ISBLANK('Data Input'!L503),"",'Data Input'!L503)</f>
        <v>6</v>
      </c>
      <c r="N503">
        <f>IF(ISBLANK('Data Input'!M503),"",'Data Input'!M503)</f>
        <v>2</v>
      </c>
      <c r="O503" t="str">
        <f>IF(ISBLANK('Data Input'!N503),"",'Data Input'!N503)</f>
        <v/>
      </c>
      <c r="P503" t="str">
        <f>IF(ISBLANK('Data Input'!O503),"",'Data Input'!O503)</f>
        <v/>
      </c>
      <c r="Q503" t="str">
        <f>IF(ISBLANK('Data Input'!P503),"",'Data Input'!P503)</f>
        <v/>
      </c>
      <c r="R503" t="b">
        <f>IF(ISBLANK('Data Input'!Q503),"",'Data Input'!Q503)</f>
        <v>0</v>
      </c>
      <c r="T503" s="2">
        <f t="shared" si="30"/>
        <v>43297</v>
      </c>
      <c r="U503" s="12">
        <f t="shared" si="31"/>
        <v>0.44097222222222227</v>
      </c>
      <c r="V503" s="2">
        <f t="shared" si="32"/>
        <v>43295</v>
      </c>
      <c r="W503" s="12">
        <f t="shared" si="33"/>
        <v>43295</v>
      </c>
    </row>
    <row r="504" spans="1:23">
      <c r="A504">
        <f>IF(ISBLANK('Data Input'!A504),"",'Data Input'!A504)</f>
        <v>132</v>
      </c>
      <c r="B504" t="str">
        <f>IF(ISBLANK('Data Input'!B504),"",'Data Input'!B504)</f>
        <v>CJ134</v>
      </c>
      <c r="C504" t="str">
        <f>IF(ISBLANK('Data Input'!C504),"",'Data Input'!C504)</f>
        <v>7/16/18 1035</v>
      </c>
      <c r="E504">
        <f>IF(ISBLANK('Data Input'!D504),"",'Data Input'!D504)</f>
        <v>43295</v>
      </c>
      <c r="G504">
        <f>IF(ISBLANK('Data Input'!E504),"",'Data Input'!E504)</f>
        <v>25</v>
      </c>
      <c r="H504" t="str">
        <f>IF(ISBLANK('Data Input'!F504),"",'Data Input'!F504)</f>
        <v>bb - Black</v>
      </c>
      <c r="I504" t="str">
        <f>IF(ISBLANK('Data Input'!G504),"",'Data Input'!G504)</f>
        <v>SVD</v>
      </c>
      <c r="J504" t="str">
        <f>IF(ISBLANK('Data Input'!I504),"",'Data Input'!I504)</f>
        <v>7=14=18 1027</v>
      </c>
      <c r="K504" t="str">
        <f>IF(ISBLANK('Data Input'!J504),"",'Data Input'!J504)</f>
        <v>rr - Percocet</v>
      </c>
      <c r="L504">
        <f>IF(ISBLANK('Data Input'!K504),"",'Data Input'!K504)</f>
        <v>1</v>
      </c>
      <c r="M504">
        <f>IF(ISBLANK('Data Input'!L504),"",'Data Input'!L504)</f>
        <v>7</v>
      </c>
      <c r="N504">
        <f>IF(ISBLANK('Data Input'!M504),"",'Data Input'!M504)</f>
        <v>2</v>
      </c>
      <c r="O504" t="str">
        <f>IF(ISBLANK('Data Input'!N504),"",'Data Input'!N504)</f>
        <v/>
      </c>
      <c r="P504" t="str">
        <f>IF(ISBLANK('Data Input'!O504),"",'Data Input'!O504)</f>
        <v/>
      </c>
      <c r="Q504" t="str">
        <f>IF(ISBLANK('Data Input'!P504),"",'Data Input'!P504)</f>
        <v/>
      </c>
      <c r="R504" t="b">
        <f>IF(ISBLANK('Data Input'!Q504),"",'Data Input'!Q504)</f>
        <v>0</v>
      </c>
      <c r="T504" s="2">
        <f t="shared" si="30"/>
        <v>43297</v>
      </c>
      <c r="U504" s="12">
        <f t="shared" si="31"/>
        <v>0.44097222222222227</v>
      </c>
      <c r="V504" s="2">
        <f t="shared" si="32"/>
        <v>43295</v>
      </c>
      <c r="W504" s="12">
        <f t="shared" si="33"/>
        <v>43295</v>
      </c>
    </row>
    <row r="505" spans="1:23">
      <c r="A505">
        <f>IF(ISBLANK('Data Input'!A505),"",'Data Input'!A505)</f>
        <v>133</v>
      </c>
      <c r="B505" t="str">
        <f>IF(ISBLANK('Data Input'!B505),"",'Data Input'!B505)</f>
        <v>AP135</v>
      </c>
      <c r="C505" t="str">
        <f>IF(ISBLANK('Data Input'!C505),"",'Data Input'!C505)</f>
        <v>7/22/18 1800</v>
      </c>
      <c r="E505" t="str">
        <f>IF(ISBLANK('Data Input'!D505),"",'Data Input'!D505)</f>
        <v>7/23/18 1407</v>
      </c>
      <c r="G505">
        <f>IF(ISBLANK('Data Input'!E505),"",'Data Input'!E505)</f>
        <v>24</v>
      </c>
      <c r="H505" t="str">
        <f>IF(ISBLANK('Data Input'!F505),"",'Data Input'!F505)</f>
        <v>White</v>
      </c>
      <c r="I505" t="str">
        <f>IF(ISBLANK('Data Input'!G505),"",'Data Input'!G505)</f>
        <v>SVD</v>
      </c>
      <c r="J505" t="str">
        <f>IF(ISBLANK('Data Input'!I505),"",'Data Input'!I505)</f>
        <v>7=22=18 2316</v>
      </c>
      <c r="K505" t="str">
        <f>IF(ISBLANK('Data Input'!J505),"",'Data Input'!J505)</f>
        <v>bb - Ibuprofen</v>
      </c>
      <c r="L505">
        <f>IF(ISBLANK('Data Input'!K505),"",'Data Input'!K505)</f>
        <v>800</v>
      </c>
      <c r="M505">
        <f>IF(ISBLANK('Data Input'!L505),"",'Data Input'!L505)</f>
        <v>1</v>
      </c>
      <c r="N505">
        <f>IF(ISBLANK('Data Input'!M505),"",'Data Input'!M505)</f>
        <v>0</v>
      </c>
      <c r="O505" t="str">
        <f>IF(ISBLANK('Data Input'!N505),"",'Data Input'!N505)</f>
        <v/>
      </c>
      <c r="P505" t="str">
        <f>IF(ISBLANK('Data Input'!O505),"",'Data Input'!O505)</f>
        <v/>
      </c>
      <c r="Q505" t="str">
        <f>IF(ISBLANK('Data Input'!P505),"",'Data Input'!P505)</f>
        <v/>
      </c>
      <c r="R505" t="b">
        <f>IF(ISBLANK('Data Input'!Q505),"",'Data Input'!Q505)</f>
        <v>1</v>
      </c>
      <c r="T505" s="2">
        <f t="shared" si="30"/>
        <v>43303</v>
      </c>
      <c r="U505" s="12">
        <f t="shared" si="31"/>
        <v>0.75</v>
      </c>
      <c r="V505" s="2">
        <f t="shared" si="32"/>
        <v>43304</v>
      </c>
      <c r="W505" s="12">
        <f t="shared" si="33"/>
        <v>0.58819444444444446</v>
      </c>
    </row>
    <row r="506" spans="1:23">
      <c r="A506">
        <f>IF(ISBLANK('Data Input'!A506),"",'Data Input'!A506)</f>
        <v>133</v>
      </c>
      <c r="B506" t="str">
        <f>IF(ISBLANK('Data Input'!B506),"",'Data Input'!B506)</f>
        <v>AP135</v>
      </c>
      <c r="C506" t="str">
        <f>IF(ISBLANK('Data Input'!C506),"",'Data Input'!C506)</f>
        <v>7/22/18 1800</v>
      </c>
      <c r="E506" t="str">
        <f>IF(ISBLANK('Data Input'!D506),"",'Data Input'!D506)</f>
        <v>7/23/18 1407</v>
      </c>
      <c r="G506">
        <f>IF(ISBLANK('Data Input'!E506),"",'Data Input'!E506)</f>
        <v>24</v>
      </c>
      <c r="H506" t="str">
        <f>IF(ISBLANK('Data Input'!F506),"",'Data Input'!F506)</f>
        <v>White</v>
      </c>
      <c r="I506" t="str">
        <f>IF(ISBLANK('Data Input'!G506),"",'Data Input'!G506)</f>
        <v>SVD</v>
      </c>
      <c r="J506" t="str">
        <f>IF(ISBLANK('Data Input'!I506),"",'Data Input'!I506)</f>
        <v>7=23=18 1002</v>
      </c>
      <c r="K506" t="str">
        <f>IF(ISBLANK('Data Input'!J506),"",'Data Input'!J506)</f>
        <v>bb - Ibuprofen</v>
      </c>
      <c r="L506">
        <f>IF(ISBLANK('Data Input'!K506),"",'Data Input'!K506)</f>
        <v>800</v>
      </c>
      <c r="M506">
        <f>IF(ISBLANK('Data Input'!L506),"",'Data Input'!L506)</f>
        <v>5</v>
      </c>
      <c r="N506">
        <f>IF(ISBLANK('Data Input'!M506),"",'Data Input'!M506)</f>
        <v>2</v>
      </c>
      <c r="O506" t="str">
        <f>IF(ISBLANK('Data Input'!N506),"",'Data Input'!N506)</f>
        <v/>
      </c>
      <c r="P506" t="str">
        <f>IF(ISBLANK('Data Input'!O506),"",'Data Input'!O506)</f>
        <v/>
      </c>
      <c r="Q506" t="str">
        <f>IF(ISBLANK('Data Input'!P506),"",'Data Input'!P506)</f>
        <v/>
      </c>
      <c r="R506" t="b">
        <f>IF(ISBLANK('Data Input'!Q506),"",'Data Input'!Q506)</f>
        <v>1</v>
      </c>
      <c r="T506" s="2">
        <f t="shared" si="30"/>
        <v>43303</v>
      </c>
      <c r="U506" s="12">
        <f t="shared" si="31"/>
        <v>0.75</v>
      </c>
      <c r="V506" s="2">
        <f t="shared" si="32"/>
        <v>43304</v>
      </c>
      <c r="W506" s="12">
        <f t="shared" si="33"/>
        <v>0.58819444444444446</v>
      </c>
    </row>
    <row r="507" spans="1:23">
      <c r="A507">
        <f>IF(ISBLANK('Data Input'!A507),"",'Data Input'!A507)</f>
        <v>133</v>
      </c>
      <c r="B507" t="str">
        <f>IF(ISBLANK('Data Input'!B507),"",'Data Input'!B507)</f>
        <v>AP135</v>
      </c>
      <c r="C507" t="str">
        <f>IF(ISBLANK('Data Input'!C507),"",'Data Input'!C507)</f>
        <v>7/22/18 1800</v>
      </c>
      <c r="E507" t="str">
        <f>IF(ISBLANK('Data Input'!D507),"",'Data Input'!D507)</f>
        <v>7/23/18 1407</v>
      </c>
      <c r="G507">
        <f>IF(ISBLANK('Data Input'!E507),"",'Data Input'!E507)</f>
        <v>24</v>
      </c>
      <c r="H507" t="str">
        <f>IF(ISBLANK('Data Input'!F507),"",'Data Input'!F507)</f>
        <v>White</v>
      </c>
      <c r="I507" t="str">
        <f>IF(ISBLANK('Data Input'!G507),"",'Data Input'!G507)</f>
        <v>SVD</v>
      </c>
      <c r="J507" t="str">
        <f>IF(ISBLANK('Data Input'!I507),"",'Data Input'!I507)</f>
        <v>7=23=18 1407</v>
      </c>
      <c r="K507" t="str">
        <f>IF(ISBLANK('Data Input'!J507),"",'Data Input'!J507)</f>
        <v>rr - Percocet</v>
      </c>
      <c r="L507">
        <f>IF(ISBLANK('Data Input'!K507),"",'Data Input'!K507)</f>
        <v>1</v>
      </c>
      <c r="M507">
        <f>IF(ISBLANK('Data Input'!L507),"",'Data Input'!L507)</f>
        <v>5</v>
      </c>
      <c r="N507">
        <f>IF(ISBLANK('Data Input'!M507),"",'Data Input'!M507)</f>
        <v>0</v>
      </c>
      <c r="O507" t="str">
        <f>IF(ISBLANK('Data Input'!N507),"",'Data Input'!N507)</f>
        <v/>
      </c>
      <c r="P507" t="str">
        <f>IF(ISBLANK('Data Input'!O507),"",'Data Input'!O507)</f>
        <v/>
      </c>
      <c r="Q507" t="str">
        <f>IF(ISBLANK('Data Input'!P507),"",'Data Input'!P507)</f>
        <v/>
      </c>
      <c r="R507" t="b">
        <f>IF(ISBLANK('Data Input'!Q507),"",'Data Input'!Q507)</f>
        <v>1</v>
      </c>
      <c r="T507" s="2">
        <f t="shared" si="30"/>
        <v>43303</v>
      </c>
      <c r="U507" s="12">
        <f t="shared" si="31"/>
        <v>0.75</v>
      </c>
      <c r="V507" s="2">
        <f t="shared" si="32"/>
        <v>43304</v>
      </c>
      <c r="W507" s="12">
        <f t="shared" si="33"/>
        <v>0.58819444444444446</v>
      </c>
    </row>
    <row r="508" spans="1:23">
      <c r="A508">
        <f>IF(ISBLANK('Data Input'!A508),"",'Data Input'!A508)</f>
        <v>134</v>
      </c>
      <c r="B508" t="str">
        <f>IF(ISBLANK('Data Input'!B508),"",'Data Input'!B508)</f>
        <v>EH136</v>
      </c>
      <c r="C508" t="str">
        <f>IF(ISBLANK('Data Input'!C508),"",'Data Input'!C508)</f>
        <v>7/13/18 1010</v>
      </c>
      <c r="E508" t="str">
        <f>IF(ISBLANK('Data Input'!D508),"",'Data Input'!D508)</f>
        <v>7/14/18 0601</v>
      </c>
      <c r="G508">
        <f>IF(ISBLANK('Data Input'!E508),"",'Data Input'!E508)</f>
        <v>32</v>
      </c>
      <c r="H508" t="str">
        <f>IF(ISBLANK('Data Input'!F508),"",'Data Input'!F508)</f>
        <v>White</v>
      </c>
      <c r="I508" t="str">
        <f>IF(ISBLANK('Data Input'!G508),"",'Data Input'!G508)</f>
        <v>Caesarean</v>
      </c>
      <c r="J508" t="str">
        <f>IF(ISBLANK('Data Input'!I508),"",'Data Input'!I508)</f>
        <v>7=13=18 1056</v>
      </c>
      <c r="K508" t="str">
        <f>IF(ISBLANK('Data Input'!J508),"",'Data Input'!J508)</f>
        <v>tr - Toradol</v>
      </c>
      <c r="L508">
        <f>IF(ISBLANK('Data Input'!K508),"",'Data Input'!K508)</f>
        <v>30</v>
      </c>
      <c r="M508">
        <f>IF(ISBLANK('Data Input'!L508),"",'Data Input'!L508)</f>
        <v>3</v>
      </c>
      <c r="N508">
        <f>IF(ISBLANK('Data Input'!M508),"",'Data Input'!M508)</f>
        <v>1</v>
      </c>
      <c r="O508" t="str">
        <f>IF(ISBLANK('Data Input'!N508),"",'Data Input'!N508)</f>
        <v/>
      </c>
      <c r="P508" t="str">
        <f>IF(ISBLANK('Data Input'!O508),"",'Data Input'!O508)</f>
        <v/>
      </c>
      <c r="Q508" t="str">
        <f>IF(ISBLANK('Data Input'!P508),"",'Data Input'!P508)</f>
        <v/>
      </c>
      <c r="R508" t="b">
        <f>IF(ISBLANK('Data Input'!Q508),"",'Data Input'!Q508)</f>
        <v>0</v>
      </c>
      <c r="T508" s="2">
        <f t="shared" si="30"/>
        <v>43294</v>
      </c>
      <c r="U508" s="12">
        <f t="shared" si="31"/>
        <v>0.4236111111111111</v>
      </c>
      <c r="V508" s="2">
        <f t="shared" si="32"/>
        <v>43295</v>
      </c>
      <c r="W508" s="12">
        <f t="shared" si="33"/>
        <v>0.25069444444444444</v>
      </c>
    </row>
    <row r="509" spans="1:23">
      <c r="A509">
        <f>IF(ISBLANK('Data Input'!A509),"",'Data Input'!A509)</f>
        <v>134</v>
      </c>
      <c r="B509" t="str">
        <f>IF(ISBLANK('Data Input'!B509),"",'Data Input'!B509)</f>
        <v>EH136</v>
      </c>
      <c r="C509" t="str">
        <f>IF(ISBLANK('Data Input'!C509),"",'Data Input'!C509)</f>
        <v>7/13/18 1010</v>
      </c>
      <c r="E509" t="str">
        <f>IF(ISBLANK('Data Input'!D509),"",'Data Input'!D509)</f>
        <v>7/14/18 0601</v>
      </c>
      <c r="G509">
        <f>IF(ISBLANK('Data Input'!E509),"",'Data Input'!E509)</f>
        <v>32</v>
      </c>
      <c r="H509" t="str">
        <f>IF(ISBLANK('Data Input'!F509),"",'Data Input'!F509)</f>
        <v>White</v>
      </c>
      <c r="I509" t="str">
        <f>IF(ISBLANK('Data Input'!G509),"",'Data Input'!G509)</f>
        <v>Caesarean</v>
      </c>
      <c r="J509" t="str">
        <f>IF(ISBLANK('Data Input'!I509),"",'Data Input'!I509)</f>
        <v>7=13=18 1703</v>
      </c>
      <c r="K509" t="str">
        <f>IF(ISBLANK('Data Input'!J509),"",'Data Input'!J509)</f>
        <v>tr - Toradol</v>
      </c>
      <c r="L509">
        <f>IF(ISBLANK('Data Input'!K509),"",'Data Input'!K509)</f>
        <v>30</v>
      </c>
      <c r="M509">
        <f>IF(ISBLANK('Data Input'!L509),"",'Data Input'!L509)</f>
        <v>2</v>
      </c>
      <c r="N509">
        <f>IF(ISBLANK('Data Input'!M509),"",'Data Input'!M509)</f>
        <v>2</v>
      </c>
      <c r="O509" t="str">
        <f>IF(ISBLANK('Data Input'!N509),"",'Data Input'!N509)</f>
        <v/>
      </c>
      <c r="P509" t="str">
        <f>IF(ISBLANK('Data Input'!O509),"",'Data Input'!O509)</f>
        <v/>
      </c>
      <c r="Q509" t="str">
        <f>IF(ISBLANK('Data Input'!P509),"",'Data Input'!P509)</f>
        <v/>
      </c>
      <c r="R509" t="b">
        <f>IF(ISBLANK('Data Input'!Q509),"",'Data Input'!Q509)</f>
        <v>0</v>
      </c>
      <c r="T509" s="2">
        <f t="shared" si="30"/>
        <v>43294</v>
      </c>
      <c r="U509" s="12">
        <f t="shared" si="31"/>
        <v>0.4236111111111111</v>
      </c>
      <c r="V509" s="2">
        <f t="shared" si="32"/>
        <v>43295</v>
      </c>
      <c r="W509" s="12">
        <f t="shared" si="33"/>
        <v>0.25069444444444444</v>
      </c>
    </row>
    <row r="510" spans="1:23">
      <c r="A510">
        <f>IF(ISBLANK('Data Input'!A510),"",'Data Input'!A510)</f>
        <v>134</v>
      </c>
      <c r="B510" t="str">
        <f>IF(ISBLANK('Data Input'!B510),"",'Data Input'!B510)</f>
        <v>EH136</v>
      </c>
      <c r="C510" t="str">
        <f>IF(ISBLANK('Data Input'!C510),"",'Data Input'!C510)</f>
        <v>7/13/18 1010</v>
      </c>
      <c r="E510" t="str">
        <f>IF(ISBLANK('Data Input'!D510),"",'Data Input'!D510)</f>
        <v>7/14/18 0601</v>
      </c>
      <c r="G510">
        <f>IF(ISBLANK('Data Input'!E510),"",'Data Input'!E510)</f>
        <v>32</v>
      </c>
      <c r="H510" t="str">
        <f>IF(ISBLANK('Data Input'!F510),"",'Data Input'!F510)</f>
        <v>White</v>
      </c>
      <c r="I510" t="str">
        <f>IF(ISBLANK('Data Input'!G510),"",'Data Input'!G510)</f>
        <v>Caesarean</v>
      </c>
      <c r="J510" t="str">
        <f>IF(ISBLANK('Data Input'!I510),"",'Data Input'!I510)</f>
        <v>7=13=18 2258</v>
      </c>
      <c r="K510" t="str">
        <f>IF(ISBLANK('Data Input'!J510),"",'Data Input'!J510)</f>
        <v>bb - Ibuprofen</v>
      </c>
      <c r="L510">
        <f>IF(ISBLANK('Data Input'!K510),"",'Data Input'!K510)</f>
        <v>800</v>
      </c>
      <c r="M510">
        <f>IF(ISBLANK('Data Input'!L510),"",'Data Input'!L510)</f>
        <v>2</v>
      </c>
      <c r="N510">
        <f>IF(ISBLANK('Data Input'!M510),"",'Data Input'!M510)</f>
        <v>0</v>
      </c>
      <c r="O510" t="str">
        <f>IF(ISBLANK('Data Input'!N510),"",'Data Input'!N510)</f>
        <v/>
      </c>
      <c r="P510" t="str">
        <f>IF(ISBLANK('Data Input'!O510),"",'Data Input'!O510)</f>
        <v/>
      </c>
      <c r="Q510" t="str">
        <f>IF(ISBLANK('Data Input'!P510),"",'Data Input'!P510)</f>
        <v/>
      </c>
      <c r="R510" t="b">
        <f>IF(ISBLANK('Data Input'!Q510),"",'Data Input'!Q510)</f>
        <v>0</v>
      </c>
      <c r="T510" s="2">
        <f t="shared" si="30"/>
        <v>43294</v>
      </c>
      <c r="U510" s="12">
        <f t="shared" si="31"/>
        <v>0.4236111111111111</v>
      </c>
      <c r="V510" s="2">
        <f t="shared" si="32"/>
        <v>43295</v>
      </c>
      <c r="W510" s="12">
        <f t="shared" si="33"/>
        <v>0.25069444444444444</v>
      </c>
    </row>
    <row r="511" spans="1:23">
      <c r="A511">
        <f>IF(ISBLANK('Data Input'!A511),"",'Data Input'!A511)</f>
        <v>134</v>
      </c>
      <c r="B511" t="str">
        <f>IF(ISBLANK('Data Input'!B511),"",'Data Input'!B511)</f>
        <v>EH136</v>
      </c>
      <c r="C511" t="str">
        <f>IF(ISBLANK('Data Input'!C511),"",'Data Input'!C511)</f>
        <v>7/13/18 1010</v>
      </c>
      <c r="E511" t="str">
        <f>IF(ISBLANK('Data Input'!D511),"",'Data Input'!D511)</f>
        <v>7/14/18 0601</v>
      </c>
      <c r="G511">
        <f>IF(ISBLANK('Data Input'!E511),"",'Data Input'!E511)</f>
        <v>32</v>
      </c>
      <c r="H511" t="str">
        <f>IF(ISBLANK('Data Input'!F511),"",'Data Input'!F511)</f>
        <v>White</v>
      </c>
      <c r="I511" t="str">
        <f>IF(ISBLANK('Data Input'!G511),"",'Data Input'!G511)</f>
        <v>Caesarean</v>
      </c>
      <c r="J511" t="str">
        <f>IF(ISBLANK('Data Input'!I511),"",'Data Input'!I511)</f>
        <v>7=14=18 0441</v>
      </c>
      <c r="K511" t="str">
        <f>IF(ISBLANK('Data Input'!J511),"",'Data Input'!J511)</f>
        <v>bb - Ibuprofen</v>
      </c>
      <c r="L511">
        <f>IF(ISBLANK('Data Input'!K511),"",'Data Input'!K511)</f>
        <v>800</v>
      </c>
      <c r="M511">
        <f>IF(ISBLANK('Data Input'!L511),"",'Data Input'!L511)</f>
        <v>5</v>
      </c>
      <c r="N511">
        <f>IF(ISBLANK('Data Input'!M511),"",'Data Input'!M511)</f>
        <v>4</v>
      </c>
      <c r="O511" t="str">
        <f>IF(ISBLANK('Data Input'!N511),"",'Data Input'!N511)</f>
        <v/>
      </c>
      <c r="P511" t="str">
        <f>IF(ISBLANK('Data Input'!O511),"",'Data Input'!O511)</f>
        <v/>
      </c>
      <c r="Q511" t="str">
        <f>IF(ISBLANK('Data Input'!P511),"",'Data Input'!P511)</f>
        <v/>
      </c>
      <c r="R511" t="b">
        <f>IF(ISBLANK('Data Input'!Q511),"",'Data Input'!Q511)</f>
        <v>0</v>
      </c>
      <c r="T511" s="2">
        <f t="shared" si="30"/>
        <v>43294</v>
      </c>
      <c r="U511" s="12">
        <f t="shared" si="31"/>
        <v>0.4236111111111111</v>
      </c>
      <c r="V511" s="2">
        <f t="shared" si="32"/>
        <v>43295</v>
      </c>
      <c r="W511" s="12">
        <f t="shared" si="33"/>
        <v>0.25069444444444444</v>
      </c>
    </row>
    <row r="512" spans="1:23">
      <c r="A512">
        <f>IF(ISBLANK('Data Input'!A512),"",'Data Input'!A512)</f>
        <v>134</v>
      </c>
      <c r="B512" t="str">
        <f>IF(ISBLANK('Data Input'!B512),"",'Data Input'!B512)</f>
        <v>EH136</v>
      </c>
      <c r="C512" t="str">
        <f>IF(ISBLANK('Data Input'!C512),"",'Data Input'!C512)</f>
        <v>7/13/18 1010</v>
      </c>
      <c r="E512" t="str">
        <f>IF(ISBLANK('Data Input'!D512),"",'Data Input'!D512)</f>
        <v>7/14/18 0601</v>
      </c>
      <c r="G512">
        <f>IF(ISBLANK('Data Input'!E512),"",'Data Input'!E512)</f>
        <v>32</v>
      </c>
      <c r="H512" t="str">
        <f>IF(ISBLANK('Data Input'!F512),"",'Data Input'!F512)</f>
        <v>White</v>
      </c>
      <c r="I512" t="str">
        <f>IF(ISBLANK('Data Input'!G512),"",'Data Input'!G512)</f>
        <v>Caesarean</v>
      </c>
      <c r="J512" t="str">
        <f>IF(ISBLANK('Data Input'!I512),"",'Data Input'!I512)</f>
        <v>7=14=18 0601</v>
      </c>
      <c r="K512" t="str">
        <f>IF(ISBLANK('Data Input'!J512),"",'Data Input'!J512)</f>
        <v>rr - Percocet</v>
      </c>
      <c r="L512">
        <f>IF(ISBLANK('Data Input'!K512),"",'Data Input'!K512)</f>
        <v>1</v>
      </c>
      <c r="M512">
        <f>IF(ISBLANK('Data Input'!L512),"",'Data Input'!L512)</f>
        <v>7</v>
      </c>
      <c r="N512">
        <f>IF(ISBLANK('Data Input'!M512),"",'Data Input'!M512)</f>
        <v>0</v>
      </c>
      <c r="O512" t="str">
        <f>IF(ISBLANK('Data Input'!N512),"",'Data Input'!N512)</f>
        <v/>
      </c>
      <c r="P512" t="str">
        <f>IF(ISBLANK('Data Input'!O512),"",'Data Input'!O512)</f>
        <v/>
      </c>
      <c r="Q512" t="str">
        <f>IF(ISBLANK('Data Input'!P512),"",'Data Input'!P512)</f>
        <v/>
      </c>
      <c r="R512" t="b">
        <f>IF(ISBLANK('Data Input'!Q512),"",'Data Input'!Q512)</f>
        <v>0</v>
      </c>
      <c r="T512" s="2">
        <f t="shared" si="30"/>
        <v>43294</v>
      </c>
      <c r="U512" s="12">
        <f t="shared" si="31"/>
        <v>0.4236111111111111</v>
      </c>
      <c r="V512" s="2">
        <f t="shared" si="32"/>
        <v>43295</v>
      </c>
      <c r="W512" s="12">
        <f t="shared" si="33"/>
        <v>0.25069444444444444</v>
      </c>
    </row>
    <row r="513" spans="1:23">
      <c r="A513">
        <f>IF(ISBLANK('Data Input'!A513),"",'Data Input'!A513)</f>
        <v>135</v>
      </c>
      <c r="B513" t="str">
        <f>IF(ISBLANK('Data Input'!B513),"",'Data Input'!B513)</f>
        <v>MT137</v>
      </c>
      <c r="C513" t="str">
        <f>IF(ISBLANK('Data Input'!C513),"",'Data Input'!C513)</f>
        <v>7/21/18 2355</v>
      </c>
      <c r="E513" t="str">
        <f>IF(ISBLANK('Data Input'!D513),"",'Data Input'!D513)</f>
        <v>7/22/18 1832</v>
      </c>
      <c r="G513">
        <f>IF(ISBLANK('Data Input'!E513),"",'Data Input'!E513)</f>
        <v>31</v>
      </c>
      <c r="H513" t="str">
        <f>IF(ISBLANK('Data Input'!F513),"",'Data Input'!F513)</f>
        <v>White</v>
      </c>
      <c r="I513" t="str">
        <f>IF(ISBLANK('Data Input'!G513),"",'Data Input'!G513)</f>
        <v>SVD</v>
      </c>
      <c r="J513" t="str">
        <f>IF(ISBLANK('Data Input'!I513),"",'Data Input'!I513)</f>
        <v>7=22=18 0520</v>
      </c>
      <c r="K513" t="str">
        <f>IF(ISBLANK('Data Input'!J513),"",'Data Input'!J513)</f>
        <v>bb - Ibuprofen</v>
      </c>
      <c r="L513">
        <f>IF(ISBLANK('Data Input'!K513),"",'Data Input'!K513)</f>
        <v>800</v>
      </c>
      <c r="M513">
        <f>IF(ISBLANK('Data Input'!L513),"",'Data Input'!L513)</f>
        <v>4</v>
      </c>
      <c r="N513">
        <f>IF(ISBLANK('Data Input'!M513),"",'Data Input'!M513)</f>
        <v>1</v>
      </c>
      <c r="O513" t="str">
        <f>IF(ISBLANK('Data Input'!N513),"",'Data Input'!N513)</f>
        <v/>
      </c>
      <c r="P513" t="str">
        <f>IF(ISBLANK('Data Input'!O513),"",'Data Input'!O513)</f>
        <v/>
      </c>
      <c r="Q513" t="str">
        <f>IF(ISBLANK('Data Input'!P513),"",'Data Input'!P513)</f>
        <v/>
      </c>
      <c r="R513" t="b">
        <f>IF(ISBLANK('Data Input'!Q513),"",'Data Input'!Q513)</f>
        <v>1</v>
      </c>
      <c r="T513" s="2">
        <f t="shared" si="30"/>
        <v>43302</v>
      </c>
      <c r="U513" s="12">
        <f t="shared" si="31"/>
        <v>0.99652777777777779</v>
      </c>
      <c r="V513" s="2">
        <f t="shared" si="32"/>
        <v>43303</v>
      </c>
      <c r="W513" s="12">
        <f t="shared" si="33"/>
        <v>0.77222222222222225</v>
      </c>
    </row>
    <row r="514" spans="1:23">
      <c r="A514">
        <f>IF(ISBLANK('Data Input'!A514),"",'Data Input'!A514)</f>
        <v>135</v>
      </c>
      <c r="B514" t="str">
        <f>IF(ISBLANK('Data Input'!B514),"",'Data Input'!B514)</f>
        <v>MT137</v>
      </c>
      <c r="C514" t="str">
        <f>IF(ISBLANK('Data Input'!C514),"",'Data Input'!C514)</f>
        <v>7/21/18 2355</v>
      </c>
      <c r="E514" t="str">
        <f>IF(ISBLANK('Data Input'!D514),"",'Data Input'!D514)</f>
        <v>7/22/18 1832</v>
      </c>
      <c r="G514">
        <f>IF(ISBLANK('Data Input'!E514),"",'Data Input'!E514)</f>
        <v>31</v>
      </c>
      <c r="H514" t="str">
        <f>IF(ISBLANK('Data Input'!F514),"",'Data Input'!F514)</f>
        <v>White</v>
      </c>
      <c r="I514" t="str">
        <f>IF(ISBLANK('Data Input'!G514),"",'Data Input'!G514)</f>
        <v>SVD</v>
      </c>
      <c r="J514" t="str">
        <f>IF(ISBLANK('Data Input'!I514),"",'Data Input'!I514)</f>
        <v>7=22=18 0930</v>
      </c>
      <c r="K514" t="str">
        <f>IF(ISBLANK('Data Input'!J514),"",'Data Input'!J514)</f>
        <v>rr - Percocet</v>
      </c>
      <c r="L514">
        <f>IF(ISBLANK('Data Input'!K514),"",'Data Input'!K514)</f>
        <v>1</v>
      </c>
      <c r="M514">
        <f>IF(ISBLANK('Data Input'!L514),"",'Data Input'!L514)</f>
        <v>5</v>
      </c>
      <c r="N514">
        <f>IF(ISBLANK('Data Input'!M514),"",'Data Input'!M514)</f>
        <v>0</v>
      </c>
      <c r="O514" t="str">
        <f>IF(ISBLANK('Data Input'!N514),"",'Data Input'!N514)</f>
        <v/>
      </c>
      <c r="P514" t="str">
        <f>IF(ISBLANK('Data Input'!O514),"",'Data Input'!O514)</f>
        <v/>
      </c>
      <c r="Q514" t="str">
        <f>IF(ISBLANK('Data Input'!P514),"",'Data Input'!P514)</f>
        <v/>
      </c>
      <c r="R514" t="b">
        <f>IF(ISBLANK('Data Input'!Q514),"",'Data Input'!Q514)</f>
        <v>1</v>
      </c>
      <c r="T514" s="2">
        <f t="shared" si="30"/>
        <v>43302</v>
      </c>
      <c r="U514" s="12">
        <f t="shared" si="31"/>
        <v>0.99652777777777779</v>
      </c>
      <c r="V514" s="2">
        <f t="shared" si="32"/>
        <v>43303</v>
      </c>
      <c r="W514" s="12">
        <f t="shared" si="33"/>
        <v>0.77222222222222225</v>
      </c>
    </row>
    <row r="515" spans="1:23">
      <c r="A515">
        <f>IF(ISBLANK('Data Input'!A515),"",'Data Input'!A515)</f>
        <v>135</v>
      </c>
      <c r="B515" t="str">
        <f>IF(ISBLANK('Data Input'!B515),"",'Data Input'!B515)</f>
        <v>MT137</v>
      </c>
      <c r="C515" t="str">
        <f>IF(ISBLANK('Data Input'!C515),"",'Data Input'!C515)</f>
        <v>7/21/18 2355</v>
      </c>
      <c r="E515" t="str">
        <f>IF(ISBLANK('Data Input'!D515),"",'Data Input'!D515)</f>
        <v>7/22/18 1832</v>
      </c>
      <c r="G515">
        <f>IF(ISBLANK('Data Input'!E515),"",'Data Input'!E515)</f>
        <v>31</v>
      </c>
      <c r="H515" t="str">
        <f>IF(ISBLANK('Data Input'!F515),"",'Data Input'!F515)</f>
        <v>White</v>
      </c>
      <c r="I515" t="str">
        <f>IF(ISBLANK('Data Input'!G515),"",'Data Input'!G515)</f>
        <v>SVD</v>
      </c>
      <c r="J515" t="str">
        <f>IF(ISBLANK('Data Input'!I515),"",'Data Input'!I515)</f>
        <v>7=22=18 1832</v>
      </c>
      <c r="K515" t="str">
        <f>IF(ISBLANK('Data Input'!J515),"",'Data Input'!J515)</f>
        <v>bb - Ibuprofen</v>
      </c>
      <c r="L515">
        <f>IF(ISBLANK('Data Input'!K515),"",'Data Input'!K515)</f>
        <v>800</v>
      </c>
      <c r="M515">
        <f>IF(ISBLANK('Data Input'!L515),"",'Data Input'!L515)</f>
        <v>3</v>
      </c>
      <c r="N515">
        <f>IF(ISBLANK('Data Input'!M515),"",'Data Input'!M515)</f>
        <v>3</v>
      </c>
      <c r="O515" t="str">
        <f>IF(ISBLANK('Data Input'!N515),"",'Data Input'!N515)</f>
        <v/>
      </c>
      <c r="P515" t="str">
        <f>IF(ISBLANK('Data Input'!O515),"",'Data Input'!O515)</f>
        <v/>
      </c>
      <c r="Q515" t="str">
        <f>IF(ISBLANK('Data Input'!P515),"",'Data Input'!P515)</f>
        <v/>
      </c>
      <c r="R515" t="b">
        <f>IF(ISBLANK('Data Input'!Q515),"",'Data Input'!Q515)</f>
        <v>1</v>
      </c>
      <c r="T515" s="2">
        <f t="shared" ref="T515:T578" si="34">DATEVALUE(LEFT(C515,FIND(" ",C515)))</f>
        <v>43302</v>
      </c>
      <c r="U515" s="12">
        <f t="shared" ref="U515:U578" si="35">TIMEVALUE(CONCATENATE(MID(C515,FIND(" ",C515)+1,2),":",RIGHT(C515,LEN(C515)-FIND(" ",C515)-2)))</f>
        <v>0.99652777777777779</v>
      </c>
      <c r="V515" s="2">
        <f t="shared" si="32"/>
        <v>43303</v>
      </c>
      <c r="W515" s="12">
        <f t="shared" si="33"/>
        <v>0.77222222222222225</v>
      </c>
    </row>
    <row r="516" spans="1:23">
      <c r="A516">
        <f>IF(ISBLANK('Data Input'!A516),"",'Data Input'!A516)</f>
        <v>136</v>
      </c>
      <c r="B516" t="str">
        <f>IF(ISBLANK('Data Input'!B516),"",'Data Input'!B516)</f>
        <v>CM138</v>
      </c>
      <c r="C516" t="str">
        <f>IF(ISBLANK('Data Input'!C516),"",'Data Input'!C516)</f>
        <v>7/21/18 0215</v>
      </c>
      <c r="E516" t="str">
        <f>IF(ISBLANK('Data Input'!D516),"",'Data Input'!D516)</f>
        <v>7/21/18 2147</v>
      </c>
      <c r="G516">
        <f>IF(ISBLANK('Data Input'!E516),"",'Data Input'!E516)</f>
        <v>30</v>
      </c>
      <c r="H516" t="str">
        <f>IF(ISBLANK('Data Input'!F516),"",'Data Input'!F516)</f>
        <v>White</v>
      </c>
      <c r="I516" t="str">
        <f>IF(ISBLANK('Data Input'!G516),"",'Data Input'!G516)</f>
        <v>SVD</v>
      </c>
      <c r="J516" t="str">
        <f>IF(ISBLANK('Data Input'!I516),"",'Data Input'!I516)</f>
        <v>7=21=18 0844</v>
      </c>
      <c r="K516" t="str">
        <f>IF(ISBLANK('Data Input'!J516),"",'Data Input'!J516)</f>
        <v>bb - Ibuprofen</v>
      </c>
      <c r="L516">
        <f>IF(ISBLANK('Data Input'!K516),"",'Data Input'!K516)</f>
        <v>800</v>
      </c>
      <c r="M516">
        <f>IF(ISBLANK('Data Input'!L516),"",'Data Input'!L516)</f>
        <v>4</v>
      </c>
      <c r="N516">
        <f>IF(ISBLANK('Data Input'!M516),"",'Data Input'!M516)</f>
        <v>0</v>
      </c>
      <c r="O516" t="str">
        <f>IF(ISBLANK('Data Input'!N516),"",'Data Input'!N516)</f>
        <v/>
      </c>
      <c r="P516" t="str">
        <f>IF(ISBLANK('Data Input'!O516),"",'Data Input'!O516)</f>
        <v/>
      </c>
      <c r="Q516" t="str">
        <f>IF(ISBLANK('Data Input'!P516),"",'Data Input'!P516)</f>
        <v/>
      </c>
      <c r="R516" t="b">
        <f>IF(ISBLANK('Data Input'!Q516),"",'Data Input'!Q516)</f>
        <v>0</v>
      </c>
      <c r="T516" s="2">
        <f t="shared" si="34"/>
        <v>43302</v>
      </c>
      <c r="U516" s="12">
        <f t="shared" si="35"/>
        <v>9.375E-2</v>
      </c>
      <c r="V516" s="2">
        <f t="shared" si="32"/>
        <v>43302</v>
      </c>
      <c r="W516" s="12">
        <f t="shared" si="33"/>
        <v>0.90763888888888899</v>
      </c>
    </row>
    <row r="517" spans="1:23">
      <c r="A517">
        <f>IF(ISBLANK('Data Input'!A517),"",'Data Input'!A517)</f>
        <v>136</v>
      </c>
      <c r="B517" t="str">
        <f>IF(ISBLANK('Data Input'!B517),"",'Data Input'!B517)</f>
        <v>CM138</v>
      </c>
      <c r="C517" t="str">
        <f>IF(ISBLANK('Data Input'!C517),"",'Data Input'!C517)</f>
        <v>7/21/18 0215</v>
      </c>
      <c r="E517" t="str">
        <f>IF(ISBLANK('Data Input'!D517),"",'Data Input'!D517)</f>
        <v>7/21/18 2147</v>
      </c>
      <c r="G517">
        <f>IF(ISBLANK('Data Input'!E517),"",'Data Input'!E517)</f>
        <v>30</v>
      </c>
      <c r="H517" t="str">
        <f>IF(ISBLANK('Data Input'!F517),"",'Data Input'!F517)</f>
        <v>White</v>
      </c>
      <c r="I517" t="str">
        <f>IF(ISBLANK('Data Input'!G517),"",'Data Input'!G517)</f>
        <v>SVD</v>
      </c>
      <c r="J517" t="str">
        <f>IF(ISBLANK('Data Input'!I517),"",'Data Input'!I517)</f>
        <v>7=21=18 1610</v>
      </c>
      <c r="K517" t="str">
        <f>IF(ISBLANK('Data Input'!J517),"",'Data Input'!J517)</f>
        <v>bb - Ibuprofen</v>
      </c>
      <c r="L517">
        <f>IF(ISBLANK('Data Input'!K517),"",'Data Input'!K517)</f>
        <v>800</v>
      </c>
      <c r="M517">
        <f>IF(ISBLANK('Data Input'!L517),"",'Data Input'!L517)</f>
        <v>0</v>
      </c>
      <c r="N517">
        <f>IF(ISBLANK('Data Input'!M517),"",'Data Input'!M517)</f>
        <v>0</v>
      </c>
      <c r="O517" t="str">
        <f>IF(ISBLANK('Data Input'!N517),"",'Data Input'!N517)</f>
        <v/>
      </c>
      <c r="P517" t="str">
        <f>IF(ISBLANK('Data Input'!O517),"",'Data Input'!O517)</f>
        <v/>
      </c>
      <c r="Q517" t="str">
        <f>IF(ISBLANK('Data Input'!P517),"",'Data Input'!P517)</f>
        <v/>
      </c>
      <c r="R517" t="b">
        <f>IF(ISBLANK('Data Input'!Q517),"",'Data Input'!Q517)</f>
        <v>0</v>
      </c>
      <c r="T517" s="2">
        <f t="shared" si="34"/>
        <v>43302</v>
      </c>
      <c r="U517" s="12">
        <f t="shared" si="35"/>
        <v>9.375E-2</v>
      </c>
      <c r="V517" s="2">
        <f t="shared" si="32"/>
        <v>43302</v>
      </c>
      <c r="W517" s="12">
        <f t="shared" si="33"/>
        <v>0.90763888888888899</v>
      </c>
    </row>
    <row r="518" spans="1:23">
      <c r="A518">
        <f>IF(ISBLANK('Data Input'!A518),"",'Data Input'!A518)</f>
        <v>136</v>
      </c>
      <c r="B518" t="str">
        <f>IF(ISBLANK('Data Input'!B518),"",'Data Input'!B518)</f>
        <v>CM138</v>
      </c>
      <c r="C518" t="str">
        <f>IF(ISBLANK('Data Input'!C518),"",'Data Input'!C518)</f>
        <v>7/21/18 0215</v>
      </c>
      <c r="E518" t="str">
        <f>IF(ISBLANK('Data Input'!D518),"",'Data Input'!D518)</f>
        <v>7/21/18 2147</v>
      </c>
      <c r="G518">
        <f>IF(ISBLANK('Data Input'!E518),"",'Data Input'!E518)</f>
        <v>30</v>
      </c>
      <c r="H518" t="str">
        <f>IF(ISBLANK('Data Input'!F518),"",'Data Input'!F518)</f>
        <v>White</v>
      </c>
      <c r="I518" t="str">
        <f>IF(ISBLANK('Data Input'!G518),"",'Data Input'!G518)</f>
        <v>SVD</v>
      </c>
      <c r="J518" t="str">
        <f>IF(ISBLANK('Data Input'!I518),"",'Data Input'!I518)</f>
        <v>7=21=18 2149</v>
      </c>
      <c r="K518" t="str">
        <f>IF(ISBLANK('Data Input'!J518),"",'Data Input'!J518)</f>
        <v>bb - Ibuprofen</v>
      </c>
      <c r="L518">
        <f>IF(ISBLANK('Data Input'!K518),"",'Data Input'!K518)</f>
        <v>800</v>
      </c>
      <c r="M518">
        <f>IF(ISBLANK('Data Input'!L518),"",'Data Input'!L518)</f>
        <v>0</v>
      </c>
      <c r="N518">
        <f>IF(ISBLANK('Data Input'!M518),"",'Data Input'!M518)</f>
        <v>0</v>
      </c>
      <c r="O518" t="str">
        <f>IF(ISBLANK('Data Input'!N518),"",'Data Input'!N518)</f>
        <v/>
      </c>
      <c r="P518" t="str">
        <f>IF(ISBLANK('Data Input'!O518),"",'Data Input'!O518)</f>
        <v/>
      </c>
      <c r="Q518" t="str">
        <f>IF(ISBLANK('Data Input'!P518),"",'Data Input'!P518)</f>
        <v/>
      </c>
      <c r="R518" t="b">
        <f>IF(ISBLANK('Data Input'!Q518),"",'Data Input'!Q518)</f>
        <v>0</v>
      </c>
      <c r="T518" s="2">
        <f t="shared" si="34"/>
        <v>43302</v>
      </c>
      <c r="U518" s="12">
        <f t="shared" si="35"/>
        <v>9.375E-2</v>
      </c>
      <c r="V518" s="2">
        <f t="shared" si="32"/>
        <v>43302</v>
      </c>
      <c r="W518" s="12">
        <f t="shared" si="33"/>
        <v>0.90763888888888899</v>
      </c>
    </row>
    <row r="519" spans="1:23">
      <c r="A519">
        <f>IF(ISBLANK('Data Input'!A519),"",'Data Input'!A519)</f>
        <v>137</v>
      </c>
      <c r="B519" t="str">
        <f>IF(ISBLANK('Data Input'!B519),"",'Data Input'!B519)</f>
        <v>JL139</v>
      </c>
      <c r="C519" t="str">
        <f>IF(ISBLANK('Data Input'!C519),"",'Data Input'!C519)</f>
        <v>7/22/18 1150</v>
      </c>
      <c r="E519">
        <f>IF(ISBLANK('Data Input'!D519),"",'Data Input'!D519)</f>
        <v>43304</v>
      </c>
      <c r="G519">
        <f>IF(ISBLANK('Data Input'!E519),"",'Data Input'!E519)</f>
        <v>29</v>
      </c>
      <c r="H519" t="str">
        <f>IF(ISBLANK('Data Input'!F519),"",'Data Input'!F519)</f>
        <v>bb - Black</v>
      </c>
      <c r="I519" t="str">
        <f>IF(ISBLANK('Data Input'!G519),"",'Data Input'!G519)</f>
        <v>SVD</v>
      </c>
      <c r="J519" t="str">
        <f>IF(ISBLANK('Data Input'!I519),"",'Data Input'!I519)</f>
        <v>7=22=18 1753</v>
      </c>
      <c r="K519" t="str">
        <f>IF(ISBLANK('Data Input'!J519),"",'Data Input'!J519)</f>
        <v>bb - Ibuprofen</v>
      </c>
      <c r="L519">
        <f>IF(ISBLANK('Data Input'!K519),"",'Data Input'!K519)</f>
        <v>800</v>
      </c>
      <c r="M519">
        <f>IF(ISBLANK('Data Input'!L519),"",'Data Input'!L519)</f>
        <v>5</v>
      </c>
      <c r="N519">
        <f>IF(ISBLANK('Data Input'!M519),"",'Data Input'!M519)</f>
        <v>0</v>
      </c>
      <c r="O519" t="str">
        <f>IF(ISBLANK('Data Input'!N519),"",'Data Input'!N519)</f>
        <v/>
      </c>
      <c r="P519" t="str">
        <f>IF(ISBLANK('Data Input'!O519),"",'Data Input'!O519)</f>
        <v/>
      </c>
      <c r="Q519" t="str">
        <f>IF(ISBLANK('Data Input'!P519),"",'Data Input'!P519)</f>
        <v/>
      </c>
      <c r="R519" t="b">
        <f>IF(ISBLANK('Data Input'!Q519),"",'Data Input'!Q519)</f>
        <v>1</v>
      </c>
      <c r="T519" s="2">
        <f t="shared" si="34"/>
        <v>43303</v>
      </c>
      <c r="U519" s="12">
        <f t="shared" si="35"/>
        <v>0.49305555555555558</v>
      </c>
      <c r="V519" s="2">
        <f t="shared" ref="V519:V582" si="36">IFERROR(DATEVALUE(LEFT(E519,FIND(" ",E519))),E519)</f>
        <v>43304</v>
      </c>
      <c r="W519" s="12">
        <f t="shared" ref="W519:W582" si="37">IFERROR(TIMEVALUE(CONCATENATE(MID(E519,FIND(" ",E519)+1,2),":",RIGHT(E519,LEN(E519)-FIND(" ",E519)-2))),E519)</f>
        <v>43304</v>
      </c>
    </row>
    <row r="520" spans="1:23">
      <c r="A520">
        <f>IF(ISBLANK('Data Input'!A520),"",'Data Input'!A520)</f>
        <v>137</v>
      </c>
      <c r="B520" t="str">
        <f>IF(ISBLANK('Data Input'!B520),"",'Data Input'!B520)</f>
        <v>JL139</v>
      </c>
      <c r="C520" t="str">
        <f>IF(ISBLANK('Data Input'!C520),"",'Data Input'!C520)</f>
        <v>7/22/18 1150</v>
      </c>
      <c r="E520">
        <f>IF(ISBLANK('Data Input'!D520),"",'Data Input'!D520)</f>
        <v>43304</v>
      </c>
      <c r="G520">
        <f>IF(ISBLANK('Data Input'!E520),"",'Data Input'!E520)</f>
        <v>29</v>
      </c>
      <c r="H520" t="str">
        <f>IF(ISBLANK('Data Input'!F520),"",'Data Input'!F520)</f>
        <v>bb - Black</v>
      </c>
      <c r="I520" t="str">
        <f>IF(ISBLANK('Data Input'!G520),"",'Data Input'!G520)</f>
        <v>SVD</v>
      </c>
      <c r="J520" t="str">
        <f>IF(ISBLANK('Data Input'!I520),"",'Data Input'!I520)</f>
        <v>7=23=18 0620</v>
      </c>
      <c r="K520" t="str">
        <f>IF(ISBLANK('Data Input'!J520),"",'Data Input'!J520)</f>
        <v>bb - Ibuprofen</v>
      </c>
      <c r="L520">
        <f>IF(ISBLANK('Data Input'!K520),"",'Data Input'!K520)</f>
        <v>800</v>
      </c>
      <c r="M520">
        <f>IF(ISBLANK('Data Input'!L520),"",'Data Input'!L520)</f>
        <v>3</v>
      </c>
      <c r="N520">
        <f>IF(ISBLANK('Data Input'!M520),"",'Data Input'!M520)</f>
        <v>3</v>
      </c>
      <c r="O520" t="str">
        <f>IF(ISBLANK('Data Input'!N520),"",'Data Input'!N520)</f>
        <v/>
      </c>
      <c r="P520" t="str">
        <f>IF(ISBLANK('Data Input'!O520),"",'Data Input'!O520)</f>
        <v/>
      </c>
      <c r="Q520" t="str">
        <f>IF(ISBLANK('Data Input'!P520),"",'Data Input'!P520)</f>
        <v/>
      </c>
      <c r="R520" t="b">
        <f>IF(ISBLANK('Data Input'!Q520),"",'Data Input'!Q520)</f>
        <v>1</v>
      </c>
      <c r="T520" s="2">
        <f t="shared" si="34"/>
        <v>43303</v>
      </c>
      <c r="U520" s="12">
        <f t="shared" si="35"/>
        <v>0.49305555555555558</v>
      </c>
      <c r="V520" s="2">
        <f t="shared" si="36"/>
        <v>43304</v>
      </c>
      <c r="W520" s="12">
        <f t="shared" si="37"/>
        <v>43304</v>
      </c>
    </row>
    <row r="521" spans="1:23">
      <c r="A521">
        <f>IF(ISBLANK('Data Input'!A521),"",'Data Input'!A521)</f>
        <v>137</v>
      </c>
      <c r="B521" t="str">
        <f>IF(ISBLANK('Data Input'!B521),"",'Data Input'!B521)</f>
        <v>JL139</v>
      </c>
      <c r="C521" t="str">
        <f>IF(ISBLANK('Data Input'!C521),"",'Data Input'!C521)</f>
        <v>7/22/18 1150</v>
      </c>
      <c r="E521">
        <f>IF(ISBLANK('Data Input'!D521),"",'Data Input'!D521)</f>
        <v>43304</v>
      </c>
      <c r="G521">
        <f>IF(ISBLANK('Data Input'!E521),"",'Data Input'!E521)</f>
        <v>29</v>
      </c>
      <c r="H521" t="str">
        <f>IF(ISBLANK('Data Input'!F521),"",'Data Input'!F521)</f>
        <v>bb - Black</v>
      </c>
      <c r="I521" t="str">
        <f>IF(ISBLANK('Data Input'!G521),"",'Data Input'!G521)</f>
        <v>SVD</v>
      </c>
      <c r="J521" t="str">
        <f>IF(ISBLANK('Data Input'!I521),"",'Data Input'!I521)</f>
        <v>7=23=18 1021</v>
      </c>
      <c r="K521" t="str">
        <f>IF(ISBLANK('Data Input'!J521),"",'Data Input'!J521)</f>
        <v>tt - Tylenol</v>
      </c>
      <c r="L521">
        <f>IF(ISBLANK('Data Input'!K521),"",'Data Input'!K521)</f>
        <v>650</v>
      </c>
      <c r="M521">
        <f>IF(ISBLANK('Data Input'!L521),"",'Data Input'!L521)</f>
        <v>3</v>
      </c>
      <c r="N521">
        <f>IF(ISBLANK('Data Input'!M521),"",'Data Input'!M521)</f>
        <v>2</v>
      </c>
      <c r="O521" t="str">
        <f>IF(ISBLANK('Data Input'!N521),"",'Data Input'!N521)</f>
        <v/>
      </c>
      <c r="P521" t="str">
        <f>IF(ISBLANK('Data Input'!O521),"",'Data Input'!O521)</f>
        <v/>
      </c>
      <c r="Q521" t="str">
        <f>IF(ISBLANK('Data Input'!P521),"",'Data Input'!P521)</f>
        <v/>
      </c>
      <c r="R521" t="b">
        <f>IF(ISBLANK('Data Input'!Q521),"",'Data Input'!Q521)</f>
        <v>1</v>
      </c>
      <c r="T521" s="2">
        <f t="shared" si="34"/>
        <v>43303</v>
      </c>
      <c r="U521" s="12">
        <f t="shared" si="35"/>
        <v>0.49305555555555558</v>
      </c>
      <c r="V521" s="2">
        <f t="shared" si="36"/>
        <v>43304</v>
      </c>
      <c r="W521" s="12">
        <f t="shared" si="37"/>
        <v>43304</v>
      </c>
    </row>
    <row r="522" spans="1:23">
      <c r="A522">
        <f>IF(ISBLANK('Data Input'!A522),"",'Data Input'!A522)</f>
        <v>138</v>
      </c>
      <c r="B522" t="str">
        <f>IF(ISBLANK('Data Input'!B522),"",'Data Input'!B522)</f>
        <v>LS140</v>
      </c>
      <c r="C522" t="str">
        <f>IF(ISBLANK('Data Input'!C522),"",'Data Input'!C522)</f>
        <v>7/22/18 0455</v>
      </c>
      <c r="E522" t="str">
        <f>IF(ISBLANK('Data Input'!D522),"",'Data Input'!D522)</f>
        <v>dd - Missing Data</v>
      </c>
      <c r="G522">
        <f>IF(ISBLANK('Data Input'!E522),"",'Data Input'!E522)</f>
        <v>29</v>
      </c>
      <c r="H522" t="str">
        <f>IF(ISBLANK('Data Input'!F522),"",'Data Input'!F522)</f>
        <v>bb - Black</v>
      </c>
      <c r="I522" t="str">
        <f>IF(ISBLANK('Data Input'!G522),"",'Data Input'!G522)</f>
        <v>SVD</v>
      </c>
      <c r="J522" t="str">
        <f>IF(ISBLANK('Data Input'!I522),"",'Data Input'!I522)</f>
        <v>7=22=18 0537</v>
      </c>
      <c r="K522" t="str">
        <f>IF(ISBLANK('Data Input'!J522),"",'Data Input'!J522)</f>
        <v>bb - Ibuprofen</v>
      </c>
      <c r="L522">
        <f>IF(ISBLANK('Data Input'!K522),"",'Data Input'!K522)</f>
        <v>800</v>
      </c>
      <c r="M522">
        <f>IF(ISBLANK('Data Input'!L522),"",'Data Input'!L522)</f>
        <v>8</v>
      </c>
      <c r="N522">
        <f>IF(ISBLANK('Data Input'!M522),"",'Data Input'!M522)</f>
        <v>0</v>
      </c>
      <c r="O522" t="str">
        <f>IF(ISBLANK('Data Input'!N522),"",'Data Input'!N522)</f>
        <v/>
      </c>
      <c r="P522" t="str">
        <f>IF(ISBLANK('Data Input'!O522),"",'Data Input'!O522)</f>
        <v/>
      </c>
      <c r="Q522" t="str">
        <f>IF(ISBLANK('Data Input'!P522),"",'Data Input'!P522)</f>
        <v/>
      </c>
      <c r="R522" t="b">
        <f>IF(ISBLANK('Data Input'!Q522),"",'Data Input'!Q522)</f>
        <v>0</v>
      </c>
      <c r="T522" s="2">
        <f t="shared" si="34"/>
        <v>43303</v>
      </c>
      <c r="U522" s="12">
        <f t="shared" si="35"/>
        <v>0.20486111111111113</v>
      </c>
      <c r="V522" s="2" t="str">
        <f t="shared" si="36"/>
        <v>dd - Missing Data</v>
      </c>
      <c r="W522" s="12" t="str">
        <f t="shared" si="37"/>
        <v>dd - Missing Data</v>
      </c>
    </row>
    <row r="523" spans="1:23">
      <c r="A523">
        <f>IF(ISBLANK('Data Input'!A523),"",'Data Input'!A523)</f>
        <v>138</v>
      </c>
      <c r="B523" t="str">
        <f>IF(ISBLANK('Data Input'!B523),"",'Data Input'!B523)</f>
        <v>LS140</v>
      </c>
      <c r="C523" t="str">
        <f>IF(ISBLANK('Data Input'!C523),"",'Data Input'!C523)</f>
        <v>7/22/18 0455</v>
      </c>
      <c r="E523" t="str">
        <f>IF(ISBLANK('Data Input'!D523),"",'Data Input'!D523)</f>
        <v>dd - Missing Data</v>
      </c>
      <c r="G523">
        <f>IF(ISBLANK('Data Input'!E523),"",'Data Input'!E523)</f>
        <v>29</v>
      </c>
      <c r="H523" t="str">
        <f>IF(ISBLANK('Data Input'!F523),"",'Data Input'!F523)</f>
        <v>bb - Black</v>
      </c>
      <c r="I523" t="str">
        <f>IF(ISBLANK('Data Input'!G523),"",'Data Input'!G523)</f>
        <v>SVD</v>
      </c>
      <c r="J523" t="str">
        <f>IF(ISBLANK('Data Input'!I523),"",'Data Input'!I523)</f>
        <v>7=22=18 0537</v>
      </c>
      <c r="K523" t="str">
        <f>IF(ISBLANK('Data Input'!J523),"",'Data Input'!J523)</f>
        <v>rr - Percocet</v>
      </c>
      <c r="L523">
        <f>IF(ISBLANK('Data Input'!K523),"",'Data Input'!K523)</f>
        <v>2</v>
      </c>
      <c r="M523">
        <f>IF(ISBLANK('Data Input'!L523),"",'Data Input'!L523)</f>
        <v>8</v>
      </c>
      <c r="N523">
        <f>IF(ISBLANK('Data Input'!M523),"",'Data Input'!M523)</f>
        <v>0</v>
      </c>
      <c r="O523" t="str">
        <f>IF(ISBLANK('Data Input'!N523),"",'Data Input'!N523)</f>
        <v/>
      </c>
      <c r="P523" t="str">
        <f>IF(ISBLANK('Data Input'!O523),"",'Data Input'!O523)</f>
        <v/>
      </c>
      <c r="Q523" t="str">
        <f>IF(ISBLANK('Data Input'!P523),"",'Data Input'!P523)</f>
        <v/>
      </c>
      <c r="R523" t="b">
        <f>IF(ISBLANK('Data Input'!Q523),"",'Data Input'!Q523)</f>
        <v>0</v>
      </c>
      <c r="T523" s="2">
        <f t="shared" si="34"/>
        <v>43303</v>
      </c>
      <c r="U523" s="12">
        <f t="shared" si="35"/>
        <v>0.20486111111111113</v>
      </c>
      <c r="V523" s="2" t="str">
        <f t="shared" si="36"/>
        <v>dd - Missing Data</v>
      </c>
      <c r="W523" s="12" t="str">
        <f t="shared" si="37"/>
        <v>dd - Missing Data</v>
      </c>
    </row>
    <row r="524" spans="1:23">
      <c r="A524">
        <f>IF(ISBLANK('Data Input'!A524),"",'Data Input'!A524)</f>
        <v>138</v>
      </c>
      <c r="B524" t="str">
        <f>IF(ISBLANK('Data Input'!B524),"",'Data Input'!B524)</f>
        <v>LS140</v>
      </c>
      <c r="C524" t="str">
        <f>IF(ISBLANK('Data Input'!C524),"",'Data Input'!C524)</f>
        <v>7/22/18 0455</v>
      </c>
      <c r="E524" t="str">
        <f>IF(ISBLANK('Data Input'!D524),"",'Data Input'!D524)</f>
        <v>dd - Missing Data</v>
      </c>
      <c r="G524">
        <f>IF(ISBLANK('Data Input'!E524),"",'Data Input'!E524)</f>
        <v>29</v>
      </c>
      <c r="H524" t="str">
        <f>IF(ISBLANK('Data Input'!F524),"",'Data Input'!F524)</f>
        <v>bb - Black</v>
      </c>
      <c r="I524" t="str">
        <f>IF(ISBLANK('Data Input'!G524),"",'Data Input'!G524)</f>
        <v>SVD</v>
      </c>
      <c r="J524" t="str">
        <f>IF(ISBLANK('Data Input'!I524),"",'Data Input'!I524)</f>
        <v>7=22=18 1625</v>
      </c>
      <c r="K524" t="str">
        <f>IF(ISBLANK('Data Input'!J524),"",'Data Input'!J524)</f>
        <v>bb - Ibuprofen</v>
      </c>
      <c r="L524">
        <f>IF(ISBLANK('Data Input'!K524),"",'Data Input'!K524)</f>
        <v>800</v>
      </c>
      <c r="M524">
        <f>IF(ISBLANK('Data Input'!L524),"",'Data Input'!L524)</f>
        <v>7</v>
      </c>
      <c r="N524">
        <f>IF(ISBLANK('Data Input'!M524),"",'Data Input'!M524)</f>
        <v>4</v>
      </c>
      <c r="O524" t="str">
        <f>IF(ISBLANK('Data Input'!N524),"",'Data Input'!N524)</f>
        <v/>
      </c>
      <c r="P524" t="str">
        <f>IF(ISBLANK('Data Input'!O524),"",'Data Input'!O524)</f>
        <v/>
      </c>
      <c r="Q524" t="str">
        <f>IF(ISBLANK('Data Input'!P524),"",'Data Input'!P524)</f>
        <v/>
      </c>
      <c r="R524" t="b">
        <f>IF(ISBLANK('Data Input'!Q524),"",'Data Input'!Q524)</f>
        <v>0</v>
      </c>
      <c r="T524" s="2">
        <f t="shared" si="34"/>
        <v>43303</v>
      </c>
      <c r="U524" s="12">
        <f t="shared" si="35"/>
        <v>0.20486111111111113</v>
      </c>
      <c r="V524" s="2" t="str">
        <f t="shared" si="36"/>
        <v>dd - Missing Data</v>
      </c>
      <c r="W524" s="12" t="str">
        <f t="shared" si="37"/>
        <v>dd - Missing Data</v>
      </c>
    </row>
    <row r="525" spans="1:23">
      <c r="A525">
        <f>IF(ISBLANK('Data Input'!A525),"",'Data Input'!A525)</f>
        <v>138</v>
      </c>
      <c r="B525" t="str">
        <f>IF(ISBLANK('Data Input'!B525),"",'Data Input'!B525)</f>
        <v>LS140</v>
      </c>
      <c r="C525" t="str">
        <f>IF(ISBLANK('Data Input'!C525),"",'Data Input'!C525)</f>
        <v>7/22/18 0455</v>
      </c>
      <c r="E525" t="str">
        <f>IF(ISBLANK('Data Input'!D525),"",'Data Input'!D525)</f>
        <v>dd - Missing Data</v>
      </c>
      <c r="G525">
        <f>IF(ISBLANK('Data Input'!E525),"",'Data Input'!E525)</f>
        <v>29</v>
      </c>
      <c r="H525" t="str">
        <f>IF(ISBLANK('Data Input'!F525),"",'Data Input'!F525)</f>
        <v>bb - Black</v>
      </c>
      <c r="I525" t="str">
        <f>IF(ISBLANK('Data Input'!G525),"",'Data Input'!G525)</f>
        <v>SVD</v>
      </c>
      <c r="J525" t="str">
        <f>IF(ISBLANK('Data Input'!I525),"",'Data Input'!I525)</f>
        <v>7=22=18 1625</v>
      </c>
      <c r="K525" t="str">
        <f>IF(ISBLANK('Data Input'!J525),"",'Data Input'!J525)</f>
        <v>rr - Percocet</v>
      </c>
      <c r="L525">
        <f>IF(ISBLANK('Data Input'!K525),"",'Data Input'!K525)</f>
        <v>1</v>
      </c>
      <c r="M525">
        <f>IF(ISBLANK('Data Input'!L525),"",'Data Input'!L525)</f>
        <v>7</v>
      </c>
      <c r="N525">
        <f>IF(ISBLANK('Data Input'!M525),"",'Data Input'!M525)</f>
        <v>4</v>
      </c>
      <c r="O525" t="str">
        <f>IF(ISBLANK('Data Input'!N525),"",'Data Input'!N525)</f>
        <v/>
      </c>
      <c r="P525" t="str">
        <f>IF(ISBLANK('Data Input'!O525),"",'Data Input'!O525)</f>
        <v/>
      </c>
      <c r="Q525" t="str">
        <f>IF(ISBLANK('Data Input'!P525),"",'Data Input'!P525)</f>
        <v/>
      </c>
      <c r="R525" t="b">
        <f>IF(ISBLANK('Data Input'!Q525),"",'Data Input'!Q525)</f>
        <v>0</v>
      </c>
      <c r="T525" s="2">
        <f t="shared" si="34"/>
        <v>43303</v>
      </c>
      <c r="U525" s="12">
        <f t="shared" si="35"/>
        <v>0.20486111111111113</v>
      </c>
      <c r="V525" s="2" t="str">
        <f t="shared" si="36"/>
        <v>dd - Missing Data</v>
      </c>
      <c r="W525" s="12" t="str">
        <f t="shared" si="37"/>
        <v>dd - Missing Data</v>
      </c>
    </row>
    <row r="526" spans="1:23">
      <c r="A526">
        <f>IF(ISBLANK('Data Input'!A526),"",'Data Input'!A526)</f>
        <v>138</v>
      </c>
      <c r="B526" t="str">
        <f>IF(ISBLANK('Data Input'!B526),"",'Data Input'!B526)</f>
        <v>LS140</v>
      </c>
      <c r="C526" t="str">
        <f>IF(ISBLANK('Data Input'!C526),"",'Data Input'!C526)</f>
        <v>7/22/18 0455</v>
      </c>
      <c r="E526" t="str">
        <f>IF(ISBLANK('Data Input'!D526),"",'Data Input'!D526)</f>
        <v>dd - Missing Data</v>
      </c>
      <c r="G526">
        <f>IF(ISBLANK('Data Input'!E526),"",'Data Input'!E526)</f>
        <v>29</v>
      </c>
      <c r="H526" t="str">
        <f>IF(ISBLANK('Data Input'!F526),"",'Data Input'!F526)</f>
        <v>bb - Black</v>
      </c>
      <c r="I526" t="str">
        <f>IF(ISBLANK('Data Input'!G526),"",'Data Input'!G526)</f>
        <v>SVD</v>
      </c>
      <c r="J526" t="str">
        <f>IF(ISBLANK('Data Input'!I526),"",'Data Input'!I526)</f>
        <v>7=23=18 0441</v>
      </c>
      <c r="K526" t="str">
        <f>IF(ISBLANK('Data Input'!J526),"",'Data Input'!J526)</f>
        <v>bb - Ibuprofen</v>
      </c>
      <c r="L526">
        <f>IF(ISBLANK('Data Input'!K526),"",'Data Input'!K526)</f>
        <v>800</v>
      </c>
      <c r="M526">
        <f>IF(ISBLANK('Data Input'!L526),"",'Data Input'!L526)</f>
        <v>3</v>
      </c>
      <c r="N526">
        <f>IF(ISBLANK('Data Input'!M526),"",'Data Input'!M526)</f>
        <v>0</v>
      </c>
      <c r="O526" t="str">
        <f>IF(ISBLANK('Data Input'!N526),"",'Data Input'!N526)</f>
        <v/>
      </c>
      <c r="P526" t="str">
        <f>IF(ISBLANK('Data Input'!O526),"",'Data Input'!O526)</f>
        <v/>
      </c>
      <c r="Q526" t="str">
        <f>IF(ISBLANK('Data Input'!P526),"",'Data Input'!P526)</f>
        <v/>
      </c>
      <c r="R526" t="b">
        <f>IF(ISBLANK('Data Input'!Q526),"",'Data Input'!Q526)</f>
        <v>0</v>
      </c>
      <c r="T526" s="2">
        <f t="shared" si="34"/>
        <v>43303</v>
      </c>
      <c r="U526" s="12">
        <f t="shared" si="35"/>
        <v>0.20486111111111113</v>
      </c>
      <c r="V526" s="2" t="str">
        <f t="shared" si="36"/>
        <v>dd - Missing Data</v>
      </c>
      <c r="W526" s="12" t="str">
        <f t="shared" si="37"/>
        <v>dd - Missing Data</v>
      </c>
    </row>
    <row r="527" spans="1:23">
      <c r="A527">
        <f>IF(ISBLANK('Data Input'!A527),"",'Data Input'!A527)</f>
        <v>139</v>
      </c>
      <c r="B527" t="str">
        <f>IF(ISBLANK('Data Input'!B527),"",'Data Input'!B527)</f>
        <v>AH141</v>
      </c>
      <c r="C527" t="str">
        <f>IF(ISBLANK('Data Input'!C527),"",'Data Input'!C527)</f>
        <v>7/21/18 2000</v>
      </c>
      <c r="E527" t="str">
        <f>IF(ISBLANK('Data Input'!D527),"",'Data Input'!D527)</f>
        <v>7/22/18 1754</v>
      </c>
      <c r="G527">
        <f>IF(ISBLANK('Data Input'!E527),"",'Data Input'!E527)</f>
        <v>20</v>
      </c>
      <c r="H527" t="str">
        <f>IF(ISBLANK('Data Input'!F527),"",'Data Input'!F527)</f>
        <v>White</v>
      </c>
      <c r="I527" t="str">
        <f>IF(ISBLANK('Data Input'!G527),"",'Data Input'!G527)</f>
        <v>SVD</v>
      </c>
      <c r="J527" t="str">
        <f>IF(ISBLANK('Data Input'!I527),"",'Data Input'!I527)</f>
        <v>7=22=18 0110</v>
      </c>
      <c r="K527" t="str">
        <f>IF(ISBLANK('Data Input'!J527),"",'Data Input'!J527)</f>
        <v>bb - Ibuprofen</v>
      </c>
      <c r="L527">
        <f>IF(ISBLANK('Data Input'!K527),"",'Data Input'!K527)</f>
        <v>800</v>
      </c>
      <c r="M527">
        <f>IF(ISBLANK('Data Input'!L527),"",'Data Input'!L527)</f>
        <v>7</v>
      </c>
      <c r="N527">
        <f>IF(ISBLANK('Data Input'!M527),"",'Data Input'!M527)</f>
        <v>2</v>
      </c>
      <c r="O527" t="str">
        <f>IF(ISBLANK('Data Input'!N527),"",'Data Input'!N527)</f>
        <v/>
      </c>
      <c r="P527" t="str">
        <f>IF(ISBLANK('Data Input'!O527),"",'Data Input'!O527)</f>
        <v/>
      </c>
      <c r="Q527" t="str">
        <f>IF(ISBLANK('Data Input'!P527),"",'Data Input'!P527)</f>
        <v/>
      </c>
      <c r="R527" t="b">
        <f>IF(ISBLANK('Data Input'!Q527),"",'Data Input'!Q527)</f>
        <v>1</v>
      </c>
      <c r="T527" s="2">
        <f t="shared" si="34"/>
        <v>43302</v>
      </c>
      <c r="U527" s="12">
        <f t="shared" si="35"/>
        <v>0.83333333333333337</v>
      </c>
      <c r="V527" s="2">
        <f t="shared" si="36"/>
        <v>43303</v>
      </c>
      <c r="W527" s="12">
        <f t="shared" si="37"/>
        <v>0.74583333333333324</v>
      </c>
    </row>
    <row r="528" spans="1:23">
      <c r="A528">
        <f>IF(ISBLANK('Data Input'!A528),"",'Data Input'!A528)</f>
        <v>139</v>
      </c>
      <c r="B528" t="str">
        <f>IF(ISBLANK('Data Input'!B528),"",'Data Input'!B528)</f>
        <v>AH141</v>
      </c>
      <c r="C528" t="str">
        <f>IF(ISBLANK('Data Input'!C528),"",'Data Input'!C528)</f>
        <v>7/21/18 2000</v>
      </c>
      <c r="E528" t="str">
        <f>IF(ISBLANK('Data Input'!D528),"",'Data Input'!D528)</f>
        <v>7/22/18 1754</v>
      </c>
      <c r="G528">
        <f>IF(ISBLANK('Data Input'!E528),"",'Data Input'!E528)</f>
        <v>20</v>
      </c>
      <c r="H528" t="str">
        <f>IF(ISBLANK('Data Input'!F528),"",'Data Input'!F528)</f>
        <v>White</v>
      </c>
      <c r="I528" t="str">
        <f>IF(ISBLANK('Data Input'!G528),"",'Data Input'!G528)</f>
        <v>SVD</v>
      </c>
      <c r="J528" t="str">
        <f>IF(ISBLANK('Data Input'!I528),"",'Data Input'!I528)</f>
        <v>7=22=18 1025</v>
      </c>
      <c r="K528" t="str">
        <f>IF(ISBLANK('Data Input'!J528),"",'Data Input'!J528)</f>
        <v>bb - Ibuprofen</v>
      </c>
      <c r="L528">
        <f>IF(ISBLANK('Data Input'!K528),"",'Data Input'!K528)</f>
        <v>800</v>
      </c>
      <c r="M528">
        <f>IF(ISBLANK('Data Input'!L528),"",'Data Input'!L528)</f>
        <v>8</v>
      </c>
      <c r="N528">
        <f>IF(ISBLANK('Data Input'!M528),"",'Data Input'!M528)</f>
        <v>3</v>
      </c>
      <c r="O528" t="str">
        <f>IF(ISBLANK('Data Input'!N528),"",'Data Input'!N528)</f>
        <v/>
      </c>
      <c r="P528" t="str">
        <f>IF(ISBLANK('Data Input'!O528),"",'Data Input'!O528)</f>
        <v/>
      </c>
      <c r="Q528" t="str">
        <f>IF(ISBLANK('Data Input'!P528),"",'Data Input'!P528)</f>
        <v/>
      </c>
      <c r="R528" t="b">
        <f>IF(ISBLANK('Data Input'!Q528),"",'Data Input'!Q528)</f>
        <v>1</v>
      </c>
      <c r="T528" s="2">
        <f t="shared" si="34"/>
        <v>43302</v>
      </c>
      <c r="U528" s="12">
        <f t="shared" si="35"/>
        <v>0.83333333333333337</v>
      </c>
      <c r="V528" s="2">
        <f t="shared" si="36"/>
        <v>43303</v>
      </c>
      <c r="W528" s="12">
        <f t="shared" si="37"/>
        <v>0.74583333333333324</v>
      </c>
    </row>
    <row r="529" spans="1:23">
      <c r="A529">
        <f>IF(ISBLANK('Data Input'!A529),"",'Data Input'!A529)</f>
        <v>139</v>
      </c>
      <c r="B529" t="str">
        <f>IF(ISBLANK('Data Input'!B529),"",'Data Input'!B529)</f>
        <v>AH141</v>
      </c>
      <c r="C529" t="str">
        <f>IF(ISBLANK('Data Input'!C529),"",'Data Input'!C529)</f>
        <v>7/21/18 2000</v>
      </c>
      <c r="E529" t="str">
        <f>IF(ISBLANK('Data Input'!D529),"",'Data Input'!D529)</f>
        <v>7/22/18 1754</v>
      </c>
      <c r="G529">
        <f>IF(ISBLANK('Data Input'!E529),"",'Data Input'!E529)</f>
        <v>20</v>
      </c>
      <c r="H529" t="str">
        <f>IF(ISBLANK('Data Input'!F529),"",'Data Input'!F529)</f>
        <v>White</v>
      </c>
      <c r="I529" t="str">
        <f>IF(ISBLANK('Data Input'!G529),"",'Data Input'!G529)</f>
        <v>SVD</v>
      </c>
      <c r="J529" t="str">
        <f>IF(ISBLANK('Data Input'!I529),"",'Data Input'!I529)</f>
        <v>7=22=18 1025</v>
      </c>
      <c r="K529" t="str">
        <f>IF(ISBLANK('Data Input'!J529),"",'Data Input'!J529)</f>
        <v>rr - Percocet</v>
      </c>
      <c r="L529">
        <f>IF(ISBLANK('Data Input'!K529),"",'Data Input'!K529)</f>
        <v>1</v>
      </c>
      <c r="M529">
        <f>IF(ISBLANK('Data Input'!L529),"",'Data Input'!L529)</f>
        <v>8</v>
      </c>
      <c r="N529">
        <f>IF(ISBLANK('Data Input'!M529),"",'Data Input'!M529)</f>
        <v>3</v>
      </c>
      <c r="O529" t="str">
        <f>IF(ISBLANK('Data Input'!N529),"",'Data Input'!N529)</f>
        <v/>
      </c>
      <c r="P529" t="str">
        <f>IF(ISBLANK('Data Input'!O529),"",'Data Input'!O529)</f>
        <v/>
      </c>
      <c r="Q529" t="str">
        <f>IF(ISBLANK('Data Input'!P529),"",'Data Input'!P529)</f>
        <v/>
      </c>
      <c r="R529" t="b">
        <f>IF(ISBLANK('Data Input'!Q529),"",'Data Input'!Q529)</f>
        <v>1</v>
      </c>
      <c r="T529" s="2">
        <f t="shared" si="34"/>
        <v>43302</v>
      </c>
      <c r="U529" s="12">
        <f t="shared" si="35"/>
        <v>0.83333333333333337</v>
      </c>
      <c r="V529" s="2">
        <f t="shared" si="36"/>
        <v>43303</v>
      </c>
      <c r="W529" s="12">
        <f t="shared" si="37"/>
        <v>0.74583333333333324</v>
      </c>
    </row>
    <row r="530" spans="1:23">
      <c r="A530">
        <f>IF(ISBLANK('Data Input'!A530),"",'Data Input'!A530)</f>
        <v>139</v>
      </c>
      <c r="B530" t="str">
        <f>IF(ISBLANK('Data Input'!B530),"",'Data Input'!B530)</f>
        <v>AH141</v>
      </c>
      <c r="C530" t="str">
        <f>IF(ISBLANK('Data Input'!C530),"",'Data Input'!C530)</f>
        <v>7/21/18 2000</v>
      </c>
      <c r="E530" t="str">
        <f>IF(ISBLANK('Data Input'!D530),"",'Data Input'!D530)</f>
        <v>7/22/18 1754</v>
      </c>
      <c r="G530">
        <f>IF(ISBLANK('Data Input'!E530),"",'Data Input'!E530)</f>
        <v>20</v>
      </c>
      <c r="H530" t="str">
        <f>IF(ISBLANK('Data Input'!F530),"",'Data Input'!F530)</f>
        <v>White</v>
      </c>
      <c r="I530" t="str">
        <f>IF(ISBLANK('Data Input'!G530),"",'Data Input'!G530)</f>
        <v>SVD</v>
      </c>
      <c r="J530" t="str">
        <f>IF(ISBLANK('Data Input'!I530),"",'Data Input'!I530)</f>
        <v>7=22=18 1754</v>
      </c>
      <c r="K530" t="str">
        <f>IF(ISBLANK('Data Input'!J530),"",'Data Input'!J530)</f>
        <v>bb - Ibuprofen</v>
      </c>
      <c r="L530">
        <f>IF(ISBLANK('Data Input'!K530),"",'Data Input'!K530)</f>
        <v>800</v>
      </c>
      <c r="M530">
        <f>IF(ISBLANK('Data Input'!L530),"",'Data Input'!L530)</f>
        <v>7</v>
      </c>
      <c r="N530">
        <f>IF(ISBLANK('Data Input'!M530),"",'Data Input'!M530)</f>
        <v>4</v>
      </c>
      <c r="O530" t="str">
        <f>IF(ISBLANK('Data Input'!N530),"",'Data Input'!N530)</f>
        <v/>
      </c>
      <c r="P530" t="str">
        <f>IF(ISBLANK('Data Input'!O530),"",'Data Input'!O530)</f>
        <v/>
      </c>
      <c r="Q530" t="str">
        <f>IF(ISBLANK('Data Input'!P530),"",'Data Input'!P530)</f>
        <v/>
      </c>
      <c r="R530" t="b">
        <f>IF(ISBLANK('Data Input'!Q530),"",'Data Input'!Q530)</f>
        <v>1</v>
      </c>
      <c r="T530" s="2">
        <f t="shared" si="34"/>
        <v>43302</v>
      </c>
      <c r="U530" s="12">
        <f t="shared" si="35"/>
        <v>0.83333333333333337</v>
      </c>
      <c r="V530" s="2">
        <f t="shared" si="36"/>
        <v>43303</v>
      </c>
      <c r="W530" s="12">
        <f t="shared" si="37"/>
        <v>0.74583333333333324</v>
      </c>
    </row>
    <row r="531" spans="1:23">
      <c r="A531">
        <f>IF(ISBLANK('Data Input'!A531),"",'Data Input'!A531)</f>
        <v>139</v>
      </c>
      <c r="B531" t="str">
        <f>IF(ISBLANK('Data Input'!B531),"",'Data Input'!B531)</f>
        <v>AH141</v>
      </c>
      <c r="C531" t="str">
        <f>IF(ISBLANK('Data Input'!C531),"",'Data Input'!C531)</f>
        <v>7/21/18 2000</v>
      </c>
      <c r="E531" t="str">
        <f>IF(ISBLANK('Data Input'!D531),"",'Data Input'!D531)</f>
        <v>7/22/18 1754</v>
      </c>
      <c r="G531">
        <f>IF(ISBLANK('Data Input'!E531),"",'Data Input'!E531)</f>
        <v>20</v>
      </c>
      <c r="H531" t="str">
        <f>IF(ISBLANK('Data Input'!F531),"",'Data Input'!F531)</f>
        <v>White</v>
      </c>
      <c r="I531" t="str">
        <f>IF(ISBLANK('Data Input'!G531),"",'Data Input'!G531)</f>
        <v>SVD</v>
      </c>
      <c r="J531" t="str">
        <f>IF(ISBLANK('Data Input'!I531),"",'Data Input'!I531)</f>
        <v>7=22=18 1754</v>
      </c>
      <c r="K531" t="str">
        <f>IF(ISBLANK('Data Input'!J531),"",'Data Input'!J531)</f>
        <v>rr - Percocet</v>
      </c>
      <c r="L531">
        <f>IF(ISBLANK('Data Input'!K531),"",'Data Input'!K531)</f>
        <v>1</v>
      </c>
      <c r="M531">
        <f>IF(ISBLANK('Data Input'!L531),"",'Data Input'!L531)</f>
        <v>7</v>
      </c>
      <c r="N531">
        <f>IF(ISBLANK('Data Input'!M531),"",'Data Input'!M531)</f>
        <v>4</v>
      </c>
      <c r="O531" t="str">
        <f>IF(ISBLANK('Data Input'!N531),"",'Data Input'!N531)</f>
        <v/>
      </c>
      <c r="P531" t="str">
        <f>IF(ISBLANK('Data Input'!O531),"",'Data Input'!O531)</f>
        <v/>
      </c>
      <c r="Q531" t="str">
        <f>IF(ISBLANK('Data Input'!P531),"",'Data Input'!P531)</f>
        <v/>
      </c>
      <c r="R531" t="b">
        <f>IF(ISBLANK('Data Input'!Q531),"",'Data Input'!Q531)</f>
        <v>1</v>
      </c>
      <c r="T531" s="2">
        <f t="shared" si="34"/>
        <v>43302</v>
      </c>
      <c r="U531" s="12">
        <f t="shared" si="35"/>
        <v>0.83333333333333337</v>
      </c>
      <c r="V531" s="2">
        <f t="shared" si="36"/>
        <v>43303</v>
      </c>
      <c r="W531" s="12">
        <f t="shared" si="37"/>
        <v>0.74583333333333324</v>
      </c>
    </row>
    <row r="532" spans="1:23">
      <c r="A532">
        <f>IF(ISBLANK('Data Input'!A532),"",'Data Input'!A532)</f>
        <v>140</v>
      </c>
      <c r="B532" t="str">
        <f>IF(ISBLANK('Data Input'!B532),"",'Data Input'!B532)</f>
        <v>AH142</v>
      </c>
      <c r="C532" t="str">
        <f>IF(ISBLANK('Data Input'!C532),"",'Data Input'!C532)</f>
        <v>7/23/18 0933</v>
      </c>
      <c r="E532" t="str">
        <f>IF(ISBLANK('Data Input'!D532),"",'Data Input'!D532)</f>
        <v>7/23/18 1945</v>
      </c>
      <c r="G532">
        <f>IF(ISBLANK('Data Input'!E532),"",'Data Input'!E532)</f>
        <v>38</v>
      </c>
      <c r="H532" t="str">
        <f>IF(ISBLANK('Data Input'!F532),"",'Data Input'!F532)</f>
        <v>White</v>
      </c>
      <c r="I532" t="str">
        <f>IF(ISBLANK('Data Input'!G532),"",'Data Input'!G532)</f>
        <v>SVD</v>
      </c>
      <c r="J532" t="str">
        <f>IF(ISBLANK('Data Input'!I532),"",'Data Input'!I532)</f>
        <v>7=23=18 1138</v>
      </c>
      <c r="K532" t="str">
        <f>IF(ISBLANK('Data Input'!J532),"",'Data Input'!J532)</f>
        <v>bb - Ibuprofen</v>
      </c>
      <c r="L532">
        <f>IF(ISBLANK('Data Input'!K532),"",'Data Input'!K532)</f>
        <v>800</v>
      </c>
      <c r="M532" t="str">
        <f>IF(ISBLANK('Data Input'!L532),"",'Data Input'!L532)</f>
        <v>dd - Missing Data</v>
      </c>
      <c r="N532" t="str">
        <f>IF(ISBLANK('Data Input'!M532),"",'Data Input'!M532)</f>
        <v>dd - Missing Data</v>
      </c>
      <c r="O532" t="str">
        <f>IF(ISBLANK('Data Input'!N532),"",'Data Input'!N532)</f>
        <v/>
      </c>
      <c r="P532" t="str">
        <f>IF(ISBLANK('Data Input'!O532),"",'Data Input'!O532)</f>
        <v/>
      </c>
      <c r="Q532" t="str">
        <f>IF(ISBLANK('Data Input'!P532),"",'Data Input'!P532)</f>
        <v/>
      </c>
      <c r="R532" t="b">
        <f>IF(ISBLANK('Data Input'!Q532),"",'Data Input'!Q532)</f>
        <v>0</v>
      </c>
      <c r="T532" s="2">
        <f t="shared" si="34"/>
        <v>43304</v>
      </c>
      <c r="U532" s="12">
        <f t="shared" si="35"/>
        <v>0.3979166666666667</v>
      </c>
      <c r="V532" s="2">
        <f t="shared" si="36"/>
        <v>43304</v>
      </c>
      <c r="W532" s="12">
        <f t="shared" si="37"/>
        <v>0.82291666666666663</v>
      </c>
    </row>
    <row r="533" spans="1:23">
      <c r="A533">
        <f>IF(ISBLANK('Data Input'!A533),"",'Data Input'!A533)</f>
        <v>140</v>
      </c>
      <c r="B533" t="str">
        <f>IF(ISBLANK('Data Input'!B533),"",'Data Input'!B533)</f>
        <v>AH142</v>
      </c>
      <c r="C533" t="str">
        <f>IF(ISBLANK('Data Input'!C533),"",'Data Input'!C533)</f>
        <v>7/23/18 0933</v>
      </c>
      <c r="E533" t="str">
        <f>IF(ISBLANK('Data Input'!D533),"",'Data Input'!D533)</f>
        <v>7/23/18 1945</v>
      </c>
      <c r="G533">
        <f>IF(ISBLANK('Data Input'!E533),"",'Data Input'!E533)</f>
        <v>38</v>
      </c>
      <c r="H533" t="str">
        <f>IF(ISBLANK('Data Input'!F533),"",'Data Input'!F533)</f>
        <v>White</v>
      </c>
      <c r="I533" t="str">
        <f>IF(ISBLANK('Data Input'!G533),"",'Data Input'!G533)</f>
        <v>SVD</v>
      </c>
      <c r="J533" t="str">
        <f>IF(ISBLANK('Data Input'!I533),"",'Data Input'!I533)</f>
        <v>7=23=18 1945</v>
      </c>
      <c r="K533" t="str">
        <f>IF(ISBLANK('Data Input'!J533),"",'Data Input'!J533)</f>
        <v>bb - Ibuprofen</v>
      </c>
      <c r="L533">
        <f>IF(ISBLANK('Data Input'!K533),"",'Data Input'!K533)</f>
        <v>800</v>
      </c>
      <c r="M533" t="str">
        <f>IF(ISBLANK('Data Input'!L533),"",'Data Input'!L533)</f>
        <v>dd - Missing Data</v>
      </c>
      <c r="N533" t="str">
        <f>IF(ISBLANK('Data Input'!M533),"",'Data Input'!M533)</f>
        <v>dd - Missing Data</v>
      </c>
      <c r="O533" t="str">
        <f>IF(ISBLANK('Data Input'!N533),"",'Data Input'!N533)</f>
        <v/>
      </c>
      <c r="P533" t="str">
        <f>IF(ISBLANK('Data Input'!O533),"",'Data Input'!O533)</f>
        <v/>
      </c>
      <c r="Q533" t="str">
        <f>IF(ISBLANK('Data Input'!P533),"",'Data Input'!P533)</f>
        <v/>
      </c>
      <c r="R533" t="b">
        <f>IF(ISBLANK('Data Input'!Q533),"",'Data Input'!Q533)</f>
        <v>0</v>
      </c>
      <c r="T533" s="2">
        <f t="shared" si="34"/>
        <v>43304</v>
      </c>
      <c r="U533" s="12">
        <f t="shared" si="35"/>
        <v>0.3979166666666667</v>
      </c>
      <c r="V533" s="2">
        <f t="shared" si="36"/>
        <v>43304</v>
      </c>
      <c r="W533" s="12">
        <f t="shared" si="37"/>
        <v>0.82291666666666663</v>
      </c>
    </row>
    <row r="534" spans="1:23">
      <c r="A534">
        <f>IF(ISBLANK('Data Input'!A534),"",'Data Input'!A534)</f>
        <v>141</v>
      </c>
      <c r="B534" t="str">
        <f>IF(ISBLANK('Data Input'!B534),"",'Data Input'!B534)</f>
        <v>ZC143</v>
      </c>
      <c r="C534" t="str">
        <f>IF(ISBLANK('Data Input'!C534),"",'Data Input'!C534)</f>
        <v>7/24/18 0535</v>
      </c>
      <c r="E534">
        <f>IF(ISBLANK('Data Input'!D534),"",'Data Input'!D534)</f>
        <v>43306</v>
      </c>
      <c r="G534">
        <f>IF(ISBLANK('Data Input'!E534),"",'Data Input'!E534)</f>
        <v>17</v>
      </c>
      <c r="H534" t="str">
        <f>IF(ISBLANK('Data Input'!F534),"",'Data Input'!F534)</f>
        <v>bb - Black</v>
      </c>
      <c r="I534" t="str">
        <f>IF(ISBLANK('Data Input'!G534),"",'Data Input'!G534)</f>
        <v>SVD</v>
      </c>
      <c r="J534" t="str">
        <f>IF(ISBLANK('Data Input'!I534),"",'Data Input'!I534)</f>
        <v>7=24=18 1012</v>
      </c>
      <c r="K534" t="str">
        <f>IF(ISBLANK('Data Input'!J534),"",'Data Input'!J534)</f>
        <v>bb - Ibuprofen</v>
      </c>
      <c r="L534">
        <f>IF(ISBLANK('Data Input'!K534),"",'Data Input'!K534)</f>
        <v>800</v>
      </c>
      <c r="M534">
        <f>IF(ISBLANK('Data Input'!L534),"",'Data Input'!L534)</f>
        <v>5</v>
      </c>
      <c r="N534">
        <f>IF(ISBLANK('Data Input'!M534),"",'Data Input'!M534)</f>
        <v>2</v>
      </c>
      <c r="O534" t="str">
        <f>IF(ISBLANK('Data Input'!N534),"",'Data Input'!N534)</f>
        <v/>
      </c>
      <c r="P534" t="str">
        <f>IF(ISBLANK('Data Input'!O534),"",'Data Input'!O534)</f>
        <v/>
      </c>
      <c r="Q534" t="str">
        <f>IF(ISBLANK('Data Input'!P534),"",'Data Input'!P534)</f>
        <v/>
      </c>
      <c r="R534" t="b">
        <f>IF(ISBLANK('Data Input'!Q534),"",'Data Input'!Q534)</f>
        <v>1</v>
      </c>
      <c r="T534" s="2">
        <f t="shared" si="34"/>
        <v>43305</v>
      </c>
      <c r="U534" s="12">
        <f t="shared" si="35"/>
        <v>0.23263888888888887</v>
      </c>
      <c r="V534" s="2">
        <f t="shared" si="36"/>
        <v>43306</v>
      </c>
      <c r="W534" s="12">
        <f t="shared" si="37"/>
        <v>43306</v>
      </c>
    </row>
    <row r="535" spans="1:23">
      <c r="A535">
        <f>IF(ISBLANK('Data Input'!A535),"",'Data Input'!A535)</f>
        <v>141</v>
      </c>
      <c r="B535" t="str">
        <f>IF(ISBLANK('Data Input'!B535),"",'Data Input'!B535)</f>
        <v>ZC143</v>
      </c>
      <c r="C535" t="str">
        <f>IF(ISBLANK('Data Input'!C535),"",'Data Input'!C535)</f>
        <v>7/24/18 0535</v>
      </c>
      <c r="E535">
        <f>IF(ISBLANK('Data Input'!D535),"",'Data Input'!D535)</f>
        <v>43306</v>
      </c>
      <c r="G535">
        <f>IF(ISBLANK('Data Input'!E535),"",'Data Input'!E535)</f>
        <v>17</v>
      </c>
      <c r="H535" t="str">
        <f>IF(ISBLANK('Data Input'!F535),"",'Data Input'!F535)</f>
        <v>bb - Black</v>
      </c>
      <c r="I535" t="str">
        <f>IF(ISBLANK('Data Input'!G535),"",'Data Input'!G535)</f>
        <v>SVD</v>
      </c>
      <c r="J535" t="str">
        <f>IF(ISBLANK('Data Input'!I535),"",'Data Input'!I535)</f>
        <v>7=24=18 1454</v>
      </c>
      <c r="K535" t="str">
        <f>IF(ISBLANK('Data Input'!J535),"",'Data Input'!J535)</f>
        <v>rr - Percocet</v>
      </c>
      <c r="L535">
        <f>IF(ISBLANK('Data Input'!K535),"",'Data Input'!K535)</f>
        <v>1</v>
      </c>
      <c r="M535">
        <f>IF(ISBLANK('Data Input'!L535),"",'Data Input'!L535)</f>
        <v>4</v>
      </c>
      <c r="N535">
        <f>IF(ISBLANK('Data Input'!M535),"",'Data Input'!M535)</f>
        <v>1</v>
      </c>
      <c r="O535" t="str">
        <f>IF(ISBLANK('Data Input'!N535),"",'Data Input'!N535)</f>
        <v/>
      </c>
      <c r="P535" t="str">
        <f>IF(ISBLANK('Data Input'!O535),"",'Data Input'!O535)</f>
        <v/>
      </c>
      <c r="Q535" t="str">
        <f>IF(ISBLANK('Data Input'!P535),"",'Data Input'!P535)</f>
        <v/>
      </c>
      <c r="R535" t="b">
        <f>IF(ISBLANK('Data Input'!Q535),"",'Data Input'!Q535)</f>
        <v>1</v>
      </c>
      <c r="T535" s="2">
        <f t="shared" si="34"/>
        <v>43305</v>
      </c>
      <c r="U535" s="12">
        <f t="shared" si="35"/>
        <v>0.23263888888888887</v>
      </c>
      <c r="V535" s="2">
        <f t="shared" si="36"/>
        <v>43306</v>
      </c>
      <c r="W535" s="12">
        <f t="shared" si="37"/>
        <v>43306</v>
      </c>
    </row>
    <row r="536" spans="1:23">
      <c r="A536">
        <f>IF(ISBLANK('Data Input'!A536),"",'Data Input'!A536)</f>
        <v>141</v>
      </c>
      <c r="B536" t="str">
        <f>IF(ISBLANK('Data Input'!B536),"",'Data Input'!B536)</f>
        <v>ZC143</v>
      </c>
      <c r="C536" t="str">
        <f>IF(ISBLANK('Data Input'!C536),"",'Data Input'!C536)</f>
        <v>7/24/18 0535</v>
      </c>
      <c r="E536">
        <f>IF(ISBLANK('Data Input'!D536),"",'Data Input'!D536)</f>
        <v>43306</v>
      </c>
      <c r="G536">
        <f>IF(ISBLANK('Data Input'!E536),"",'Data Input'!E536)</f>
        <v>17</v>
      </c>
      <c r="H536" t="str">
        <f>IF(ISBLANK('Data Input'!F536),"",'Data Input'!F536)</f>
        <v>bb - Black</v>
      </c>
      <c r="I536" t="str">
        <f>IF(ISBLANK('Data Input'!G536),"",'Data Input'!G536)</f>
        <v>SVD</v>
      </c>
      <c r="J536" t="str">
        <f>IF(ISBLANK('Data Input'!I536),"",'Data Input'!I536)</f>
        <v>7=24=18 1733</v>
      </c>
      <c r="K536" t="str">
        <f>IF(ISBLANK('Data Input'!J536),"",'Data Input'!J536)</f>
        <v>bb - Ibuprofen</v>
      </c>
      <c r="L536">
        <f>IF(ISBLANK('Data Input'!K536),"",'Data Input'!K536)</f>
        <v>800</v>
      </c>
      <c r="M536">
        <f>IF(ISBLANK('Data Input'!L536),"",'Data Input'!L536)</f>
        <v>3</v>
      </c>
      <c r="N536">
        <f>IF(ISBLANK('Data Input'!M536),"",'Data Input'!M536)</f>
        <v>0</v>
      </c>
      <c r="O536" t="str">
        <f>IF(ISBLANK('Data Input'!N536),"",'Data Input'!N536)</f>
        <v/>
      </c>
      <c r="P536" t="str">
        <f>IF(ISBLANK('Data Input'!O536),"",'Data Input'!O536)</f>
        <v/>
      </c>
      <c r="Q536" t="str">
        <f>IF(ISBLANK('Data Input'!P536),"",'Data Input'!P536)</f>
        <v/>
      </c>
      <c r="R536" t="b">
        <f>IF(ISBLANK('Data Input'!Q536),"",'Data Input'!Q536)</f>
        <v>1</v>
      </c>
      <c r="T536" s="2">
        <f t="shared" si="34"/>
        <v>43305</v>
      </c>
      <c r="U536" s="12">
        <f t="shared" si="35"/>
        <v>0.23263888888888887</v>
      </c>
      <c r="V536" s="2">
        <f t="shared" si="36"/>
        <v>43306</v>
      </c>
      <c r="W536" s="12">
        <f t="shared" si="37"/>
        <v>43306</v>
      </c>
    </row>
    <row r="537" spans="1:23">
      <c r="A537">
        <f>IF(ISBLANK('Data Input'!A537),"",'Data Input'!A537)</f>
        <v>141</v>
      </c>
      <c r="B537" t="str">
        <f>IF(ISBLANK('Data Input'!B537),"",'Data Input'!B537)</f>
        <v>ZC143</v>
      </c>
      <c r="C537" t="str">
        <f>IF(ISBLANK('Data Input'!C537),"",'Data Input'!C537)</f>
        <v>7/24/18 0535</v>
      </c>
      <c r="E537">
        <f>IF(ISBLANK('Data Input'!D537),"",'Data Input'!D537)</f>
        <v>43306</v>
      </c>
      <c r="G537">
        <f>IF(ISBLANK('Data Input'!E537),"",'Data Input'!E537)</f>
        <v>17</v>
      </c>
      <c r="H537" t="str">
        <f>IF(ISBLANK('Data Input'!F537),"",'Data Input'!F537)</f>
        <v>bb - Black</v>
      </c>
      <c r="I537" t="str">
        <f>IF(ISBLANK('Data Input'!G537),"",'Data Input'!G537)</f>
        <v>SVD</v>
      </c>
      <c r="J537" t="str">
        <f>IF(ISBLANK('Data Input'!I537),"",'Data Input'!I537)</f>
        <v>7=24=18 0031</v>
      </c>
      <c r="K537" t="str">
        <f>IF(ISBLANK('Data Input'!J537),"",'Data Input'!J537)</f>
        <v>bb - Ibuprofen</v>
      </c>
      <c r="L537">
        <f>IF(ISBLANK('Data Input'!K537),"",'Data Input'!K537)</f>
        <v>800</v>
      </c>
      <c r="M537">
        <f>IF(ISBLANK('Data Input'!L537),"",'Data Input'!L537)</f>
        <v>3</v>
      </c>
      <c r="N537">
        <f>IF(ISBLANK('Data Input'!M537),"",'Data Input'!M537)</f>
        <v>1</v>
      </c>
      <c r="O537" t="str">
        <f>IF(ISBLANK('Data Input'!N537),"",'Data Input'!N537)</f>
        <v/>
      </c>
      <c r="P537" t="str">
        <f>IF(ISBLANK('Data Input'!O537),"",'Data Input'!O537)</f>
        <v/>
      </c>
      <c r="Q537" t="str">
        <f>IF(ISBLANK('Data Input'!P537),"",'Data Input'!P537)</f>
        <v/>
      </c>
      <c r="R537" t="b">
        <f>IF(ISBLANK('Data Input'!Q537),"",'Data Input'!Q537)</f>
        <v>1</v>
      </c>
      <c r="T537" s="2">
        <f t="shared" si="34"/>
        <v>43305</v>
      </c>
      <c r="U537" s="12">
        <f t="shared" si="35"/>
        <v>0.23263888888888887</v>
      </c>
      <c r="V537" s="2">
        <f t="shared" si="36"/>
        <v>43306</v>
      </c>
      <c r="W537" s="12">
        <f t="shared" si="37"/>
        <v>43306</v>
      </c>
    </row>
    <row r="538" spans="1:23">
      <c r="A538">
        <f>IF(ISBLANK('Data Input'!A538),"",'Data Input'!A538)</f>
        <v>142</v>
      </c>
      <c r="B538" t="str">
        <f>IF(ISBLANK('Data Input'!B538),"",'Data Input'!B538)</f>
        <v>AA144</v>
      </c>
      <c r="C538" t="str">
        <f>IF(ISBLANK('Data Input'!C538),"",'Data Input'!C538)</f>
        <v>7/2/18 0358</v>
      </c>
      <c r="E538" t="str">
        <f>IF(ISBLANK('Data Input'!D538),"",'Data Input'!D538)</f>
        <v>7/23/18 1133</v>
      </c>
      <c r="G538">
        <f>IF(ISBLANK('Data Input'!E538),"",'Data Input'!E538)</f>
        <v>28</v>
      </c>
      <c r="H538" t="str">
        <f>IF(ISBLANK('Data Input'!F538),"",'Data Input'!F538)</f>
        <v>White</v>
      </c>
      <c r="I538" t="str">
        <f>IF(ISBLANK('Data Input'!G538),"",'Data Input'!G538)</f>
        <v>SVD</v>
      </c>
      <c r="J538" t="str">
        <f>IF(ISBLANK('Data Input'!I538),"",'Data Input'!I538)</f>
        <v>7=23=18 1133</v>
      </c>
      <c r="K538" t="str">
        <f>IF(ISBLANK('Data Input'!J538),"",'Data Input'!J538)</f>
        <v>bb - Ibuprofen</v>
      </c>
      <c r="L538">
        <f>IF(ISBLANK('Data Input'!K538),"",'Data Input'!K538)</f>
        <v>800</v>
      </c>
      <c r="M538">
        <f>IF(ISBLANK('Data Input'!L538),"",'Data Input'!L538)</f>
        <v>4</v>
      </c>
      <c r="N538">
        <f>IF(ISBLANK('Data Input'!M538),"",'Data Input'!M538)</f>
        <v>2</v>
      </c>
      <c r="O538" t="str">
        <f>IF(ISBLANK('Data Input'!N538),"",'Data Input'!N538)</f>
        <v/>
      </c>
      <c r="P538" t="str">
        <f>IF(ISBLANK('Data Input'!O538),"",'Data Input'!O538)</f>
        <v/>
      </c>
      <c r="Q538" t="str">
        <f>IF(ISBLANK('Data Input'!P538),"",'Data Input'!P538)</f>
        <v>Double check crossed out entry</v>
      </c>
      <c r="R538" t="b">
        <f>IF(ISBLANK('Data Input'!Q538),"",'Data Input'!Q538)</f>
        <v>0</v>
      </c>
      <c r="T538" s="2">
        <f t="shared" si="34"/>
        <v>43283</v>
      </c>
      <c r="U538" s="12">
        <f t="shared" si="35"/>
        <v>0.16527777777777777</v>
      </c>
      <c r="V538" s="2">
        <f t="shared" si="36"/>
        <v>43304</v>
      </c>
      <c r="W538" s="12">
        <f t="shared" si="37"/>
        <v>0.48125000000000001</v>
      </c>
    </row>
    <row r="539" spans="1:23">
      <c r="A539">
        <f>IF(ISBLANK('Data Input'!A539),"",'Data Input'!A539)</f>
        <v>143</v>
      </c>
      <c r="B539" t="str">
        <f>IF(ISBLANK('Data Input'!B539),"",'Data Input'!B539)</f>
        <v>BT145</v>
      </c>
      <c r="C539" t="str">
        <f>IF(ISBLANK('Data Input'!C539),"",'Data Input'!C539)</f>
        <v>7/28/18 0440</v>
      </c>
      <c r="E539" t="str">
        <f>IF(ISBLANK('Data Input'!D539),"",'Data Input'!D539)</f>
        <v>7/29/18 0435</v>
      </c>
      <c r="G539">
        <f>IF(ISBLANK('Data Input'!E539),"",'Data Input'!E539)</f>
        <v>29</v>
      </c>
      <c r="H539" t="str">
        <f>IF(ISBLANK('Data Input'!F539),"",'Data Input'!F539)</f>
        <v>White</v>
      </c>
      <c r="I539" t="str">
        <f>IF(ISBLANK('Data Input'!G539),"",'Data Input'!G539)</f>
        <v>SVD</v>
      </c>
      <c r="J539" t="str">
        <f>IF(ISBLANK('Data Input'!I539),"",'Data Input'!I539)</f>
        <v>7=28=18 1052</v>
      </c>
      <c r="K539" t="str">
        <f>IF(ISBLANK('Data Input'!J539),"",'Data Input'!J539)</f>
        <v>bb - Ibuprofen</v>
      </c>
      <c r="L539">
        <f>IF(ISBLANK('Data Input'!K539),"",'Data Input'!K539)</f>
        <v>800</v>
      </c>
      <c r="M539">
        <f>IF(ISBLANK('Data Input'!L539),"",'Data Input'!L539)</f>
        <v>4</v>
      </c>
      <c r="N539">
        <f>IF(ISBLANK('Data Input'!M539),"",'Data Input'!M539)</f>
        <v>0</v>
      </c>
      <c r="O539" t="str">
        <f>IF(ISBLANK('Data Input'!N539),"",'Data Input'!N539)</f>
        <v/>
      </c>
      <c r="P539" t="str">
        <f>IF(ISBLANK('Data Input'!O539),"",'Data Input'!O539)</f>
        <v/>
      </c>
      <c r="Q539" t="str">
        <f>IF(ISBLANK('Data Input'!P539),"",'Data Input'!P539)</f>
        <v/>
      </c>
      <c r="R539" t="b">
        <f>IF(ISBLANK('Data Input'!Q539),"",'Data Input'!Q539)</f>
        <v>1</v>
      </c>
      <c r="T539" s="2">
        <f t="shared" si="34"/>
        <v>43309</v>
      </c>
      <c r="U539" s="12">
        <f t="shared" si="35"/>
        <v>0.19444444444444445</v>
      </c>
      <c r="V539" s="2">
        <f t="shared" si="36"/>
        <v>43310</v>
      </c>
      <c r="W539" s="12">
        <f t="shared" si="37"/>
        <v>0.19097222222222221</v>
      </c>
    </row>
    <row r="540" spans="1:23">
      <c r="A540">
        <f>IF(ISBLANK('Data Input'!A540),"",'Data Input'!A540)</f>
        <v>143</v>
      </c>
      <c r="B540" t="str">
        <f>IF(ISBLANK('Data Input'!B540),"",'Data Input'!B540)</f>
        <v>BT145</v>
      </c>
      <c r="C540" t="str">
        <f>IF(ISBLANK('Data Input'!C540),"",'Data Input'!C540)</f>
        <v>7/28/18 0440</v>
      </c>
      <c r="E540" t="str">
        <f>IF(ISBLANK('Data Input'!D540),"",'Data Input'!D540)</f>
        <v>7/29/18 0435</v>
      </c>
      <c r="G540">
        <f>IF(ISBLANK('Data Input'!E540),"",'Data Input'!E540)</f>
        <v>29</v>
      </c>
      <c r="H540" t="str">
        <f>IF(ISBLANK('Data Input'!F540),"",'Data Input'!F540)</f>
        <v>White</v>
      </c>
      <c r="I540" t="str">
        <f>IF(ISBLANK('Data Input'!G540),"",'Data Input'!G540)</f>
        <v>SVD</v>
      </c>
      <c r="J540" t="str">
        <f>IF(ISBLANK('Data Input'!I540),"",'Data Input'!I540)</f>
        <v>7=28=18 1631</v>
      </c>
      <c r="K540" t="str">
        <f>IF(ISBLANK('Data Input'!J540),"",'Data Input'!J540)</f>
        <v>bb - Ibuprofen</v>
      </c>
      <c r="L540">
        <f>IF(ISBLANK('Data Input'!K540),"",'Data Input'!K540)</f>
        <v>800</v>
      </c>
      <c r="M540">
        <f>IF(ISBLANK('Data Input'!L540),"",'Data Input'!L540)</f>
        <v>6</v>
      </c>
      <c r="N540">
        <f>IF(ISBLANK('Data Input'!M540),"",'Data Input'!M540)</f>
        <v>0</v>
      </c>
      <c r="O540" t="str">
        <f>IF(ISBLANK('Data Input'!N540),"",'Data Input'!N540)</f>
        <v/>
      </c>
      <c r="P540" t="str">
        <f>IF(ISBLANK('Data Input'!O540),"",'Data Input'!O540)</f>
        <v/>
      </c>
      <c r="Q540" t="str">
        <f>IF(ISBLANK('Data Input'!P540),"",'Data Input'!P540)</f>
        <v/>
      </c>
      <c r="R540" t="b">
        <f>IF(ISBLANK('Data Input'!Q540),"",'Data Input'!Q540)</f>
        <v>1</v>
      </c>
      <c r="T540" s="2">
        <f t="shared" si="34"/>
        <v>43309</v>
      </c>
      <c r="U540" s="12">
        <f t="shared" si="35"/>
        <v>0.19444444444444445</v>
      </c>
      <c r="V540" s="2">
        <f t="shared" si="36"/>
        <v>43310</v>
      </c>
      <c r="W540" s="12">
        <f t="shared" si="37"/>
        <v>0.19097222222222221</v>
      </c>
    </row>
    <row r="541" spans="1:23">
      <c r="A541">
        <f>IF(ISBLANK('Data Input'!A541),"",'Data Input'!A541)</f>
        <v>143</v>
      </c>
      <c r="B541" t="str">
        <f>IF(ISBLANK('Data Input'!B541),"",'Data Input'!B541)</f>
        <v>BT145</v>
      </c>
      <c r="C541" t="str">
        <f>IF(ISBLANK('Data Input'!C541),"",'Data Input'!C541)</f>
        <v>7/28/18 0440</v>
      </c>
      <c r="E541" t="str">
        <f>IF(ISBLANK('Data Input'!D541),"",'Data Input'!D541)</f>
        <v>7/29/18 0435</v>
      </c>
      <c r="G541">
        <f>IF(ISBLANK('Data Input'!E541),"",'Data Input'!E541)</f>
        <v>29</v>
      </c>
      <c r="H541" t="str">
        <f>IF(ISBLANK('Data Input'!F541),"",'Data Input'!F541)</f>
        <v>White</v>
      </c>
      <c r="I541" t="str">
        <f>IF(ISBLANK('Data Input'!G541),"",'Data Input'!G541)</f>
        <v>SVD</v>
      </c>
      <c r="J541" t="str">
        <f>IF(ISBLANK('Data Input'!I541),"",'Data Input'!I541)</f>
        <v>7=28=18 1631</v>
      </c>
      <c r="K541" t="str">
        <f>IF(ISBLANK('Data Input'!J541),"",'Data Input'!J541)</f>
        <v>rr - Percocet</v>
      </c>
      <c r="L541">
        <f>IF(ISBLANK('Data Input'!K541),"",'Data Input'!K541)</f>
        <v>1</v>
      </c>
      <c r="M541">
        <f>IF(ISBLANK('Data Input'!L541),"",'Data Input'!L541)</f>
        <v>6</v>
      </c>
      <c r="N541">
        <f>IF(ISBLANK('Data Input'!M541),"",'Data Input'!M541)</f>
        <v>0</v>
      </c>
      <c r="O541" t="str">
        <f>IF(ISBLANK('Data Input'!N541),"",'Data Input'!N541)</f>
        <v/>
      </c>
      <c r="P541" t="str">
        <f>IF(ISBLANK('Data Input'!O541),"",'Data Input'!O541)</f>
        <v/>
      </c>
      <c r="Q541" t="str">
        <f>IF(ISBLANK('Data Input'!P541),"",'Data Input'!P541)</f>
        <v/>
      </c>
      <c r="R541" t="b">
        <f>IF(ISBLANK('Data Input'!Q541),"",'Data Input'!Q541)</f>
        <v>1</v>
      </c>
      <c r="T541" s="2">
        <f t="shared" si="34"/>
        <v>43309</v>
      </c>
      <c r="U541" s="12">
        <f t="shared" si="35"/>
        <v>0.19444444444444445</v>
      </c>
      <c r="V541" s="2">
        <f t="shared" si="36"/>
        <v>43310</v>
      </c>
      <c r="W541" s="12">
        <f t="shared" si="37"/>
        <v>0.19097222222222221</v>
      </c>
    </row>
    <row r="542" spans="1:23">
      <c r="A542">
        <f>IF(ISBLANK('Data Input'!A542),"",'Data Input'!A542)</f>
        <v>143</v>
      </c>
      <c r="B542" t="str">
        <f>IF(ISBLANK('Data Input'!B542),"",'Data Input'!B542)</f>
        <v>BT145</v>
      </c>
      <c r="C542" t="str">
        <f>IF(ISBLANK('Data Input'!C542),"",'Data Input'!C542)</f>
        <v>7/28/18 0440</v>
      </c>
      <c r="E542" t="str">
        <f>IF(ISBLANK('Data Input'!D542),"",'Data Input'!D542)</f>
        <v>7/29/18 0435</v>
      </c>
      <c r="G542">
        <f>IF(ISBLANK('Data Input'!E542),"",'Data Input'!E542)</f>
        <v>29</v>
      </c>
      <c r="H542" t="str">
        <f>IF(ISBLANK('Data Input'!F542),"",'Data Input'!F542)</f>
        <v>White</v>
      </c>
      <c r="I542" t="str">
        <f>IF(ISBLANK('Data Input'!G542),"",'Data Input'!G542)</f>
        <v>SVD</v>
      </c>
      <c r="J542" t="str">
        <f>IF(ISBLANK('Data Input'!I542),"",'Data Input'!I542)</f>
        <v>7=28=18 2200</v>
      </c>
      <c r="K542" t="str">
        <f>IF(ISBLANK('Data Input'!J542),"",'Data Input'!J542)</f>
        <v>bb - Ibuprofen</v>
      </c>
      <c r="L542">
        <f>IF(ISBLANK('Data Input'!K542),"",'Data Input'!K542)</f>
        <v>800</v>
      </c>
      <c r="M542">
        <f>IF(ISBLANK('Data Input'!L542),"",'Data Input'!L542)</f>
        <v>5</v>
      </c>
      <c r="N542">
        <f>IF(ISBLANK('Data Input'!M542),"",'Data Input'!M542)</f>
        <v>0</v>
      </c>
      <c r="O542" t="str">
        <f>IF(ISBLANK('Data Input'!N542),"",'Data Input'!N542)</f>
        <v/>
      </c>
      <c r="P542" t="str">
        <f>IF(ISBLANK('Data Input'!O542),"",'Data Input'!O542)</f>
        <v/>
      </c>
      <c r="Q542" t="str">
        <f>IF(ISBLANK('Data Input'!P542),"",'Data Input'!P542)</f>
        <v/>
      </c>
      <c r="R542" t="b">
        <f>IF(ISBLANK('Data Input'!Q542),"",'Data Input'!Q542)</f>
        <v>1</v>
      </c>
      <c r="T542" s="2">
        <f t="shared" si="34"/>
        <v>43309</v>
      </c>
      <c r="U542" s="12">
        <f t="shared" si="35"/>
        <v>0.19444444444444445</v>
      </c>
      <c r="V542" s="2">
        <f t="shared" si="36"/>
        <v>43310</v>
      </c>
      <c r="W542" s="12">
        <f t="shared" si="37"/>
        <v>0.19097222222222221</v>
      </c>
    </row>
    <row r="543" spans="1:23">
      <c r="A543">
        <f>IF(ISBLANK('Data Input'!A543),"",'Data Input'!A543)</f>
        <v>143</v>
      </c>
      <c r="B543" t="str">
        <f>IF(ISBLANK('Data Input'!B543),"",'Data Input'!B543)</f>
        <v>BT145</v>
      </c>
      <c r="C543" t="str">
        <f>IF(ISBLANK('Data Input'!C543),"",'Data Input'!C543)</f>
        <v>7/28/18 0440</v>
      </c>
      <c r="E543" t="str">
        <f>IF(ISBLANK('Data Input'!D543),"",'Data Input'!D543)</f>
        <v>7/29/18 0435</v>
      </c>
      <c r="G543">
        <f>IF(ISBLANK('Data Input'!E543),"",'Data Input'!E543)</f>
        <v>29</v>
      </c>
      <c r="H543" t="str">
        <f>IF(ISBLANK('Data Input'!F543),"",'Data Input'!F543)</f>
        <v>White</v>
      </c>
      <c r="I543" t="str">
        <f>IF(ISBLANK('Data Input'!G543),"",'Data Input'!G543)</f>
        <v>SVD</v>
      </c>
      <c r="J543" t="str">
        <f>IF(ISBLANK('Data Input'!I543),"",'Data Input'!I543)</f>
        <v>7=28=18 2200</v>
      </c>
      <c r="K543" t="str">
        <f>IF(ISBLANK('Data Input'!J543),"",'Data Input'!J543)</f>
        <v>rr - Percocet</v>
      </c>
      <c r="L543">
        <f>IF(ISBLANK('Data Input'!K543),"",'Data Input'!K543)</f>
        <v>1</v>
      </c>
      <c r="M543">
        <f>IF(ISBLANK('Data Input'!L543),"",'Data Input'!L543)</f>
        <v>5</v>
      </c>
      <c r="N543">
        <f>IF(ISBLANK('Data Input'!M543),"",'Data Input'!M543)</f>
        <v>0</v>
      </c>
      <c r="O543" t="str">
        <f>IF(ISBLANK('Data Input'!N543),"",'Data Input'!N543)</f>
        <v/>
      </c>
      <c r="P543" t="str">
        <f>IF(ISBLANK('Data Input'!O543),"",'Data Input'!O543)</f>
        <v/>
      </c>
      <c r="Q543" t="str">
        <f>IF(ISBLANK('Data Input'!P543),"",'Data Input'!P543)</f>
        <v/>
      </c>
      <c r="R543" t="b">
        <f>IF(ISBLANK('Data Input'!Q543),"",'Data Input'!Q543)</f>
        <v>1</v>
      </c>
      <c r="T543" s="2">
        <f t="shared" si="34"/>
        <v>43309</v>
      </c>
      <c r="U543" s="12">
        <f t="shared" si="35"/>
        <v>0.19444444444444445</v>
      </c>
      <c r="V543" s="2">
        <f t="shared" si="36"/>
        <v>43310</v>
      </c>
      <c r="W543" s="12">
        <f t="shared" si="37"/>
        <v>0.19097222222222221</v>
      </c>
    </row>
    <row r="544" spans="1:23">
      <c r="A544">
        <f>IF(ISBLANK('Data Input'!A544),"",'Data Input'!A544)</f>
        <v>143</v>
      </c>
      <c r="B544" t="str">
        <f>IF(ISBLANK('Data Input'!B544),"",'Data Input'!B544)</f>
        <v>BT145</v>
      </c>
      <c r="C544" t="str">
        <f>IF(ISBLANK('Data Input'!C544),"",'Data Input'!C544)</f>
        <v>7/28/18 0440</v>
      </c>
      <c r="E544" t="str">
        <f>IF(ISBLANK('Data Input'!D544),"",'Data Input'!D544)</f>
        <v>7/29/18 0435</v>
      </c>
      <c r="G544">
        <f>IF(ISBLANK('Data Input'!E544),"",'Data Input'!E544)</f>
        <v>29</v>
      </c>
      <c r="H544" t="str">
        <f>IF(ISBLANK('Data Input'!F544),"",'Data Input'!F544)</f>
        <v>White</v>
      </c>
      <c r="I544" t="str">
        <f>IF(ISBLANK('Data Input'!G544),"",'Data Input'!G544)</f>
        <v>SVD</v>
      </c>
      <c r="J544" t="str">
        <f>IF(ISBLANK('Data Input'!I544),"",'Data Input'!I544)</f>
        <v>7=29=18 0435</v>
      </c>
      <c r="K544" t="str">
        <f>IF(ISBLANK('Data Input'!J544),"",'Data Input'!J544)</f>
        <v>bb - Ibuprofen</v>
      </c>
      <c r="L544">
        <f>IF(ISBLANK('Data Input'!K544),"",'Data Input'!K544)</f>
        <v>800</v>
      </c>
      <c r="M544">
        <f>IF(ISBLANK('Data Input'!L544),"",'Data Input'!L544)</f>
        <v>6</v>
      </c>
      <c r="N544">
        <f>IF(ISBLANK('Data Input'!M544),"",'Data Input'!M544)</f>
        <v>0</v>
      </c>
      <c r="O544" t="str">
        <f>IF(ISBLANK('Data Input'!N544),"",'Data Input'!N544)</f>
        <v/>
      </c>
      <c r="P544" t="str">
        <f>IF(ISBLANK('Data Input'!O544),"",'Data Input'!O544)</f>
        <v/>
      </c>
      <c r="Q544" t="str">
        <f>IF(ISBLANK('Data Input'!P544),"",'Data Input'!P544)</f>
        <v/>
      </c>
      <c r="R544" t="b">
        <f>IF(ISBLANK('Data Input'!Q544),"",'Data Input'!Q544)</f>
        <v>1</v>
      </c>
      <c r="T544" s="2">
        <f t="shared" si="34"/>
        <v>43309</v>
      </c>
      <c r="U544" s="12">
        <f t="shared" si="35"/>
        <v>0.19444444444444445</v>
      </c>
      <c r="V544" s="2">
        <f t="shared" si="36"/>
        <v>43310</v>
      </c>
      <c r="W544" s="12">
        <f t="shared" si="37"/>
        <v>0.19097222222222221</v>
      </c>
    </row>
    <row r="545" spans="1:23">
      <c r="A545">
        <f>IF(ISBLANK('Data Input'!A545),"",'Data Input'!A545)</f>
        <v>143</v>
      </c>
      <c r="B545" t="str">
        <f>IF(ISBLANK('Data Input'!B545),"",'Data Input'!B545)</f>
        <v>BT145</v>
      </c>
      <c r="C545" t="str">
        <f>IF(ISBLANK('Data Input'!C545),"",'Data Input'!C545)</f>
        <v>7/28/18 0440</v>
      </c>
      <c r="E545" t="str">
        <f>IF(ISBLANK('Data Input'!D545),"",'Data Input'!D545)</f>
        <v>7/29/18 0435</v>
      </c>
      <c r="G545">
        <f>IF(ISBLANK('Data Input'!E545),"",'Data Input'!E545)</f>
        <v>29</v>
      </c>
      <c r="H545" t="str">
        <f>IF(ISBLANK('Data Input'!F545),"",'Data Input'!F545)</f>
        <v>White</v>
      </c>
      <c r="I545" t="str">
        <f>IF(ISBLANK('Data Input'!G545),"",'Data Input'!G545)</f>
        <v>SVD</v>
      </c>
      <c r="J545" t="str">
        <f>IF(ISBLANK('Data Input'!I545),"",'Data Input'!I545)</f>
        <v>7=29=18 0435</v>
      </c>
      <c r="K545" t="str">
        <f>IF(ISBLANK('Data Input'!J545),"",'Data Input'!J545)</f>
        <v>rr - Percocet</v>
      </c>
      <c r="L545">
        <f>IF(ISBLANK('Data Input'!K545),"",'Data Input'!K545)</f>
        <v>1</v>
      </c>
      <c r="M545">
        <f>IF(ISBLANK('Data Input'!L545),"",'Data Input'!L545)</f>
        <v>6</v>
      </c>
      <c r="N545">
        <f>IF(ISBLANK('Data Input'!M545),"",'Data Input'!M545)</f>
        <v>0</v>
      </c>
      <c r="O545" t="str">
        <f>IF(ISBLANK('Data Input'!N545),"",'Data Input'!N545)</f>
        <v/>
      </c>
      <c r="P545" t="str">
        <f>IF(ISBLANK('Data Input'!O545),"",'Data Input'!O545)</f>
        <v/>
      </c>
      <c r="Q545" t="str">
        <f>IF(ISBLANK('Data Input'!P545),"",'Data Input'!P545)</f>
        <v/>
      </c>
      <c r="R545" t="b">
        <f>IF(ISBLANK('Data Input'!Q545),"",'Data Input'!Q545)</f>
        <v>1</v>
      </c>
      <c r="T545" s="2">
        <f t="shared" si="34"/>
        <v>43309</v>
      </c>
      <c r="U545" s="12">
        <f t="shared" si="35"/>
        <v>0.19444444444444445</v>
      </c>
      <c r="V545" s="2">
        <f t="shared" si="36"/>
        <v>43310</v>
      </c>
      <c r="W545" s="12">
        <f t="shared" si="37"/>
        <v>0.19097222222222221</v>
      </c>
    </row>
    <row r="546" spans="1:23">
      <c r="A546">
        <f>IF(ISBLANK('Data Input'!A546),"",'Data Input'!A546)</f>
        <v>144</v>
      </c>
      <c r="B546" t="str">
        <f>IF(ISBLANK('Data Input'!B546),"",'Data Input'!B546)</f>
        <v>KW146</v>
      </c>
      <c r="C546" t="str">
        <f>IF(ISBLANK('Data Input'!C546),"",'Data Input'!C546)</f>
        <v>7/27/18 1749</v>
      </c>
      <c r="E546" t="str">
        <f>IF(ISBLANK('Data Input'!D546),"",'Data Input'!D546)</f>
        <v>7/28/18 1359</v>
      </c>
      <c r="G546">
        <f>IF(ISBLANK('Data Input'!E546),"",'Data Input'!E546)</f>
        <v>20</v>
      </c>
      <c r="H546" t="str">
        <f>IF(ISBLANK('Data Input'!F546),"",'Data Input'!F546)</f>
        <v>White</v>
      </c>
      <c r="I546" t="str">
        <f>IF(ISBLANK('Data Input'!G546),"",'Data Input'!G546)</f>
        <v>SVD</v>
      </c>
      <c r="J546" t="str">
        <f>IF(ISBLANK('Data Input'!I546),"",'Data Input'!I546)</f>
        <v>7=27=18 2122</v>
      </c>
      <c r="K546" t="str">
        <f>IF(ISBLANK('Data Input'!J546),"",'Data Input'!J546)</f>
        <v>bb - Ibuprofen</v>
      </c>
      <c r="L546">
        <f>IF(ISBLANK('Data Input'!K546),"",'Data Input'!K546)</f>
        <v>800</v>
      </c>
      <c r="M546">
        <f>IF(ISBLANK('Data Input'!L546),"",'Data Input'!L546)</f>
        <v>6</v>
      </c>
      <c r="N546">
        <f>IF(ISBLANK('Data Input'!M546),"",'Data Input'!M546)</f>
        <v>4</v>
      </c>
      <c r="O546" t="str">
        <f>IF(ISBLANK('Data Input'!N546),"",'Data Input'!N546)</f>
        <v/>
      </c>
      <c r="P546" t="str">
        <f>IF(ISBLANK('Data Input'!O546),"",'Data Input'!O546)</f>
        <v/>
      </c>
      <c r="Q546" t="str">
        <f>IF(ISBLANK('Data Input'!P546),"",'Data Input'!P546)</f>
        <v/>
      </c>
      <c r="R546" t="b">
        <f>IF(ISBLANK('Data Input'!Q546),"",'Data Input'!Q546)</f>
        <v>0</v>
      </c>
      <c r="T546" s="2">
        <f t="shared" si="34"/>
        <v>43308</v>
      </c>
      <c r="U546" s="12">
        <f t="shared" si="35"/>
        <v>0.74236111111111114</v>
      </c>
      <c r="V546" s="2">
        <f t="shared" si="36"/>
        <v>43309</v>
      </c>
      <c r="W546" s="12">
        <f t="shared" si="37"/>
        <v>0.58263888888888882</v>
      </c>
    </row>
    <row r="547" spans="1:23">
      <c r="A547">
        <f>IF(ISBLANK('Data Input'!A547),"",'Data Input'!A547)</f>
        <v>144</v>
      </c>
      <c r="B547" t="str">
        <f>IF(ISBLANK('Data Input'!B547),"",'Data Input'!B547)</f>
        <v>KW146</v>
      </c>
      <c r="C547" t="str">
        <f>IF(ISBLANK('Data Input'!C547),"",'Data Input'!C547)</f>
        <v>7/27/18 1749</v>
      </c>
      <c r="E547" t="str">
        <f>IF(ISBLANK('Data Input'!D547),"",'Data Input'!D547)</f>
        <v>7/28/18 1359</v>
      </c>
      <c r="G547">
        <f>IF(ISBLANK('Data Input'!E547),"",'Data Input'!E547)</f>
        <v>20</v>
      </c>
      <c r="H547" t="str">
        <f>IF(ISBLANK('Data Input'!F547),"",'Data Input'!F547)</f>
        <v>White</v>
      </c>
      <c r="I547" t="str">
        <f>IF(ISBLANK('Data Input'!G547),"",'Data Input'!G547)</f>
        <v>SVD</v>
      </c>
      <c r="J547" t="str">
        <f>IF(ISBLANK('Data Input'!I547),"",'Data Input'!I547)</f>
        <v>7=27=18 2129</v>
      </c>
      <c r="K547" t="str">
        <f>IF(ISBLANK('Data Input'!J547),"",'Data Input'!J547)</f>
        <v>rr - Percocet</v>
      </c>
      <c r="L547">
        <f>IF(ISBLANK('Data Input'!K547),"",'Data Input'!K547)</f>
        <v>1</v>
      </c>
      <c r="M547">
        <f>IF(ISBLANK('Data Input'!L547),"",'Data Input'!L547)</f>
        <v>6</v>
      </c>
      <c r="N547">
        <f>IF(ISBLANK('Data Input'!M547),"",'Data Input'!M547)</f>
        <v>4</v>
      </c>
      <c r="O547" t="str">
        <f>IF(ISBLANK('Data Input'!N547),"",'Data Input'!N547)</f>
        <v/>
      </c>
      <c r="P547" t="str">
        <f>IF(ISBLANK('Data Input'!O547),"",'Data Input'!O547)</f>
        <v/>
      </c>
      <c r="Q547" t="str">
        <f>IF(ISBLANK('Data Input'!P547),"",'Data Input'!P547)</f>
        <v/>
      </c>
      <c r="R547" t="b">
        <f>IF(ISBLANK('Data Input'!Q547),"",'Data Input'!Q547)</f>
        <v>0</v>
      </c>
      <c r="T547" s="2">
        <f t="shared" si="34"/>
        <v>43308</v>
      </c>
      <c r="U547" s="12">
        <f t="shared" si="35"/>
        <v>0.74236111111111114</v>
      </c>
      <c r="V547" s="2">
        <f t="shared" si="36"/>
        <v>43309</v>
      </c>
      <c r="W547" s="12">
        <f t="shared" si="37"/>
        <v>0.58263888888888882</v>
      </c>
    </row>
    <row r="548" spans="1:23">
      <c r="A548">
        <f>IF(ISBLANK('Data Input'!A548),"",'Data Input'!A548)</f>
        <v>144</v>
      </c>
      <c r="B548" t="str">
        <f>IF(ISBLANK('Data Input'!B548),"",'Data Input'!B548)</f>
        <v>KW146</v>
      </c>
      <c r="C548" t="str">
        <f>IF(ISBLANK('Data Input'!C548),"",'Data Input'!C548)</f>
        <v>7/27/18 1749</v>
      </c>
      <c r="E548" t="str">
        <f>IF(ISBLANK('Data Input'!D548),"",'Data Input'!D548)</f>
        <v>7/28/18 1359</v>
      </c>
      <c r="G548">
        <f>IF(ISBLANK('Data Input'!E548),"",'Data Input'!E548)</f>
        <v>20</v>
      </c>
      <c r="H548" t="str">
        <f>IF(ISBLANK('Data Input'!F548),"",'Data Input'!F548)</f>
        <v>White</v>
      </c>
      <c r="I548" t="str">
        <f>IF(ISBLANK('Data Input'!G548),"",'Data Input'!G548)</f>
        <v>SVD</v>
      </c>
      <c r="J548" t="str">
        <f>IF(ISBLANK('Data Input'!I548),"",'Data Input'!I548)</f>
        <v>7=27=18 0609</v>
      </c>
      <c r="K548" t="str">
        <f>IF(ISBLANK('Data Input'!J548),"",'Data Input'!J548)</f>
        <v>bb - Ibuprofen</v>
      </c>
      <c r="L548">
        <f>IF(ISBLANK('Data Input'!K548),"",'Data Input'!K548)</f>
        <v>800</v>
      </c>
      <c r="M548">
        <f>IF(ISBLANK('Data Input'!L548),"",'Data Input'!L548)</f>
        <v>5</v>
      </c>
      <c r="N548">
        <f>IF(ISBLANK('Data Input'!M548),"",'Data Input'!M548)</f>
        <v>2</v>
      </c>
      <c r="O548" t="str">
        <f>IF(ISBLANK('Data Input'!N548),"",'Data Input'!N548)</f>
        <v/>
      </c>
      <c r="P548" t="str">
        <f>IF(ISBLANK('Data Input'!O548),"",'Data Input'!O548)</f>
        <v/>
      </c>
      <c r="Q548" t="str">
        <f>IF(ISBLANK('Data Input'!P548),"",'Data Input'!P548)</f>
        <v/>
      </c>
      <c r="R548" t="b">
        <f>IF(ISBLANK('Data Input'!Q548),"",'Data Input'!Q548)</f>
        <v>0</v>
      </c>
      <c r="T548" s="2">
        <f t="shared" si="34"/>
        <v>43308</v>
      </c>
      <c r="U548" s="12">
        <f t="shared" si="35"/>
        <v>0.74236111111111114</v>
      </c>
      <c r="V548" s="2">
        <f t="shared" si="36"/>
        <v>43309</v>
      </c>
      <c r="W548" s="12">
        <f t="shared" si="37"/>
        <v>0.58263888888888882</v>
      </c>
    </row>
    <row r="549" spans="1:23">
      <c r="A549">
        <f>IF(ISBLANK('Data Input'!A549),"",'Data Input'!A549)</f>
        <v>144</v>
      </c>
      <c r="B549" t="str">
        <f>IF(ISBLANK('Data Input'!B549),"",'Data Input'!B549)</f>
        <v>KW146</v>
      </c>
      <c r="C549" t="str">
        <f>IF(ISBLANK('Data Input'!C549),"",'Data Input'!C549)</f>
        <v>7/27/18 1749</v>
      </c>
      <c r="E549" t="str">
        <f>IF(ISBLANK('Data Input'!D549),"",'Data Input'!D549)</f>
        <v>7/28/18 1359</v>
      </c>
      <c r="G549">
        <f>IF(ISBLANK('Data Input'!E549),"",'Data Input'!E549)</f>
        <v>20</v>
      </c>
      <c r="H549" t="str">
        <f>IF(ISBLANK('Data Input'!F549),"",'Data Input'!F549)</f>
        <v>White</v>
      </c>
      <c r="I549" t="str">
        <f>IF(ISBLANK('Data Input'!G549),"",'Data Input'!G549)</f>
        <v>SVD</v>
      </c>
      <c r="J549" t="str">
        <f>IF(ISBLANK('Data Input'!I549),"",'Data Input'!I549)</f>
        <v>7=28=18 0610</v>
      </c>
      <c r="K549" t="str">
        <f>IF(ISBLANK('Data Input'!J549),"",'Data Input'!J549)</f>
        <v>rr - Percocet</v>
      </c>
      <c r="L549">
        <f>IF(ISBLANK('Data Input'!K549),"",'Data Input'!K549)</f>
        <v>1</v>
      </c>
      <c r="M549">
        <f>IF(ISBLANK('Data Input'!L549),"",'Data Input'!L549)</f>
        <v>5</v>
      </c>
      <c r="N549">
        <f>IF(ISBLANK('Data Input'!M549),"",'Data Input'!M549)</f>
        <v>2</v>
      </c>
      <c r="O549" t="str">
        <f>IF(ISBLANK('Data Input'!N549),"",'Data Input'!N549)</f>
        <v/>
      </c>
      <c r="P549" t="str">
        <f>IF(ISBLANK('Data Input'!O549),"",'Data Input'!O549)</f>
        <v/>
      </c>
      <c r="Q549" t="str">
        <f>IF(ISBLANK('Data Input'!P549),"",'Data Input'!P549)</f>
        <v/>
      </c>
      <c r="R549" t="b">
        <f>IF(ISBLANK('Data Input'!Q549),"",'Data Input'!Q549)</f>
        <v>0</v>
      </c>
      <c r="T549" s="2">
        <f t="shared" si="34"/>
        <v>43308</v>
      </c>
      <c r="U549" s="12">
        <f t="shared" si="35"/>
        <v>0.74236111111111114</v>
      </c>
      <c r="V549" s="2">
        <f t="shared" si="36"/>
        <v>43309</v>
      </c>
      <c r="W549" s="12">
        <f t="shared" si="37"/>
        <v>0.58263888888888882</v>
      </c>
    </row>
    <row r="550" spans="1:23">
      <c r="A550">
        <f>IF(ISBLANK('Data Input'!A550),"",'Data Input'!A550)</f>
        <v>144</v>
      </c>
      <c r="B550" t="str">
        <f>IF(ISBLANK('Data Input'!B550),"",'Data Input'!B550)</f>
        <v>KW146</v>
      </c>
      <c r="C550" t="str">
        <f>IF(ISBLANK('Data Input'!C550),"",'Data Input'!C550)</f>
        <v>7/27/18 1749</v>
      </c>
      <c r="E550" t="str">
        <f>IF(ISBLANK('Data Input'!D550),"",'Data Input'!D550)</f>
        <v>7/28/18 1359</v>
      </c>
      <c r="G550">
        <f>IF(ISBLANK('Data Input'!E550),"",'Data Input'!E550)</f>
        <v>20</v>
      </c>
      <c r="H550" t="str">
        <f>IF(ISBLANK('Data Input'!F550),"",'Data Input'!F550)</f>
        <v>White</v>
      </c>
      <c r="I550" t="str">
        <f>IF(ISBLANK('Data Input'!G550),"",'Data Input'!G550)</f>
        <v>SVD</v>
      </c>
      <c r="J550" t="str">
        <f>IF(ISBLANK('Data Input'!I550),"",'Data Input'!I550)</f>
        <v>7=28=18 1359</v>
      </c>
      <c r="K550" t="str">
        <f>IF(ISBLANK('Data Input'!J550),"",'Data Input'!J550)</f>
        <v>bb - Ibuprofen</v>
      </c>
      <c r="L550">
        <f>IF(ISBLANK('Data Input'!K550),"",'Data Input'!K550)</f>
        <v>800</v>
      </c>
      <c r="M550" t="str">
        <f>IF(ISBLANK('Data Input'!L550),"",'Data Input'!L550)</f>
        <v>dd - Missing Data</v>
      </c>
      <c r="N550" t="str">
        <f>IF(ISBLANK('Data Input'!M550),"",'Data Input'!M550)</f>
        <v>dd - Missing Data</v>
      </c>
      <c r="O550" t="str">
        <f>IF(ISBLANK('Data Input'!N550),"",'Data Input'!N550)</f>
        <v/>
      </c>
      <c r="P550" t="str">
        <f>IF(ISBLANK('Data Input'!O550),"",'Data Input'!O550)</f>
        <v/>
      </c>
      <c r="Q550" t="str">
        <f>IF(ISBLANK('Data Input'!P550),"",'Data Input'!P550)</f>
        <v/>
      </c>
      <c r="R550" t="b">
        <f>IF(ISBLANK('Data Input'!Q550),"",'Data Input'!Q550)</f>
        <v>0</v>
      </c>
      <c r="T550" s="2">
        <f t="shared" si="34"/>
        <v>43308</v>
      </c>
      <c r="U550" s="12">
        <f t="shared" si="35"/>
        <v>0.74236111111111114</v>
      </c>
      <c r="V550" s="2">
        <f t="shared" si="36"/>
        <v>43309</v>
      </c>
      <c r="W550" s="12">
        <f t="shared" si="37"/>
        <v>0.58263888888888882</v>
      </c>
    </row>
    <row r="551" spans="1:23">
      <c r="A551">
        <f>IF(ISBLANK('Data Input'!A551),"",'Data Input'!A551)</f>
        <v>145</v>
      </c>
      <c r="B551" t="str">
        <f>IF(ISBLANK('Data Input'!B551),"",'Data Input'!B551)</f>
        <v>KM147</v>
      </c>
      <c r="C551" t="str">
        <f>IF(ISBLANK('Data Input'!C551),"",'Data Input'!C551)</f>
        <v>7/26/18 0945</v>
      </c>
      <c r="E551" t="str">
        <f>IF(ISBLANK('Data Input'!D551),"",'Data Input'!D551)</f>
        <v>7/27/18 0547</v>
      </c>
      <c r="G551">
        <f>IF(ISBLANK('Data Input'!E551),"",'Data Input'!E551)</f>
        <v>31</v>
      </c>
      <c r="H551" t="str">
        <f>IF(ISBLANK('Data Input'!F551),"",'Data Input'!F551)</f>
        <v>White</v>
      </c>
      <c r="I551" t="str">
        <f>IF(ISBLANK('Data Input'!G551),"",'Data Input'!G551)</f>
        <v>SVD</v>
      </c>
      <c r="J551" t="str">
        <f>IF(ISBLANK('Data Input'!I551),"",'Data Input'!I551)</f>
        <v>7=26=18 1216</v>
      </c>
      <c r="K551" t="str">
        <f>IF(ISBLANK('Data Input'!J551),"",'Data Input'!J551)</f>
        <v>tr - Toradol</v>
      </c>
      <c r="L551">
        <f>IF(ISBLANK('Data Input'!K551),"",'Data Input'!K551)</f>
        <v>30</v>
      </c>
      <c r="M551">
        <f>IF(ISBLANK('Data Input'!L551),"",'Data Input'!L551)</f>
        <v>8</v>
      </c>
      <c r="N551">
        <f>IF(ISBLANK('Data Input'!M551),"",'Data Input'!M551)</f>
        <v>0</v>
      </c>
      <c r="O551" t="str">
        <f>IF(ISBLANK('Data Input'!N551),"",'Data Input'!N551)</f>
        <v/>
      </c>
      <c r="P551" t="str">
        <f>IF(ISBLANK('Data Input'!O551),"",'Data Input'!O551)</f>
        <v/>
      </c>
      <c r="Q551" t="str">
        <f>IF(ISBLANK('Data Input'!P551),"",'Data Input'!P551)</f>
        <v/>
      </c>
      <c r="R551" t="b">
        <f>IF(ISBLANK('Data Input'!Q551),"",'Data Input'!Q551)</f>
        <v>1</v>
      </c>
      <c r="T551" s="2">
        <f t="shared" si="34"/>
        <v>43307</v>
      </c>
      <c r="U551" s="12">
        <f t="shared" si="35"/>
        <v>0.40625</v>
      </c>
      <c r="V551" s="2">
        <f t="shared" si="36"/>
        <v>43308</v>
      </c>
      <c r="W551" s="12">
        <f t="shared" si="37"/>
        <v>0.24097222222222223</v>
      </c>
    </row>
    <row r="552" spans="1:23">
      <c r="A552">
        <f>IF(ISBLANK('Data Input'!A552),"",'Data Input'!A552)</f>
        <v>145</v>
      </c>
      <c r="B552" t="str">
        <f>IF(ISBLANK('Data Input'!B552),"",'Data Input'!B552)</f>
        <v>KM147</v>
      </c>
      <c r="C552" t="str">
        <f>IF(ISBLANK('Data Input'!C552),"",'Data Input'!C552)</f>
        <v>7/26/18 0945</v>
      </c>
      <c r="E552" t="str">
        <f>IF(ISBLANK('Data Input'!D552),"",'Data Input'!D552)</f>
        <v>7/27/18 0547</v>
      </c>
      <c r="G552">
        <f>IF(ISBLANK('Data Input'!E552),"",'Data Input'!E552)</f>
        <v>31</v>
      </c>
      <c r="H552" t="str">
        <f>IF(ISBLANK('Data Input'!F552),"",'Data Input'!F552)</f>
        <v>White</v>
      </c>
      <c r="I552" t="str">
        <f>IF(ISBLANK('Data Input'!G552),"",'Data Input'!G552)</f>
        <v>SVD</v>
      </c>
      <c r="J552" t="str">
        <f>IF(ISBLANK('Data Input'!I552),"",'Data Input'!I552)</f>
        <v>7=26=18 1805</v>
      </c>
      <c r="K552" t="str">
        <f>IF(ISBLANK('Data Input'!J552),"",'Data Input'!J552)</f>
        <v>tr - Toradol</v>
      </c>
      <c r="L552">
        <f>IF(ISBLANK('Data Input'!K552),"",'Data Input'!K552)</f>
        <v>30</v>
      </c>
      <c r="M552">
        <f>IF(ISBLANK('Data Input'!L552),"",'Data Input'!L552)</f>
        <v>5</v>
      </c>
      <c r="N552">
        <f>IF(ISBLANK('Data Input'!M552),"",'Data Input'!M552)</f>
        <v>3</v>
      </c>
      <c r="O552" t="str">
        <f>IF(ISBLANK('Data Input'!N552),"",'Data Input'!N552)</f>
        <v/>
      </c>
      <c r="P552" t="str">
        <f>IF(ISBLANK('Data Input'!O552),"",'Data Input'!O552)</f>
        <v/>
      </c>
      <c r="Q552" t="str">
        <f>IF(ISBLANK('Data Input'!P552),"",'Data Input'!P552)</f>
        <v/>
      </c>
      <c r="R552" t="b">
        <f>IF(ISBLANK('Data Input'!Q552),"",'Data Input'!Q552)</f>
        <v>1</v>
      </c>
      <c r="T552" s="2">
        <f t="shared" si="34"/>
        <v>43307</v>
      </c>
      <c r="U552" s="12">
        <f t="shared" si="35"/>
        <v>0.40625</v>
      </c>
      <c r="V552" s="2">
        <f t="shared" si="36"/>
        <v>43308</v>
      </c>
      <c r="W552" s="12">
        <f t="shared" si="37"/>
        <v>0.24097222222222223</v>
      </c>
    </row>
    <row r="553" spans="1:23">
      <c r="A553">
        <f>IF(ISBLANK('Data Input'!A553),"",'Data Input'!A553)</f>
        <v>145</v>
      </c>
      <c r="B553" t="str">
        <f>IF(ISBLANK('Data Input'!B553),"",'Data Input'!B553)</f>
        <v>KM147</v>
      </c>
      <c r="C553" t="str">
        <f>IF(ISBLANK('Data Input'!C553),"",'Data Input'!C553)</f>
        <v>7/26/18 0945</v>
      </c>
      <c r="E553" t="str">
        <f>IF(ISBLANK('Data Input'!D553),"",'Data Input'!D553)</f>
        <v>7/27/18 0547</v>
      </c>
      <c r="G553">
        <f>IF(ISBLANK('Data Input'!E553),"",'Data Input'!E553)</f>
        <v>31</v>
      </c>
      <c r="H553" t="str">
        <f>IF(ISBLANK('Data Input'!F553),"",'Data Input'!F553)</f>
        <v>White</v>
      </c>
      <c r="I553" t="str">
        <f>IF(ISBLANK('Data Input'!G553),"",'Data Input'!G553)</f>
        <v>SVD</v>
      </c>
      <c r="J553" t="str">
        <f>IF(ISBLANK('Data Input'!I553),"",'Data Input'!I553)</f>
        <v>7=27=18 0021</v>
      </c>
      <c r="K553" t="str">
        <f>IF(ISBLANK('Data Input'!J553),"",'Data Input'!J553)</f>
        <v>tr - Toradol</v>
      </c>
      <c r="L553">
        <f>IF(ISBLANK('Data Input'!K553),"",'Data Input'!K553)</f>
        <v>30</v>
      </c>
      <c r="M553">
        <f>IF(ISBLANK('Data Input'!L553),"",'Data Input'!L553)</f>
        <v>3</v>
      </c>
      <c r="N553">
        <f>IF(ISBLANK('Data Input'!M553),"",'Data Input'!M553)</f>
        <v>0</v>
      </c>
      <c r="O553" t="str">
        <f>IF(ISBLANK('Data Input'!N553),"",'Data Input'!N553)</f>
        <v/>
      </c>
      <c r="P553" t="str">
        <f>IF(ISBLANK('Data Input'!O553),"",'Data Input'!O553)</f>
        <v/>
      </c>
      <c r="Q553" t="str">
        <f>IF(ISBLANK('Data Input'!P553),"",'Data Input'!P553)</f>
        <v/>
      </c>
      <c r="R553" t="b">
        <f>IF(ISBLANK('Data Input'!Q553),"",'Data Input'!Q553)</f>
        <v>1</v>
      </c>
      <c r="T553" s="2">
        <f t="shared" si="34"/>
        <v>43307</v>
      </c>
      <c r="U553" s="12">
        <f t="shared" si="35"/>
        <v>0.40625</v>
      </c>
      <c r="V553" s="2">
        <f t="shared" si="36"/>
        <v>43308</v>
      </c>
      <c r="W553" s="12">
        <f t="shared" si="37"/>
        <v>0.24097222222222223</v>
      </c>
    </row>
    <row r="554" spans="1:23">
      <c r="A554">
        <f>IF(ISBLANK('Data Input'!A554),"",'Data Input'!A554)</f>
        <v>145</v>
      </c>
      <c r="B554" t="str">
        <f>IF(ISBLANK('Data Input'!B554),"",'Data Input'!B554)</f>
        <v>KM147</v>
      </c>
      <c r="C554" t="str">
        <f>IF(ISBLANK('Data Input'!C554),"",'Data Input'!C554)</f>
        <v>7/26/18 0945</v>
      </c>
      <c r="E554" t="str">
        <f>IF(ISBLANK('Data Input'!D554),"",'Data Input'!D554)</f>
        <v>7/27/18 0547</v>
      </c>
      <c r="G554">
        <f>IF(ISBLANK('Data Input'!E554),"",'Data Input'!E554)</f>
        <v>31</v>
      </c>
      <c r="H554" t="str">
        <f>IF(ISBLANK('Data Input'!F554),"",'Data Input'!F554)</f>
        <v>White</v>
      </c>
      <c r="I554" t="str">
        <f>IF(ISBLANK('Data Input'!G554),"",'Data Input'!G554)</f>
        <v>SVD</v>
      </c>
      <c r="J554" t="str">
        <f>IF(ISBLANK('Data Input'!I554),"",'Data Input'!I554)</f>
        <v>7=27=18 0547</v>
      </c>
      <c r="K554" t="str">
        <f>IF(ISBLANK('Data Input'!J554),"",'Data Input'!J554)</f>
        <v>tr - Toradol</v>
      </c>
      <c r="L554">
        <f>IF(ISBLANK('Data Input'!K554),"",'Data Input'!K554)</f>
        <v>30</v>
      </c>
      <c r="M554" t="str">
        <f>IF(ISBLANK('Data Input'!L554),"",'Data Input'!L554)</f>
        <v>dd - Missing Data</v>
      </c>
      <c r="N554" t="str">
        <f>IF(ISBLANK('Data Input'!M554),"",'Data Input'!M554)</f>
        <v>dd - Missing Data</v>
      </c>
      <c r="O554" t="str">
        <f>IF(ISBLANK('Data Input'!N554),"",'Data Input'!N554)</f>
        <v/>
      </c>
      <c r="P554" t="str">
        <f>IF(ISBLANK('Data Input'!O554),"",'Data Input'!O554)</f>
        <v/>
      </c>
      <c r="Q554" t="str">
        <f>IF(ISBLANK('Data Input'!P554),"",'Data Input'!P554)</f>
        <v/>
      </c>
      <c r="R554" t="b">
        <f>IF(ISBLANK('Data Input'!Q554),"",'Data Input'!Q554)</f>
        <v>1</v>
      </c>
      <c r="T554" s="2">
        <f t="shared" si="34"/>
        <v>43307</v>
      </c>
      <c r="U554" s="12">
        <f t="shared" si="35"/>
        <v>0.40625</v>
      </c>
      <c r="V554" s="2">
        <f t="shared" si="36"/>
        <v>43308</v>
      </c>
      <c r="W554" s="12">
        <f t="shared" si="37"/>
        <v>0.24097222222222223</v>
      </c>
    </row>
    <row r="555" spans="1:23">
      <c r="A555">
        <f>IF(ISBLANK('Data Input'!A555),"",'Data Input'!A555)</f>
        <v>146</v>
      </c>
      <c r="B555" t="str">
        <f>IF(ISBLANK('Data Input'!B555),"",'Data Input'!B555)</f>
        <v>MM148</v>
      </c>
      <c r="C555" t="str">
        <f>IF(ISBLANK('Data Input'!C555),"",'Data Input'!C555)</f>
        <v>7/27/18 1750</v>
      </c>
      <c r="E555" t="str">
        <f>IF(ISBLANK('Data Input'!D555),"",'Data Input'!D555)</f>
        <v>7/28/18 1305</v>
      </c>
      <c r="G555">
        <f>IF(ISBLANK('Data Input'!E555),"",'Data Input'!E555)</f>
        <v>23</v>
      </c>
      <c r="H555" t="str">
        <f>IF(ISBLANK('Data Input'!F555),"",'Data Input'!F555)</f>
        <v>White</v>
      </c>
      <c r="I555" t="str">
        <f>IF(ISBLANK('Data Input'!G555),"",'Data Input'!G555)</f>
        <v>Caesarean</v>
      </c>
      <c r="J555" t="str">
        <f>IF(ISBLANK('Data Input'!I555),"",'Data Input'!I555)</f>
        <v>7=27=18 1926</v>
      </c>
      <c r="K555" t="str">
        <f>IF(ISBLANK('Data Input'!J555),"",'Data Input'!J555)</f>
        <v>tr - Toradol</v>
      </c>
      <c r="L555">
        <f>IF(ISBLANK('Data Input'!K555),"",'Data Input'!K555)</f>
        <v>30</v>
      </c>
      <c r="M555">
        <f>IF(ISBLANK('Data Input'!L555),"",'Data Input'!L555)</f>
        <v>2</v>
      </c>
      <c r="N555">
        <f>IF(ISBLANK('Data Input'!M555),"",'Data Input'!M555)</f>
        <v>0</v>
      </c>
      <c r="O555" t="str">
        <f>IF(ISBLANK('Data Input'!N555),"",'Data Input'!N555)</f>
        <v/>
      </c>
      <c r="P555" t="str">
        <f>IF(ISBLANK('Data Input'!O555),"",'Data Input'!O555)</f>
        <v/>
      </c>
      <c r="Q555" t="str">
        <f>IF(ISBLANK('Data Input'!P555),"",'Data Input'!P555)</f>
        <v/>
      </c>
      <c r="R555" t="b">
        <f>IF(ISBLANK('Data Input'!Q555),"",'Data Input'!Q555)</f>
        <v>0</v>
      </c>
      <c r="T555" s="2">
        <f t="shared" si="34"/>
        <v>43308</v>
      </c>
      <c r="U555" s="12">
        <f t="shared" si="35"/>
        <v>0.74305555555555547</v>
      </c>
      <c r="V555" s="2">
        <f t="shared" si="36"/>
        <v>43309</v>
      </c>
      <c r="W555" s="12">
        <f t="shared" si="37"/>
        <v>0.54513888888888895</v>
      </c>
    </row>
    <row r="556" spans="1:23">
      <c r="A556">
        <f>IF(ISBLANK('Data Input'!A556),"",'Data Input'!A556)</f>
        <v>146</v>
      </c>
      <c r="B556" t="str">
        <f>IF(ISBLANK('Data Input'!B556),"",'Data Input'!B556)</f>
        <v>MM148</v>
      </c>
      <c r="C556" t="str">
        <f>IF(ISBLANK('Data Input'!C556),"",'Data Input'!C556)</f>
        <v>7/27/18 1750</v>
      </c>
      <c r="E556" t="str">
        <f>IF(ISBLANK('Data Input'!D556),"",'Data Input'!D556)</f>
        <v>7/28/18 1305</v>
      </c>
      <c r="G556">
        <f>IF(ISBLANK('Data Input'!E556),"",'Data Input'!E556)</f>
        <v>23</v>
      </c>
      <c r="H556" t="str">
        <f>IF(ISBLANK('Data Input'!F556),"",'Data Input'!F556)</f>
        <v>White</v>
      </c>
      <c r="I556" t="str">
        <f>IF(ISBLANK('Data Input'!G556),"",'Data Input'!G556)</f>
        <v>Caesarean</v>
      </c>
      <c r="J556" t="str">
        <f>IF(ISBLANK('Data Input'!I556),"",'Data Input'!I556)</f>
        <v>7=28=18 0119</v>
      </c>
      <c r="K556" t="str">
        <f>IF(ISBLANK('Data Input'!J556),"",'Data Input'!J556)</f>
        <v>tr - Toradol</v>
      </c>
      <c r="L556">
        <f>IF(ISBLANK('Data Input'!K556),"",'Data Input'!K556)</f>
        <v>30</v>
      </c>
      <c r="M556">
        <f>IF(ISBLANK('Data Input'!L556),"",'Data Input'!L556)</f>
        <v>1</v>
      </c>
      <c r="N556">
        <f>IF(ISBLANK('Data Input'!M556),"",'Data Input'!M556)</f>
        <v>0</v>
      </c>
      <c r="O556" t="str">
        <f>IF(ISBLANK('Data Input'!N556),"",'Data Input'!N556)</f>
        <v/>
      </c>
      <c r="P556" t="str">
        <f>IF(ISBLANK('Data Input'!O556),"",'Data Input'!O556)</f>
        <v/>
      </c>
      <c r="Q556" t="str">
        <f>IF(ISBLANK('Data Input'!P556),"",'Data Input'!P556)</f>
        <v/>
      </c>
      <c r="R556" t="b">
        <f>IF(ISBLANK('Data Input'!Q556),"",'Data Input'!Q556)</f>
        <v>0</v>
      </c>
      <c r="T556" s="2">
        <f t="shared" si="34"/>
        <v>43308</v>
      </c>
      <c r="U556" s="12">
        <f t="shared" si="35"/>
        <v>0.74305555555555547</v>
      </c>
      <c r="V556" s="2">
        <f t="shared" si="36"/>
        <v>43309</v>
      </c>
      <c r="W556" s="12">
        <f t="shared" si="37"/>
        <v>0.54513888888888895</v>
      </c>
    </row>
    <row r="557" spans="1:23">
      <c r="A557">
        <f>IF(ISBLANK('Data Input'!A557),"",'Data Input'!A557)</f>
        <v>146</v>
      </c>
      <c r="B557" t="str">
        <f>IF(ISBLANK('Data Input'!B557),"",'Data Input'!B557)</f>
        <v>MM148</v>
      </c>
      <c r="C557" t="str">
        <f>IF(ISBLANK('Data Input'!C557),"",'Data Input'!C557)</f>
        <v>7/27/18 1750</v>
      </c>
      <c r="E557" t="str">
        <f>IF(ISBLANK('Data Input'!D557),"",'Data Input'!D557)</f>
        <v>7/28/18 1305</v>
      </c>
      <c r="G557">
        <f>IF(ISBLANK('Data Input'!E557),"",'Data Input'!E557)</f>
        <v>23</v>
      </c>
      <c r="H557" t="str">
        <f>IF(ISBLANK('Data Input'!F557),"",'Data Input'!F557)</f>
        <v>White</v>
      </c>
      <c r="I557" t="str">
        <f>IF(ISBLANK('Data Input'!G557),"",'Data Input'!G557)</f>
        <v>Caesarean</v>
      </c>
      <c r="J557" t="str">
        <f>IF(ISBLANK('Data Input'!I557),"",'Data Input'!I557)</f>
        <v>7=28=18 0809</v>
      </c>
      <c r="K557" t="str">
        <f>IF(ISBLANK('Data Input'!J557),"",'Data Input'!J557)</f>
        <v>tr - Toradol</v>
      </c>
      <c r="L557">
        <f>IF(ISBLANK('Data Input'!K557),"",'Data Input'!K557)</f>
        <v>30</v>
      </c>
      <c r="M557">
        <f>IF(ISBLANK('Data Input'!L557),"",'Data Input'!L557)</f>
        <v>6</v>
      </c>
      <c r="N557">
        <f>IF(ISBLANK('Data Input'!M557),"",'Data Input'!M557)</f>
        <v>0</v>
      </c>
      <c r="O557" t="str">
        <f>IF(ISBLANK('Data Input'!N557),"",'Data Input'!N557)</f>
        <v/>
      </c>
      <c r="P557" t="str">
        <f>IF(ISBLANK('Data Input'!O557),"",'Data Input'!O557)</f>
        <v/>
      </c>
      <c r="Q557" t="str">
        <f>IF(ISBLANK('Data Input'!P557),"",'Data Input'!P557)</f>
        <v/>
      </c>
      <c r="R557" t="b">
        <f>IF(ISBLANK('Data Input'!Q557),"",'Data Input'!Q557)</f>
        <v>0</v>
      </c>
      <c r="T557" s="2">
        <f t="shared" si="34"/>
        <v>43308</v>
      </c>
      <c r="U557" s="12">
        <f t="shared" si="35"/>
        <v>0.74305555555555547</v>
      </c>
      <c r="V557" s="2">
        <f t="shared" si="36"/>
        <v>43309</v>
      </c>
      <c r="W557" s="12">
        <f t="shared" si="37"/>
        <v>0.54513888888888895</v>
      </c>
    </row>
    <row r="558" spans="1:23">
      <c r="A558">
        <f>IF(ISBLANK('Data Input'!A558),"",'Data Input'!A558)</f>
        <v>146</v>
      </c>
      <c r="B558" t="str">
        <f>IF(ISBLANK('Data Input'!B558),"",'Data Input'!B558)</f>
        <v>MM148</v>
      </c>
      <c r="C558" t="str">
        <f>IF(ISBLANK('Data Input'!C558),"",'Data Input'!C558)</f>
        <v>7/27/18 1750</v>
      </c>
      <c r="E558" t="str">
        <f>IF(ISBLANK('Data Input'!D558),"",'Data Input'!D558)</f>
        <v>7/28/18 1305</v>
      </c>
      <c r="G558">
        <f>IF(ISBLANK('Data Input'!E558),"",'Data Input'!E558)</f>
        <v>23</v>
      </c>
      <c r="H558" t="str">
        <f>IF(ISBLANK('Data Input'!F558),"",'Data Input'!F558)</f>
        <v>White</v>
      </c>
      <c r="I558" t="str">
        <f>IF(ISBLANK('Data Input'!G558),"",'Data Input'!G558)</f>
        <v>Caesarean</v>
      </c>
      <c r="J558" t="str">
        <f>IF(ISBLANK('Data Input'!I558),"",'Data Input'!I558)</f>
        <v>7=28=18 1305</v>
      </c>
      <c r="K558" t="str">
        <f>IF(ISBLANK('Data Input'!J558),"",'Data Input'!J558)</f>
        <v>tr - Toradol</v>
      </c>
      <c r="L558">
        <f>IF(ISBLANK('Data Input'!K558),"",'Data Input'!K558)</f>
        <v>30</v>
      </c>
      <c r="M558">
        <f>IF(ISBLANK('Data Input'!L558),"",'Data Input'!L558)</f>
        <v>7</v>
      </c>
      <c r="N558">
        <f>IF(ISBLANK('Data Input'!M558),"",'Data Input'!M558)</f>
        <v>0</v>
      </c>
      <c r="O558" t="str">
        <f>IF(ISBLANK('Data Input'!N558),"",'Data Input'!N558)</f>
        <v/>
      </c>
      <c r="P558" t="str">
        <f>IF(ISBLANK('Data Input'!O558),"",'Data Input'!O558)</f>
        <v/>
      </c>
      <c r="Q558" t="str">
        <f>IF(ISBLANK('Data Input'!P558),"",'Data Input'!P558)</f>
        <v/>
      </c>
      <c r="R558" t="b">
        <f>IF(ISBLANK('Data Input'!Q558),"",'Data Input'!Q558)</f>
        <v>0</v>
      </c>
      <c r="T558" s="2">
        <f t="shared" si="34"/>
        <v>43308</v>
      </c>
      <c r="U558" s="12">
        <f t="shared" si="35"/>
        <v>0.74305555555555547</v>
      </c>
      <c r="V558" s="2">
        <f t="shared" si="36"/>
        <v>43309</v>
      </c>
      <c r="W558" s="12">
        <f t="shared" si="37"/>
        <v>0.54513888888888895</v>
      </c>
    </row>
    <row r="559" spans="1:23">
      <c r="A559">
        <f>IF(ISBLANK('Data Input'!A559),"",'Data Input'!A559)</f>
        <v>147</v>
      </c>
      <c r="B559" t="str">
        <f>IF(ISBLANK('Data Input'!B559),"",'Data Input'!B559)</f>
        <v>JJ149</v>
      </c>
      <c r="C559" t="str">
        <f>IF(ISBLANK('Data Input'!C559),"",'Data Input'!C559)</f>
        <v>7/27/18 2245</v>
      </c>
      <c r="E559" t="str">
        <f>IF(ISBLANK('Data Input'!D559),"",'Data Input'!D559)</f>
        <v>7/28/18 2222</v>
      </c>
      <c r="G559">
        <f>IF(ISBLANK('Data Input'!E559),"",'Data Input'!E559)</f>
        <v>24</v>
      </c>
      <c r="H559" t="str">
        <f>IF(ISBLANK('Data Input'!F559),"",'Data Input'!F559)</f>
        <v>bb - Black</v>
      </c>
      <c r="I559" t="str">
        <f>IF(ISBLANK('Data Input'!G559),"",'Data Input'!G559)</f>
        <v>SVD</v>
      </c>
      <c r="J559" t="str">
        <f>IF(ISBLANK('Data Input'!I559),"",'Data Input'!I559)</f>
        <v>7=27=18 2328</v>
      </c>
      <c r="K559" t="str">
        <f>IF(ISBLANK('Data Input'!J559),"",'Data Input'!J559)</f>
        <v>tt - Tylenol</v>
      </c>
      <c r="L559">
        <f>IF(ISBLANK('Data Input'!K559),"",'Data Input'!K559)</f>
        <v>650</v>
      </c>
      <c r="M559">
        <f>IF(ISBLANK('Data Input'!L559),"",'Data Input'!L559)</f>
        <v>5</v>
      </c>
      <c r="N559">
        <f>IF(ISBLANK('Data Input'!M559),"",'Data Input'!M559)</f>
        <v>0</v>
      </c>
      <c r="O559" t="str">
        <f>IF(ISBLANK('Data Input'!N559),"",'Data Input'!N559)</f>
        <v/>
      </c>
      <c r="P559" t="str">
        <f>IF(ISBLANK('Data Input'!O559),"",'Data Input'!O559)</f>
        <v/>
      </c>
      <c r="Q559" t="str">
        <f>IF(ISBLANK('Data Input'!P559),"",'Data Input'!P559)</f>
        <v/>
      </c>
      <c r="R559" t="b">
        <f>IF(ISBLANK('Data Input'!Q559),"",'Data Input'!Q559)</f>
        <v>1</v>
      </c>
      <c r="T559" s="2">
        <f t="shared" si="34"/>
        <v>43308</v>
      </c>
      <c r="U559" s="12">
        <f t="shared" si="35"/>
        <v>0.94791666666666663</v>
      </c>
      <c r="V559" s="2">
        <f t="shared" si="36"/>
        <v>43309</v>
      </c>
      <c r="W559" s="12">
        <f t="shared" si="37"/>
        <v>0.93194444444444446</v>
      </c>
    </row>
    <row r="560" spans="1:23">
      <c r="A560">
        <f>IF(ISBLANK('Data Input'!A560),"",'Data Input'!A560)</f>
        <v>147</v>
      </c>
      <c r="B560" t="str">
        <f>IF(ISBLANK('Data Input'!B560),"",'Data Input'!B560)</f>
        <v>JJ149</v>
      </c>
      <c r="C560" t="str">
        <f>IF(ISBLANK('Data Input'!C560),"",'Data Input'!C560)</f>
        <v>7/27/18 2245</v>
      </c>
      <c r="E560" t="str">
        <f>IF(ISBLANK('Data Input'!D560),"",'Data Input'!D560)</f>
        <v>7/28/18 2222</v>
      </c>
      <c r="G560">
        <f>IF(ISBLANK('Data Input'!E560),"",'Data Input'!E560)</f>
        <v>24</v>
      </c>
      <c r="H560" t="str">
        <f>IF(ISBLANK('Data Input'!F560),"",'Data Input'!F560)</f>
        <v>bb - Black</v>
      </c>
      <c r="I560" t="str">
        <f>IF(ISBLANK('Data Input'!G560),"",'Data Input'!G560)</f>
        <v>SVD</v>
      </c>
      <c r="J560" t="str">
        <f>IF(ISBLANK('Data Input'!I560),"",'Data Input'!I560)</f>
        <v>7=28=18 0022</v>
      </c>
      <c r="K560" t="str">
        <f>IF(ISBLANK('Data Input'!J560),"",'Data Input'!J560)</f>
        <v>bb - Ibuprofen</v>
      </c>
      <c r="L560">
        <f>IF(ISBLANK('Data Input'!K560),"",'Data Input'!K560)</f>
        <v>800</v>
      </c>
      <c r="M560">
        <f>IF(ISBLANK('Data Input'!L560),"",'Data Input'!L560)</f>
        <v>8</v>
      </c>
      <c r="N560">
        <f>IF(ISBLANK('Data Input'!M560),"",'Data Input'!M560)</f>
        <v>3</v>
      </c>
      <c r="O560" t="str">
        <f>IF(ISBLANK('Data Input'!N560),"",'Data Input'!N560)</f>
        <v/>
      </c>
      <c r="P560" t="str">
        <f>IF(ISBLANK('Data Input'!O560),"",'Data Input'!O560)</f>
        <v/>
      </c>
      <c r="Q560" t="str">
        <f>IF(ISBLANK('Data Input'!P560),"",'Data Input'!P560)</f>
        <v/>
      </c>
      <c r="R560" t="b">
        <f>IF(ISBLANK('Data Input'!Q560),"",'Data Input'!Q560)</f>
        <v>1</v>
      </c>
      <c r="T560" s="2">
        <f t="shared" si="34"/>
        <v>43308</v>
      </c>
      <c r="U560" s="12">
        <f t="shared" si="35"/>
        <v>0.94791666666666663</v>
      </c>
      <c r="V560" s="2">
        <f t="shared" si="36"/>
        <v>43309</v>
      </c>
      <c r="W560" s="12">
        <f t="shared" si="37"/>
        <v>0.93194444444444446</v>
      </c>
    </row>
    <row r="561" spans="1:23">
      <c r="A561">
        <f>IF(ISBLANK('Data Input'!A561),"",'Data Input'!A561)</f>
        <v>147</v>
      </c>
      <c r="B561" t="str">
        <f>IF(ISBLANK('Data Input'!B561),"",'Data Input'!B561)</f>
        <v>JJ149</v>
      </c>
      <c r="C561" t="str">
        <f>IF(ISBLANK('Data Input'!C561),"",'Data Input'!C561)</f>
        <v>7/27/18 2245</v>
      </c>
      <c r="E561" t="str">
        <f>IF(ISBLANK('Data Input'!D561),"",'Data Input'!D561)</f>
        <v>7/28/18 2222</v>
      </c>
      <c r="G561">
        <f>IF(ISBLANK('Data Input'!E561),"",'Data Input'!E561)</f>
        <v>24</v>
      </c>
      <c r="H561" t="str">
        <f>IF(ISBLANK('Data Input'!F561),"",'Data Input'!F561)</f>
        <v>bb - Black</v>
      </c>
      <c r="I561" t="str">
        <f>IF(ISBLANK('Data Input'!G561),"",'Data Input'!G561)</f>
        <v>SVD</v>
      </c>
      <c r="J561" t="str">
        <f>IF(ISBLANK('Data Input'!I561),"",'Data Input'!I561)</f>
        <v>7=28=18 1616</v>
      </c>
      <c r="K561" t="str">
        <f>IF(ISBLANK('Data Input'!J561),"",'Data Input'!J561)</f>
        <v>bb - Ibuprofen</v>
      </c>
      <c r="L561">
        <f>IF(ISBLANK('Data Input'!K561),"",'Data Input'!K561)</f>
        <v>800</v>
      </c>
      <c r="M561" t="str">
        <f>IF(ISBLANK('Data Input'!L561),"",'Data Input'!L561)</f>
        <v>dd - Missing Data</v>
      </c>
      <c r="N561" t="str">
        <f>IF(ISBLANK('Data Input'!M561),"",'Data Input'!M561)</f>
        <v>dd - Missing Data</v>
      </c>
      <c r="O561" t="str">
        <f>IF(ISBLANK('Data Input'!N561),"",'Data Input'!N561)</f>
        <v/>
      </c>
      <c r="P561" t="str">
        <f>IF(ISBLANK('Data Input'!O561),"",'Data Input'!O561)</f>
        <v/>
      </c>
      <c r="Q561" t="str">
        <f>IF(ISBLANK('Data Input'!P561),"",'Data Input'!P561)</f>
        <v/>
      </c>
      <c r="R561" t="b">
        <f>IF(ISBLANK('Data Input'!Q561),"",'Data Input'!Q561)</f>
        <v>1</v>
      </c>
      <c r="T561" s="2">
        <f t="shared" si="34"/>
        <v>43308</v>
      </c>
      <c r="U561" s="12">
        <f t="shared" si="35"/>
        <v>0.94791666666666663</v>
      </c>
      <c r="V561" s="2">
        <f t="shared" si="36"/>
        <v>43309</v>
      </c>
      <c r="W561" s="12">
        <f t="shared" si="37"/>
        <v>0.93194444444444446</v>
      </c>
    </row>
    <row r="562" spans="1:23">
      <c r="A562">
        <f>IF(ISBLANK('Data Input'!A562),"",'Data Input'!A562)</f>
        <v>147</v>
      </c>
      <c r="B562" t="str">
        <f>IF(ISBLANK('Data Input'!B562),"",'Data Input'!B562)</f>
        <v>JJ149</v>
      </c>
      <c r="C562" t="str">
        <f>IF(ISBLANK('Data Input'!C562),"",'Data Input'!C562)</f>
        <v>7/27/18 2245</v>
      </c>
      <c r="E562" t="str">
        <f>IF(ISBLANK('Data Input'!D562),"",'Data Input'!D562)</f>
        <v>7/28/18 2222</v>
      </c>
      <c r="G562">
        <f>IF(ISBLANK('Data Input'!E562),"",'Data Input'!E562)</f>
        <v>24</v>
      </c>
      <c r="H562" t="str">
        <f>IF(ISBLANK('Data Input'!F562),"",'Data Input'!F562)</f>
        <v>bb - Black</v>
      </c>
      <c r="I562" t="str">
        <f>IF(ISBLANK('Data Input'!G562),"",'Data Input'!G562)</f>
        <v>SVD</v>
      </c>
      <c r="J562" t="str">
        <f>IF(ISBLANK('Data Input'!I562),"",'Data Input'!I562)</f>
        <v>7=28=18 2222</v>
      </c>
      <c r="K562" t="str">
        <f>IF(ISBLANK('Data Input'!J562),"",'Data Input'!J562)</f>
        <v>bb - Ibuprofen</v>
      </c>
      <c r="L562">
        <f>IF(ISBLANK('Data Input'!K562),"",'Data Input'!K562)</f>
        <v>800</v>
      </c>
      <c r="M562">
        <f>IF(ISBLANK('Data Input'!L562),"",'Data Input'!L562)</f>
        <v>2</v>
      </c>
      <c r="N562">
        <f>IF(ISBLANK('Data Input'!M562),"",'Data Input'!M562)</f>
        <v>0</v>
      </c>
      <c r="O562" t="str">
        <f>IF(ISBLANK('Data Input'!N562),"",'Data Input'!N562)</f>
        <v/>
      </c>
      <c r="P562" t="str">
        <f>IF(ISBLANK('Data Input'!O562),"",'Data Input'!O562)</f>
        <v/>
      </c>
      <c r="Q562" t="str">
        <f>IF(ISBLANK('Data Input'!P562),"",'Data Input'!P562)</f>
        <v/>
      </c>
      <c r="R562" t="b">
        <f>IF(ISBLANK('Data Input'!Q562),"",'Data Input'!Q562)</f>
        <v>1</v>
      </c>
      <c r="T562" s="2">
        <f t="shared" si="34"/>
        <v>43308</v>
      </c>
      <c r="U562" s="12">
        <f t="shared" si="35"/>
        <v>0.94791666666666663</v>
      </c>
      <c r="V562" s="2">
        <f t="shared" si="36"/>
        <v>43309</v>
      </c>
      <c r="W562" s="12">
        <f t="shared" si="37"/>
        <v>0.93194444444444446</v>
      </c>
    </row>
    <row r="563" spans="1:23">
      <c r="A563">
        <f>IF(ISBLANK('Data Input'!A563),"",'Data Input'!A563)</f>
        <v>148</v>
      </c>
      <c r="B563" t="str">
        <f>IF(ISBLANK('Data Input'!B563),"",'Data Input'!B563)</f>
        <v>TK150</v>
      </c>
      <c r="C563" t="str">
        <f>IF(ISBLANK('Data Input'!C563),"",'Data Input'!C563)</f>
        <v>7/27/18 0030</v>
      </c>
      <c r="E563" t="str">
        <f>IF(ISBLANK('Data Input'!D563),"",'Data Input'!D563)</f>
        <v>7/27/18 2200</v>
      </c>
      <c r="G563">
        <f>IF(ISBLANK('Data Input'!E563),"",'Data Input'!E563)</f>
        <v>25</v>
      </c>
      <c r="H563" t="str">
        <f>IF(ISBLANK('Data Input'!F563),"",'Data Input'!F563)</f>
        <v>bb - Black</v>
      </c>
      <c r="I563" t="str">
        <f>IF(ISBLANK('Data Input'!G563),"",'Data Input'!G563)</f>
        <v>SVD</v>
      </c>
      <c r="J563" t="str">
        <f>IF(ISBLANK('Data Input'!I563),"",'Data Input'!I563)</f>
        <v>7=27=18 0310</v>
      </c>
      <c r="K563" t="str">
        <f>IF(ISBLANK('Data Input'!J563),"",'Data Input'!J563)</f>
        <v>bb - Ibuprofen</v>
      </c>
      <c r="L563">
        <f>IF(ISBLANK('Data Input'!K563),"",'Data Input'!K563)</f>
        <v>800</v>
      </c>
      <c r="M563">
        <f>IF(ISBLANK('Data Input'!L563),"",'Data Input'!L563)</f>
        <v>5</v>
      </c>
      <c r="N563">
        <f>IF(ISBLANK('Data Input'!M563),"",'Data Input'!M563)</f>
        <v>1</v>
      </c>
      <c r="O563" t="str">
        <f>IF(ISBLANK('Data Input'!N563),"",'Data Input'!N563)</f>
        <v/>
      </c>
      <c r="P563" t="str">
        <f>IF(ISBLANK('Data Input'!O563),"",'Data Input'!O563)</f>
        <v/>
      </c>
      <c r="Q563" t="str">
        <f>IF(ISBLANK('Data Input'!P563),"",'Data Input'!P563)</f>
        <v/>
      </c>
      <c r="R563" t="b">
        <f>IF(ISBLANK('Data Input'!Q563),"",'Data Input'!Q563)</f>
        <v>0</v>
      </c>
      <c r="T563" s="2">
        <f t="shared" si="34"/>
        <v>43308</v>
      </c>
      <c r="U563" s="12">
        <f t="shared" si="35"/>
        <v>2.0833333333333332E-2</v>
      </c>
      <c r="V563" s="2">
        <f t="shared" si="36"/>
        <v>43308</v>
      </c>
      <c r="W563" s="12">
        <f t="shared" si="37"/>
        <v>0.91666666666666663</v>
      </c>
    </row>
    <row r="564" spans="1:23">
      <c r="A564">
        <f>IF(ISBLANK('Data Input'!A564),"",'Data Input'!A564)</f>
        <v>148</v>
      </c>
      <c r="B564" t="str">
        <f>IF(ISBLANK('Data Input'!B564),"",'Data Input'!B564)</f>
        <v>TK150</v>
      </c>
      <c r="C564" t="str">
        <f>IF(ISBLANK('Data Input'!C564),"",'Data Input'!C564)</f>
        <v>7/27/18 0030</v>
      </c>
      <c r="E564" t="str">
        <f>IF(ISBLANK('Data Input'!D564),"",'Data Input'!D564)</f>
        <v>7/27/18 2200</v>
      </c>
      <c r="G564">
        <f>IF(ISBLANK('Data Input'!E564),"",'Data Input'!E564)</f>
        <v>25</v>
      </c>
      <c r="H564" t="str">
        <f>IF(ISBLANK('Data Input'!F564),"",'Data Input'!F564)</f>
        <v>bb - Black</v>
      </c>
      <c r="I564" t="str">
        <f>IF(ISBLANK('Data Input'!G564),"",'Data Input'!G564)</f>
        <v>SVD</v>
      </c>
      <c r="J564" t="str">
        <f>IF(ISBLANK('Data Input'!I564),"",'Data Input'!I564)</f>
        <v>7=27=18 1159</v>
      </c>
      <c r="K564" t="str">
        <f>IF(ISBLANK('Data Input'!J564),"",'Data Input'!J564)</f>
        <v>bb - Ibuprofen</v>
      </c>
      <c r="L564">
        <f>IF(ISBLANK('Data Input'!K564),"",'Data Input'!K564)</f>
        <v>800</v>
      </c>
      <c r="M564">
        <f>IF(ISBLANK('Data Input'!L564),"",'Data Input'!L564)</f>
        <v>8</v>
      </c>
      <c r="N564">
        <f>IF(ISBLANK('Data Input'!M564),"",'Data Input'!M564)</f>
        <v>4</v>
      </c>
      <c r="O564" t="str">
        <f>IF(ISBLANK('Data Input'!N564),"",'Data Input'!N564)</f>
        <v/>
      </c>
      <c r="P564" t="str">
        <f>IF(ISBLANK('Data Input'!O564),"",'Data Input'!O564)</f>
        <v/>
      </c>
      <c r="Q564" t="str">
        <f>IF(ISBLANK('Data Input'!P564),"",'Data Input'!P564)</f>
        <v/>
      </c>
      <c r="R564" t="b">
        <f>IF(ISBLANK('Data Input'!Q564),"",'Data Input'!Q564)</f>
        <v>0</v>
      </c>
      <c r="T564" s="2">
        <f t="shared" si="34"/>
        <v>43308</v>
      </c>
      <c r="U564" s="12">
        <f t="shared" si="35"/>
        <v>2.0833333333333332E-2</v>
      </c>
      <c r="V564" s="2">
        <f t="shared" si="36"/>
        <v>43308</v>
      </c>
      <c r="W564" s="12">
        <f t="shared" si="37"/>
        <v>0.91666666666666663</v>
      </c>
    </row>
    <row r="565" spans="1:23">
      <c r="A565">
        <f>IF(ISBLANK('Data Input'!A565),"",'Data Input'!A565)</f>
        <v>148</v>
      </c>
      <c r="B565" t="str">
        <f>IF(ISBLANK('Data Input'!B565),"",'Data Input'!B565)</f>
        <v>TK150</v>
      </c>
      <c r="C565" t="str">
        <f>IF(ISBLANK('Data Input'!C565),"",'Data Input'!C565)</f>
        <v>7/27/18 0030</v>
      </c>
      <c r="E565" t="str">
        <f>IF(ISBLANK('Data Input'!D565),"",'Data Input'!D565)</f>
        <v>7/27/18 2200</v>
      </c>
      <c r="G565">
        <f>IF(ISBLANK('Data Input'!E565),"",'Data Input'!E565)</f>
        <v>25</v>
      </c>
      <c r="H565" t="str">
        <f>IF(ISBLANK('Data Input'!F565),"",'Data Input'!F565)</f>
        <v>bb - Black</v>
      </c>
      <c r="I565" t="str">
        <f>IF(ISBLANK('Data Input'!G565),"",'Data Input'!G565)</f>
        <v>SVD</v>
      </c>
      <c r="J565" t="str">
        <f>IF(ISBLANK('Data Input'!I565),"",'Data Input'!I565)</f>
        <v>7=27=18 1419</v>
      </c>
      <c r="K565" t="str">
        <f>IF(ISBLANK('Data Input'!J565),"",'Data Input'!J565)</f>
        <v>rr - Percocet</v>
      </c>
      <c r="L565">
        <f>IF(ISBLANK('Data Input'!K565),"",'Data Input'!K565)</f>
        <v>1</v>
      </c>
      <c r="M565">
        <f>IF(ISBLANK('Data Input'!L565),"",'Data Input'!L565)</f>
        <v>8</v>
      </c>
      <c r="N565">
        <f>IF(ISBLANK('Data Input'!M565),"",'Data Input'!M565)</f>
        <v>2</v>
      </c>
      <c r="O565" t="str">
        <f>IF(ISBLANK('Data Input'!N565),"",'Data Input'!N565)</f>
        <v/>
      </c>
      <c r="P565" t="str">
        <f>IF(ISBLANK('Data Input'!O565),"",'Data Input'!O565)</f>
        <v/>
      </c>
      <c r="Q565" t="str">
        <f>IF(ISBLANK('Data Input'!P565),"",'Data Input'!P565)</f>
        <v/>
      </c>
      <c r="R565" t="b">
        <f>IF(ISBLANK('Data Input'!Q565),"",'Data Input'!Q565)</f>
        <v>0</v>
      </c>
      <c r="T565" s="2">
        <f t="shared" si="34"/>
        <v>43308</v>
      </c>
      <c r="U565" s="12">
        <f t="shared" si="35"/>
        <v>2.0833333333333332E-2</v>
      </c>
      <c r="V565" s="2">
        <f t="shared" si="36"/>
        <v>43308</v>
      </c>
      <c r="W565" s="12">
        <f t="shared" si="37"/>
        <v>0.91666666666666663</v>
      </c>
    </row>
    <row r="566" spans="1:23">
      <c r="A566">
        <f>IF(ISBLANK('Data Input'!A566),"",'Data Input'!A566)</f>
        <v>148</v>
      </c>
      <c r="B566" t="str">
        <f>IF(ISBLANK('Data Input'!B566),"",'Data Input'!B566)</f>
        <v>TK150</v>
      </c>
      <c r="C566" t="str">
        <f>IF(ISBLANK('Data Input'!C566),"",'Data Input'!C566)</f>
        <v>7/27/18 0030</v>
      </c>
      <c r="E566" t="str">
        <f>IF(ISBLANK('Data Input'!D566),"",'Data Input'!D566)</f>
        <v>7/27/18 2200</v>
      </c>
      <c r="G566">
        <f>IF(ISBLANK('Data Input'!E566),"",'Data Input'!E566)</f>
        <v>25</v>
      </c>
      <c r="H566" t="str">
        <f>IF(ISBLANK('Data Input'!F566),"",'Data Input'!F566)</f>
        <v>bb - Black</v>
      </c>
      <c r="I566" t="str">
        <f>IF(ISBLANK('Data Input'!G566),"",'Data Input'!G566)</f>
        <v>SVD</v>
      </c>
      <c r="J566" t="str">
        <f>IF(ISBLANK('Data Input'!I566),"",'Data Input'!I566)</f>
        <v>7=27=18 2200</v>
      </c>
      <c r="K566" t="str">
        <f>IF(ISBLANK('Data Input'!J566),"",'Data Input'!J566)</f>
        <v>bb - Ibuprofen</v>
      </c>
      <c r="L566">
        <f>IF(ISBLANK('Data Input'!K566),"",'Data Input'!K566)</f>
        <v>800</v>
      </c>
      <c r="M566">
        <f>IF(ISBLANK('Data Input'!L566),"",'Data Input'!L566)</f>
        <v>4</v>
      </c>
      <c r="N566">
        <f>IF(ISBLANK('Data Input'!M566),"",'Data Input'!M566)</f>
        <v>0</v>
      </c>
      <c r="O566" t="str">
        <f>IF(ISBLANK('Data Input'!N566),"",'Data Input'!N566)</f>
        <v/>
      </c>
      <c r="P566" t="str">
        <f>IF(ISBLANK('Data Input'!O566),"",'Data Input'!O566)</f>
        <v/>
      </c>
      <c r="Q566" t="str">
        <f>IF(ISBLANK('Data Input'!P566),"",'Data Input'!P566)</f>
        <v/>
      </c>
      <c r="R566" t="b">
        <f>IF(ISBLANK('Data Input'!Q566),"",'Data Input'!Q566)</f>
        <v>0</v>
      </c>
      <c r="T566" s="2">
        <f t="shared" si="34"/>
        <v>43308</v>
      </c>
      <c r="U566" s="12">
        <f t="shared" si="35"/>
        <v>2.0833333333333332E-2</v>
      </c>
      <c r="V566" s="2">
        <f t="shared" si="36"/>
        <v>43308</v>
      </c>
      <c r="W566" s="12">
        <f t="shared" si="37"/>
        <v>0.91666666666666663</v>
      </c>
    </row>
    <row r="567" spans="1:23">
      <c r="A567">
        <f>IF(ISBLANK('Data Input'!A567),"",'Data Input'!A567)</f>
        <v>148</v>
      </c>
      <c r="B567" t="str">
        <f>IF(ISBLANK('Data Input'!B567),"",'Data Input'!B567)</f>
        <v>TK150</v>
      </c>
      <c r="C567" t="str">
        <f>IF(ISBLANK('Data Input'!C567),"",'Data Input'!C567)</f>
        <v>7/27/18 0030</v>
      </c>
      <c r="E567" t="str">
        <f>IF(ISBLANK('Data Input'!D567),"",'Data Input'!D567)</f>
        <v>7/27/18 2200</v>
      </c>
      <c r="G567">
        <f>IF(ISBLANK('Data Input'!E567),"",'Data Input'!E567)</f>
        <v>25</v>
      </c>
      <c r="H567" t="str">
        <f>IF(ISBLANK('Data Input'!F567),"",'Data Input'!F567)</f>
        <v>bb - Black</v>
      </c>
      <c r="I567" t="str">
        <f>IF(ISBLANK('Data Input'!G567),"",'Data Input'!G567)</f>
        <v>SVD</v>
      </c>
      <c r="J567" t="str">
        <f>IF(ISBLANK('Data Input'!I567),"",'Data Input'!I567)</f>
        <v>7=27=18 2200</v>
      </c>
      <c r="K567" t="str">
        <f>IF(ISBLANK('Data Input'!J567),"",'Data Input'!J567)</f>
        <v>rr - Percocet</v>
      </c>
      <c r="L567">
        <f>IF(ISBLANK('Data Input'!K567),"",'Data Input'!K567)</f>
        <v>1</v>
      </c>
      <c r="M567">
        <f>IF(ISBLANK('Data Input'!L567),"",'Data Input'!L567)</f>
        <v>4</v>
      </c>
      <c r="N567">
        <f>IF(ISBLANK('Data Input'!M567),"",'Data Input'!M567)</f>
        <v>0</v>
      </c>
      <c r="O567" t="str">
        <f>IF(ISBLANK('Data Input'!N567),"",'Data Input'!N567)</f>
        <v/>
      </c>
      <c r="P567" t="str">
        <f>IF(ISBLANK('Data Input'!O567),"",'Data Input'!O567)</f>
        <v/>
      </c>
      <c r="Q567" t="str">
        <f>IF(ISBLANK('Data Input'!P567),"",'Data Input'!P567)</f>
        <v/>
      </c>
      <c r="R567" t="b">
        <f>IF(ISBLANK('Data Input'!Q567),"",'Data Input'!Q567)</f>
        <v>0</v>
      </c>
      <c r="T567" s="2">
        <f t="shared" si="34"/>
        <v>43308</v>
      </c>
      <c r="U567" s="12">
        <f t="shared" si="35"/>
        <v>2.0833333333333332E-2</v>
      </c>
      <c r="V567" s="2">
        <f t="shared" si="36"/>
        <v>43308</v>
      </c>
      <c r="W567" s="12">
        <f t="shared" si="37"/>
        <v>0.91666666666666663</v>
      </c>
    </row>
    <row r="568" spans="1:23">
      <c r="A568">
        <f>IF(ISBLANK('Data Input'!A568),"",'Data Input'!A568)</f>
        <v>149</v>
      </c>
      <c r="B568" t="str">
        <f>IF(ISBLANK('Data Input'!B568),"",'Data Input'!B568)</f>
        <v>AS151</v>
      </c>
      <c r="C568" t="str">
        <f>IF(ISBLANK('Data Input'!C568),"",'Data Input'!C568)</f>
        <v>7/28/18 0850</v>
      </c>
      <c r="E568">
        <f>IF(ISBLANK('Data Input'!D568),"",'Data Input'!D568)</f>
        <v>43310</v>
      </c>
      <c r="G568">
        <f>IF(ISBLANK('Data Input'!E568),"",'Data Input'!E568)</f>
        <v>27</v>
      </c>
      <c r="H568" t="str">
        <f>IF(ISBLANK('Data Input'!F568),"",'Data Input'!F568)</f>
        <v>White</v>
      </c>
      <c r="I568" t="str">
        <f>IF(ISBLANK('Data Input'!G568),"",'Data Input'!G568)</f>
        <v>SVD</v>
      </c>
      <c r="J568" t="str">
        <f>IF(ISBLANK('Data Input'!I568),"",'Data Input'!I568)</f>
        <v>7=28=18 0910</v>
      </c>
      <c r="K568" t="str">
        <f>IF(ISBLANK('Data Input'!J568),"",'Data Input'!J568)</f>
        <v>bb - Ibuprofen</v>
      </c>
      <c r="L568">
        <f>IF(ISBLANK('Data Input'!K568),"",'Data Input'!K568)</f>
        <v>800</v>
      </c>
      <c r="M568">
        <f>IF(ISBLANK('Data Input'!L568),"",'Data Input'!L568)</f>
        <v>5</v>
      </c>
      <c r="N568">
        <f>IF(ISBLANK('Data Input'!M568),"",'Data Input'!M568)</f>
        <v>3</v>
      </c>
      <c r="O568" t="str">
        <f>IF(ISBLANK('Data Input'!N568),"",'Data Input'!N568)</f>
        <v/>
      </c>
      <c r="P568" t="str">
        <f>IF(ISBLANK('Data Input'!O568),"",'Data Input'!O568)</f>
        <v/>
      </c>
      <c r="Q568" t="str">
        <f>IF(ISBLANK('Data Input'!P568),"",'Data Input'!P568)</f>
        <v/>
      </c>
      <c r="R568" t="b">
        <f>IF(ISBLANK('Data Input'!Q568),"",'Data Input'!Q568)</f>
        <v>1</v>
      </c>
      <c r="T568" s="2">
        <f t="shared" si="34"/>
        <v>43309</v>
      </c>
      <c r="U568" s="12">
        <f t="shared" si="35"/>
        <v>0.36805555555555558</v>
      </c>
      <c r="V568" s="2">
        <f t="shared" si="36"/>
        <v>43310</v>
      </c>
      <c r="W568" s="12">
        <f t="shared" si="37"/>
        <v>43310</v>
      </c>
    </row>
    <row r="569" spans="1:23">
      <c r="A569">
        <f>IF(ISBLANK('Data Input'!A569),"",'Data Input'!A569)</f>
        <v>149</v>
      </c>
      <c r="B569" t="str">
        <f>IF(ISBLANK('Data Input'!B569),"",'Data Input'!B569)</f>
        <v>AS151</v>
      </c>
      <c r="C569" t="str">
        <f>IF(ISBLANK('Data Input'!C569),"",'Data Input'!C569)</f>
        <v>7/28/18 0850</v>
      </c>
      <c r="E569">
        <f>IF(ISBLANK('Data Input'!D569),"",'Data Input'!D569)</f>
        <v>43310</v>
      </c>
      <c r="G569">
        <f>IF(ISBLANK('Data Input'!E569),"",'Data Input'!E569)</f>
        <v>27</v>
      </c>
      <c r="H569" t="str">
        <f>IF(ISBLANK('Data Input'!F569),"",'Data Input'!F569)</f>
        <v>White</v>
      </c>
      <c r="I569" t="str">
        <f>IF(ISBLANK('Data Input'!G569),"",'Data Input'!G569)</f>
        <v>SVD</v>
      </c>
      <c r="J569" t="str">
        <f>IF(ISBLANK('Data Input'!I569),"",'Data Input'!I569)</f>
        <v>7=29=18 0535</v>
      </c>
      <c r="K569" t="str">
        <f>IF(ISBLANK('Data Input'!J569),"",'Data Input'!J569)</f>
        <v>bb - Ibuprofen</v>
      </c>
      <c r="L569">
        <f>IF(ISBLANK('Data Input'!K569),"",'Data Input'!K569)</f>
        <v>800</v>
      </c>
      <c r="M569">
        <f>IF(ISBLANK('Data Input'!L569),"",'Data Input'!L569)</f>
        <v>4</v>
      </c>
      <c r="N569">
        <f>IF(ISBLANK('Data Input'!M569),"",'Data Input'!M569)</f>
        <v>0</v>
      </c>
      <c r="O569" t="str">
        <f>IF(ISBLANK('Data Input'!N569),"",'Data Input'!N569)</f>
        <v/>
      </c>
      <c r="P569" t="str">
        <f>IF(ISBLANK('Data Input'!O569),"",'Data Input'!O569)</f>
        <v/>
      </c>
      <c r="Q569" t="str">
        <f>IF(ISBLANK('Data Input'!P569),"",'Data Input'!P569)</f>
        <v/>
      </c>
      <c r="R569" t="b">
        <f>IF(ISBLANK('Data Input'!Q569),"",'Data Input'!Q569)</f>
        <v>1</v>
      </c>
      <c r="T569" s="2">
        <f t="shared" si="34"/>
        <v>43309</v>
      </c>
      <c r="U569" s="12">
        <f t="shared" si="35"/>
        <v>0.36805555555555558</v>
      </c>
      <c r="V569" s="2">
        <f t="shared" si="36"/>
        <v>43310</v>
      </c>
      <c r="W569" s="12">
        <f t="shared" si="37"/>
        <v>43310</v>
      </c>
    </row>
    <row r="570" spans="1:23">
      <c r="A570">
        <f>IF(ISBLANK('Data Input'!A570),"",'Data Input'!A570)</f>
        <v>150</v>
      </c>
      <c r="B570" t="str">
        <f>IF(ISBLANK('Data Input'!B570),"",'Data Input'!B570)</f>
        <v>SK152</v>
      </c>
      <c r="C570" t="str">
        <f>IF(ISBLANK('Data Input'!C570),"",'Data Input'!C570)</f>
        <v>7/26/18 0215</v>
      </c>
      <c r="E570" t="str">
        <f>IF(ISBLANK('Data Input'!D570),"",'Data Input'!D570)</f>
        <v>7/26/18 2243</v>
      </c>
      <c r="G570">
        <f>IF(ISBLANK('Data Input'!E570),"",'Data Input'!E570)</f>
        <v>27</v>
      </c>
      <c r="H570" t="str">
        <f>IF(ISBLANK('Data Input'!F570),"",'Data Input'!F570)</f>
        <v>White</v>
      </c>
      <c r="I570" t="str">
        <f>IF(ISBLANK('Data Input'!G570),"",'Data Input'!G570)</f>
        <v>SVD</v>
      </c>
      <c r="J570" t="str">
        <f>IF(ISBLANK('Data Input'!I570),"",'Data Input'!I570)</f>
        <v>7=26=18 0342</v>
      </c>
      <c r="K570" t="str">
        <f>IF(ISBLANK('Data Input'!J570),"",'Data Input'!J570)</f>
        <v>bb - Ibuprofen</v>
      </c>
      <c r="L570">
        <f>IF(ISBLANK('Data Input'!K570),"",'Data Input'!K570)</f>
        <v>800</v>
      </c>
      <c r="M570">
        <f>IF(ISBLANK('Data Input'!L570),"",'Data Input'!L570)</f>
        <v>1</v>
      </c>
      <c r="N570">
        <f>IF(ISBLANK('Data Input'!M570),"",'Data Input'!M570)</f>
        <v>0</v>
      </c>
      <c r="O570" t="str">
        <f>IF(ISBLANK('Data Input'!N570),"",'Data Input'!N570)</f>
        <v/>
      </c>
      <c r="P570" t="str">
        <f>IF(ISBLANK('Data Input'!O570),"",'Data Input'!O570)</f>
        <v/>
      </c>
      <c r="Q570" t="str">
        <f>IF(ISBLANK('Data Input'!P570),"",'Data Input'!P570)</f>
        <v/>
      </c>
      <c r="R570" t="b">
        <f>IF(ISBLANK('Data Input'!Q570),"",'Data Input'!Q570)</f>
        <v>0</v>
      </c>
      <c r="T570" s="2">
        <f t="shared" si="34"/>
        <v>43307</v>
      </c>
      <c r="U570" s="12">
        <f t="shared" si="35"/>
        <v>9.375E-2</v>
      </c>
      <c r="V570" s="2">
        <f t="shared" si="36"/>
        <v>43307</v>
      </c>
      <c r="W570" s="12">
        <f t="shared" si="37"/>
        <v>0.94652777777777775</v>
      </c>
    </row>
    <row r="571" spans="1:23">
      <c r="A571">
        <f>IF(ISBLANK('Data Input'!A571),"",'Data Input'!A571)</f>
        <v>150</v>
      </c>
      <c r="B571" t="str">
        <f>IF(ISBLANK('Data Input'!B571),"",'Data Input'!B571)</f>
        <v>SK152</v>
      </c>
      <c r="C571" t="str">
        <f>IF(ISBLANK('Data Input'!C571),"",'Data Input'!C571)</f>
        <v>7/26/18 0215</v>
      </c>
      <c r="E571" t="str">
        <f>IF(ISBLANK('Data Input'!D571),"",'Data Input'!D571)</f>
        <v>7/26/18 2243</v>
      </c>
      <c r="G571">
        <f>IF(ISBLANK('Data Input'!E571),"",'Data Input'!E571)</f>
        <v>27</v>
      </c>
      <c r="H571" t="str">
        <f>IF(ISBLANK('Data Input'!F571),"",'Data Input'!F571)</f>
        <v>White</v>
      </c>
      <c r="I571" t="str">
        <f>IF(ISBLANK('Data Input'!G571),"",'Data Input'!G571)</f>
        <v>SVD</v>
      </c>
      <c r="J571" t="str">
        <f>IF(ISBLANK('Data Input'!I571),"",'Data Input'!I571)</f>
        <v>7=26=18 0928</v>
      </c>
      <c r="K571" t="str">
        <f>IF(ISBLANK('Data Input'!J571),"",'Data Input'!J571)</f>
        <v>bb - Ibuprofen</v>
      </c>
      <c r="L571">
        <f>IF(ISBLANK('Data Input'!K571),"",'Data Input'!K571)</f>
        <v>800</v>
      </c>
      <c r="M571">
        <f>IF(ISBLANK('Data Input'!L571),"",'Data Input'!L571)</f>
        <v>4</v>
      </c>
      <c r="N571">
        <f>IF(ISBLANK('Data Input'!M571),"",'Data Input'!M571)</f>
        <v>2</v>
      </c>
      <c r="O571" t="str">
        <f>IF(ISBLANK('Data Input'!N571),"",'Data Input'!N571)</f>
        <v/>
      </c>
      <c r="P571" t="str">
        <f>IF(ISBLANK('Data Input'!O571),"",'Data Input'!O571)</f>
        <v/>
      </c>
      <c r="Q571" t="str">
        <f>IF(ISBLANK('Data Input'!P571),"",'Data Input'!P571)</f>
        <v/>
      </c>
      <c r="R571" t="b">
        <f>IF(ISBLANK('Data Input'!Q571),"",'Data Input'!Q571)</f>
        <v>0</v>
      </c>
      <c r="T571" s="2">
        <f t="shared" si="34"/>
        <v>43307</v>
      </c>
      <c r="U571" s="12">
        <f t="shared" si="35"/>
        <v>9.375E-2</v>
      </c>
      <c r="V571" s="2">
        <f t="shared" si="36"/>
        <v>43307</v>
      </c>
      <c r="W571" s="12">
        <f t="shared" si="37"/>
        <v>0.94652777777777775</v>
      </c>
    </row>
    <row r="572" spans="1:23">
      <c r="A572">
        <f>IF(ISBLANK('Data Input'!A572),"",'Data Input'!A572)</f>
        <v>150</v>
      </c>
      <c r="B572" t="str">
        <f>IF(ISBLANK('Data Input'!B572),"",'Data Input'!B572)</f>
        <v>SK152</v>
      </c>
      <c r="C572" t="str">
        <f>IF(ISBLANK('Data Input'!C572),"",'Data Input'!C572)</f>
        <v>7/26/18 0215</v>
      </c>
      <c r="E572" t="str">
        <f>IF(ISBLANK('Data Input'!D572),"",'Data Input'!D572)</f>
        <v>7/26/18 2243</v>
      </c>
      <c r="G572">
        <f>IF(ISBLANK('Data Input'!E572),"",'Data Input'!E572)</f>
        <v>27</v>
      </c>
      <c r="H572" t="str">
        <f>IF(ISBLANK('Data Input'!F572),"",'Data Input'!F572)</f>
        <v>White</v>
      </c>
      <c r="I572" t="str">
        <f>IF(ISBLANK('Data Input'!G572),"",'Data Input'!G572)</f>
        <v>SVD</v>
      </c>
      <c r="J572" t="str">
        <f>IF(ISBLANK('Data Input'!I572),"",'Data Input'!I572)</f>
        <v>7=26=18 1550</v>
      </c>
      <c r="K572" t="str">
        <f>IF(ISBLANK('Data Input'!J572),"",'Data Input'!J572)</f>
        <v>bb - Ibuprofen</v>
      </c>
      <c r="L572">
        <f>IF(ISBLANK('Data Input'!K572),"",'Data Input'!K572)</f>
        <v>800</v>
      </c>
      <c r="M572">
        <f>IF(ISBLANK('Data Input'!L572),"",'Data Input'!L572)</f>
        <v>2</v>
      </c>
      <c r="N572">
        <f>IF(ISBLANK('Data Input'!M572),"",'Data Input'!M572)</f>
        <v>2</v>
      </c>
      <c r="O572" t="str">
        <f>IF(ISBLANK('Data Input'!N572),"",'Data Input'!N572)</f>
        <v/>
      </c>
      <c r="P572" t="str">
        <f>IF(ISBLANK('Data Input'!O572),"",'Data Input'!O572)</f>
        <v/>
      </c>
      <c r="Q572" t="str">
        <f>IF(ISBLANK('Data Input'!P572),"",'Data Input'!P572)</f>
        <v/>
      </c>
      <c r="R572" t="b">
        <f>IF(ISBLANK('Data Input'!Q572),"",'Data Input'!Q572)</f>
        <v>0</v>
      </c>
      <c r="T572" s="2">
        <f t="shared" si="34"/>
        <v>43307</v>
      </c>
      <c r="U572" s="12">
        <f t="shared" si="35"/>
        <v>9.375E-2</v>
      </c>
      <c r="V572" s="2">
        <f t="shared" si="36"/>
        <v>43307</v>
      </c>
      <c r="W572" s="12">
        <f t="shared" si="37"/>
        <v>0.94652777777777775</v>
      </c>
    </row>
    <row r="573" spans="1:23">
      <c r="A573">
        <f>IF(ISBLANK('Data Input'!A573),"",'Data Input'!A573)</f>
        <v>150</v>
      </c>
      <c r="B573" t="str">
        <f>IF(ISBLANK('Data Input'!B573),"",'Data Input'!B573)</f>
        <v>SK152</v>
      </c>
      <c r="C573" t="str">
        <f>IF(ISBLANK('Data Input'!C573),"",'Data Input'!C573)</f>
        <v>7/26/18 0215</v>
      </c>
      <c r="E573" t="str">
        <f>IF(ISBLANK('Data Input'!D573),"",'Data Input'!D573)</f>
        <v>7/26/18 2243</v>
      </c>
      <c r="G573">
        <f>IF(ISBLANK('Data Input'!E573),"",'Data Input'!E573)</f>
        <v>27</v>
      </c>
      <c r="H573" t="str">
        <f>IF(ISBLANK('Data Input'!F573),"",'Data Input'!F573)</f>
        <v>White</v>
      </c>
      <c r="I573" t="str">
        <f>IF(ISBLANK('Data Input'!G573),"",'Data Input'!G573)</f>
        <v>SVD</v>
      </c>
      <c r="J573" t="str">
        <f>IF(ISBLANK('Data Input'!I573),"",'Data Input'!I573)</f>
        <v>7=26=18 2243</v>
      </c>
      <c r="K573" t="str">
        <f>IF(ISBLANK('Data Input'!J573),"",'Data Input'!J573)</f>
        <v>bb - Ibuprofen</v>
      </c>
      <c r="L573">
        <f>IF(ISBLANK('Data Input'!K573),"",'Data Input'!K573)</f>
        <v>800</v>
      </c>
      <c r="M573">
        <f>IF(ISBLANK('Data Input'!L573),"",'Data Input'!L573)</f>
        <v>3</v>
      </c>
      <c r="N573">
        <f>IF(ISBLANK('Data Input'!M573),"",'Data Input'!M573)</f>
        <v>0</v>
      </c>
      <c r="O573" t="str">
        <f>IF(ISBLANK('Data Input'!N573),"",'Data Input'!N573)</f>
        <v/>
      </c>
      <c r="P573" t="str">
        <f>IF(ISBLANK('Data Input'!O573),"",'Data Input'!O573)</f>
        <v/>
      </c>
      <c r="Q573" t="str">
        <f>IF(ISBLANK('Data Input'!P573),"",'Data Input'!P573)</f>
        <v/>
      </c>
      <c r="R573" t="b">
        <f>IF(ISBLANK('Data Input'!Q573),"",'Data Input'!Q573)</f>
        <v>0</v>
      </c>
      <c r="T573" s="2">
        <f t="shared" si="34"/>
        <v>43307</v>
      </c>
      <c r="U573" s="12">
        <f t="shared" si="35"/>
        <v>9.375E-2</v>
      </c>
      <c r="V573" s="2">
        <f t="shared" si="36"/>
        <v>43307</v>
      </c>
      <c r="W573" s="12">
        <f t="shared" si="37"/>
        <v>0.94652777777777775</v>
      </c>
    </row>
    <row r="574" spans="1:23">
      <c r="A574">
        <f>IF(ISBLANK('Data Input'!A574),"",'Data Input'!A574)</f>
        <v>151</v>
      </c>
      <c r="B574" t="str">
        <f>IF(ISBLANK('Data Input'!B574),"",'Data Input'!B574)</f>
        <v>DR153</v>
      </c>
      <c r="C574" t="str">
        <f>IF(ISBLANK('Data Input'!C574),"",'Data Input'!C574)</f>
        <v>7/27/18 0600</v>
      </c>
      <c r="E574" t="str">
        <f>IF(ISBLANK('Data Input'!D574),"",'Data Input'!D574)</f>
        <v>7/28/18 0344</v>
      </c>
      <c r="G574">
        <f>IF(ISBLANK('Data Input'!E574),"",'Data Input'!E574)</f>
        <v>20</v>
      </c>
      <c r="H574" t="str">
        <f>IF(ISBLANK('Data Input'!F574),"",'Data Input'!F574)</f>
        <v>bb - Black</v>
      </c>
      <c r="I574" t="str">
        <f>IF(ISBLANK('Data Input'!G574),"",'Data Input'!G574)</f>
        <v>SVD</v>
      </c>
      <c r="J574" t="str">
        <f>IF(ISBLANK('Data Input'!I574),"",'Data Input'!I574)</f>
        <v>7=27=18 0625</v>
      </c>
      <c r="K574" t="str">
        <f>IF(ISBLANK('Data Input'!J574),"",'Data Input'!J574)</f>
        <v>bb - Ibuprofen</v>
      </c>
      <c r="L574">
        <f>IF(ISBLANK('Data Input'!K574),"",'Data Input'!K574)</f>
        <v>800</v>
      </c>
      <c r="M574">
        <f>IF(ISBLANK('Data Input'!L574),"",'Data Input'!L574)</f>
        <v>2</v>
      </c>
      <c r="N574">
        <f>IF(ISBLANK('Data Input'!M574),"",'Data Input'!M574)</f>
        <v>2</v>
      </c>
      <c r="O574" t="str">
        <f>IF(ISBLANK('Data Input'!N574),"",'Data Input'!N574)</f>
        <v/>
      </c>
      <c r="P574" t="str">
        <f>IF(ISBLANK('Data Input'!O574),"",'Data Input'!O574)</f>
        <v/>
      </c>
      <c r="Q574" t="str">
        <f>IF(ISBLANK('Data Input'!P574),"",'Data Input'!P574)</f>
        <v/>
      </c>
      <c r="R574" t="b">
        <f>IF(ISBLANK('Data Input'!Q574),"",'Data Input'!Q574)</f>
        <v>1</v>
      </c>
      <c r="T574" s="2">
        <f t="shared" si="34"/>
        <v>43308</v>
      </c>
      <c r="U574" s="12">
        <f t="shared" si="35"/>
        <v>0.25</v>
      </c>
      <c r="V574" s="2">
        <f t="shared" si="36"/>
        <v>43309</v>
      </c>
      <c r="W574" s="12">
        <f t="shared" si="37"/>
        <v>0.15555555555555556</v>
      </c>
    </row>
    <row r="575" spans="1:23">
      <c r="A575">
        <f>IF(ISBLANK('Data Input'!A575),"",'Data Input'!A575)</f>
        <v>151</v>
      </c>
      <c r="B575" t="str">
        <f>IF(ISBLANK('Data Input'!B575),"",'Data Input'!B575)</f>
        <v>DR153</v>
      </c>
      <c r="C575" t="str">
        <f>IF(ISBLANK('Data Input'!C575),"",'Data Input'!C575)</f>
        <v>7/27/18 0600</v>
      </c>
      <c r="E575" t="str">
        <f>IF(ISBLANK('Data Input'!D575),"",'Data Input'!D575)</f>
        <v>7/28/18 0344</v>
      </c>
      <c r="G575">
        <f>IF(ISBLANK('Data Input'!E575),"",'Data Input'!E575)</f>
        <v>20</v>
      </c>
      <c r="H575" t="str">
        <f>IF(ISBLANK('Data Input'!F575),"",'Data Input'!F575)</f>
        <v>bb - Black</v>
      </c>
      <c r="I575" t="str">
        <f>IF(ISBLANK('Data Input'!G575),"",'Data Input'!G575)</f>
        <v>SVD</v>
      </c>
      <c r="J575" t="str">
        <f>IF(ISBLANK('Data Input'!I575),"",'Data Input'!I575)</f>
        <v>7=27=18 1543</v>
      </c>
      <c r="K575" t="str">
        <f>IF(ISBLANK('Data Input'!J575),"",'Data Input'!J575)</f>
        <v>bb - Ibuprofen</v>
      </c>
      <c r="L575">
        <f>IF(ISBLANK('Data Input'!K575),"",'Data Input'!K575)</f>
        <v>800</v>
      </c>
      <c r="M575">
        <f>IF(ISBLANK('Data Input'!L575),"",'Data Input'!L575)</f>
        <v>5</v>
      </c>
      <c r="N575">
        <f>IF(ISBLANK('Data Input'!M575),"",'Data Input'!M575)</f>
        <v>3</v>
      </c>
      <c r="O575" t="str">
        <f>IF(ISBLANK('Data Input'!N575),"",'Data Input'!N575)</f>
        <v/>
      </c>
      <c r="P575" t="str">
        <f>IF(ISBLANK('Data Input'!O575),"",'Data Input'!O575)</f>
        <v/>
      </c>
      <c r="Q575" t="str">
        <f>IF(ISBLANK('Data Input'!P575),"",'Data Input'!P575)</f>
        <v/>
      </c>
      <c r="R575" t="b">
        <f>IF(ISBLANK('Data Input'!Q575),"",'Data Input'!Q575)</f>
        <v>1</v>
      </c>
      <c r="T575" s="2">
        <f t="shared" si="34"/>
        <v>43308</v>
      </c>
      <c r="U575" s="12">
        <f t="shared" si="35"/>
        <v>0.25</v>
      </c>
      <c r="V575" s="2">
        <f t="shared" si="36"/>
        <v>43309</v>
      </c>
      <c r="W575" s="12">
        <f t="shared" si="37"/>
        <v>0.15555555555555556</v>
      </c>
    </row>
    <row r="576" spans="1:23">
      <c r="A576">
        <f>IF(ISBLANK('Data Input'!A576),"",'Data Input'!A576)</f>
        <v>151</v>
      </c>
      <c r="B576" t="str">
        <f>IF(ISBLANK('Data Input'!B576),"",'Data Input'!B576)</f>
        <v>DR153</v>
      </c>
      <c r="C576" t="str">
        <f>IF(ISBLANK('Data Input'!C576),"",'Data Input'!C576)</f>
        <v>7/27/18 0600</v>
      </c>
      <c r="E576" t="str">
        <f>IF(ISBLANK('Data Input'!D576),"",'Data Input'!D576)</f>
        <v>7/28/18 0344</v>
      </c>
      <c r="G576">
        <f>IF(ISBLANK('Data Input'!E576),"",'Data Input'!E576)</f>
        <v>20</v>
      </c>
      <c r="H576" t="str">
        <f>IF(ISBLANK('Data Input'!F576),"",'Data Input'!F576)</f>
        <v>bb - Black</v>
      </c>
      <c r="I576" t="str">
        <f>IF(ISBLANK('Data Input'!G576),"",'Data Input'!G576)</f>
        <v>SVD</v>
      </c>
      <c r="J576" t="str">
        <f>IF(ISBLANK('Data Input'!I576),"",'Data Input'!I576)</f>
        <v>7=27=18 2203</v>
      </c>
      <c r="K576" t="str">
        <f>IF(ISBLANK('Data Input'!J576),"",'Data Input'!J576)</f>
        <v>bb - Ibuprofen</v>
      </c>
      <c r="L576">
        <f>IF(ISBLANK('Data Input'!K576),"",'Data Input'!K576)</f>
        <v>800</v>
      </c>
      <c r="M576">
        <f>IF(ISBLANK('Data Input'!L576),"",'Data Input'!L576)</f>
        <v>0</v>
      </c>
      <c r="N576">
        <f>IF(ISBLANK('Data Input'!M576),"",'Data Input'!M576)</f>
        <v>0</v>
      </c>
      <c r="O576" t="str">
        <f>IF(ISBLANK('Data Input'!N576),"",'Data Input'!N576)</f>
        <v/>
      </c>
      <c r="P576" t="str">
        <f>IF(ISBLANK('Data Input'!O576),"",'Data Input'!O576)</f>
        <v/>
      </c>
      <c r="Q576" t="str">
        <f>IF(ISBLANK('Data Input'!P576),"",'Data Input'!P576)</f>
        <v/>
      </c>
      <c r="R576" t="b">
        <f>IF(ISBLANK('Data Input'!Q576),"",'Data Input'!Q576)</f>
        <v>1</v>
      </c>
      <c r="T576" s="2">
        <f t="shared" si="34"/>
        <v>43308</v>
      </c>
      <c r="U576" s="12">
        <f t="shared" si="35"/>
        <v>0.25</v>
      </c>
      <c r="V576" s="2">
        <f t="shared" si="36"/>
        <v>43309</v>
      </c>
      <c r="W576" s="12">
        <f t="shared" si="37"/>
        <v>0.15555555555555556</v>
      </c>
    </row>
    <row r="577" spans="1:23">
      <c r="A577">
        <f>IF(ISBLANK('Data Input'!A577),"",'Data Input'!A577)</f>
        <v>151</v>
      </c>
      <c r="B577" t="str">
        <f>IF(ISBLANK('Data Input'!B577),"",'Data Input'!B577)</f>
        <v>DR153</v>
      </c>
      <c r="C577" t="str">
        <f>IF(ISBLANK('Data Input'!C577),"",'Data Input'!C577)</f>
        <v>7/27/18 0600</v>
      </c>
      <c r="E577" t="str">
        <f>IF(ISBLANK('Data Input'!D577),"",'Data Input'!D577)</f>
        <v>7/28/18 0344</v>
      </c>
      <c r="G577">
        <f>IF(ISBLANK('Data Input'!E577),"",'Data Input'!E577)</f>
        <v>20</v>
      </c>
      <c r="H577" t="str">
        <f>IF(ISBLANK('Data Input'!F577),"",'Data Input'!F577)</f>
        <v>bb - Black</v>
      </c>
      <c r="I577" t="str">
        <f>IF(ISBLANK('Data Input'!G577),"",'Data Input'!G577)</f>
        <v>SVD</v>
      </c>
      <c r="J577" t="str">
        <f>IF(ISBLANK('Data Input'!I577),"",'Data Input'!I577)</f>
        <v>7=28=18 0058</v>
      </c>
      <c r="K577" t="str">
        <f>IF(ISBLANK('Data Input'!J577),"",'Data Input'!J577)</f>
        <v>rr - Percocet</v>
      </c>
      <c r="L577">
        <f>IF(ISBLANK('Data Input'!K577),"",'Data Input'!K577)</f>
        <v>1</v>
      </c>
      <c r="M577">
        <f>IF(ISBLANK('Data Input'!L577),"",'Data Input'!L577)</f>
        <v>6</v>
      </c>
      <c r="N577">
        <f>IF(ISBLANK('Data Input'!M577),"",'Data Input'!M577)</f>
        <v>2</v>
      </c>
      <c r="O577" t="str">
        <f>IF(ISBLANK('Data Input'!N577),"",'Data Input'!N577)</f>
        <v/>
      </c>
      <c r="P577" t="str">
        <f>IF(ISBLANK('Data Input'!O577),"",'Data Input'!O577)</f>
        <v/>
      </c>
      <c r="Q577" t="str">
        <f>IF(ISBLANK('Data Input'!P577),"",'Data Input'!P577)</f>
        <v/>
      </c>
      <c r="R577" t="b">
        <f>IF(ISBLANK('Data Input'!Q577),"",'Data Input'!Q577)</f>
        <v>1</v>
      </c>
      <c r="T577" s="2">
        <f t="shared" si="34"/>
        <v>43308</v>
      </c>
      <c r="U577" s="12">
        <f t="shared" si="35"/>
        <v>0.25</v>
      </c>
      <c r="V577" s="2">
        <f t="shared" si="36"/>
        <v>43309</v>
      </c>
      <c r="W577" s="12">
        <f t="shared" si="37"/>
        <v>0.15555555555555556</v>
      </c>
    </row>
    <row r="578" spans="1:23">
      <c r="A578">
        <f>IF(ISBLANK('Data Input'!A578),"",'Data Input'!A578)</f>
        <v>151</v>
      </c>
      <c r="B578" t="str">
        <f>IF(ISBLANK('Data Input'!B578),"",'Data Input'!B578)</f>
        <v>DR153</v>
      </c>
      <c r="C578" t="str">
        <f>IF(ISBLANK('Data Input'!C578),"",'Data Input'!C578)</f>
        <v>7/27/18 0600</v>
      </c>
      <c r="E578" t="str">
        <f>IF(ISBLANK('Data Input'!D578),"",'Data Input'!D578)</f>
        <v>7/28/18 0344</v>
      </c>
      <c r="G578">
        <f>IF(ISBLANK('Data Input'!E578),"",'Data Input'!E578)</f>
        <v>20</v>
      </c>
      <c r="H578" t="str">
        <f>IF(ISBLANK('Data Input'!F578),"",'Data Input'!F578)</f>
        <v>bb - Black</v>
      </c>
      <c r="I578" t="str">
        <f>IF(ISBLANK('Data Input'!G578),"",'Data Input'!G578)</f>
        <v>SVD</v>
      </c>
      <c r="J578" t="str">
        <f>IF(ISBLANK('Data Input'!I578),"",'Data Input'!I578)</f>
        <v>7=28=18 0344</v>
      </c>
      <c r="K578" t="str">
        <f>IF(ISBLANK('Data Input'!J578),"",'Data Input'!J578)</f>
        <v>bb - Ibuprofen</v>
      </c>
      <c r="L578">
        <f>IF(ISBLANK('Data Input'!K578),"",'Data Input'!K578)</f>
        <v>800</v>
      </c>
      <c r="M578">
        <f>IF(ISBLANK('Data Input'!L578),"",'Data Input'!L578)</f>
        <v>0</v>
      </c>
      <c r="N578">
        <f>IF(ISBLANK('Data Input'!M578),"",'Data Input'!M578)</f>
        <v>0</v>
      </c>
      <c r="O578" t="str">
        <f>IF(ISBLANK('Data Input'!N578),"",'Data Input'!N578)</f>
        <v/>
      </c>
      <c r="P578" t="str">
        <f>IF(ISBLANK('Data Input'!O578),"",'Data Input'!O578)</f>
        <v/>
      </c>
      <c r="Q578" t="str">
        <f>IF(ISBLANK('Data Input'!P578),"",'Data Input'!P578)</f>
        <v/>
      </c>
      <c r="R578" t="b">
        <f>IF(ISBLANK('Data Input'!Q578),"",'Data Input'!Q578)</f>
        <v>1</v>
      </c>
      <c r="T578" s="2">
        <f t="shared" si="34"/>
        <v>43308</v>
      </c>
      <c r="U578" s="12">
        <f t="shared" si="35"/>
        <v>0.25</v>
      </c>
      <c r="V578" s="2">
        <f t="shared" si="36"/>
        <v>43309</v>
      </c>
      <c r="W578" s="12">
        <f t="shared" si="37"/>
        <v>0.15555555555555556</v>
      </c>
    </row>
    <row r="579" spans="1:23">
      <c r="A579">
        <f>IF(ISBLANK('Data Input'!A579),"",'Data Input'!A579)</f>
        <v>152</v>
      </c>
      <c r="B579" t="str">
        <f>IF(ISBLANK('Data Input'!B579),"",'Data Input'!B579)</f>
        <v>AK154</v>
      </c>
      <c r="C579" t="str">
        <f>IF(ISBLANK('Data Input'!C579),"",'Data Input'!C579)</f>
        <v>7/28/18 0110</v>
      </c>
      <c r="E579" t="str">
        <f>IF(ISBLANK('Data Input'!D579),"",'Data Input'!D579)</f>
        <v>7/28/18 2246</v>
      </c>
      <c r="G579">
        <f>IF(ISBLANK('Data Input'!E579),"",'Data Input'!E579)</f>
        <v>30</v>
      </c>
      <c r="H579" t="str">
        <f>IF(ISBLANK('Data Input'!F579),"",'Data Input'!F579)</f>
        <v>Arab</v>
      </c>
      <c r="I579" t="str">
        <f>IF(ISBLANK('Data Input'!G579),"",'Data Input'!G579)</f>
        <v>SVD</v>
      </c>
      <c r="J579" t="str">
        <f>IF(ISBLANK('Data Input'!I579),"",'Data Input'!I579)</f>
        <v>7=28=18 0309</v>
      </c>
      <c r="K579" t="str">
        <f>IF(ISBLANK('Data Input'!J579),"",'Data Input'!J579)</f>
        <v>te - Tylenol</v>
      </c>
      <c r="L579">
        <f>IF(ISBLANK('Data Input'!K579),"",'Data Input'!K579)</f>
        <v>1000</v>
      </c>
      <c r="M579" t="str">
        <f>IF(ISBLANK('Data Input'!L579),"",'Data Input'!L579)</f>
        <v>dd - Missing Data</v>
      </c>
      <c r="N579" t="str">
        <f>IF(ISBLANK('Data Input'!M579),"",'Data Input'!M579)</f>
        <v>dd - Missing Data</v>
      </c>
      <c r="O579" t="str">
        <f>IF(ISBLANK('Data Input'!N579),"",'Data Input'!N579)</f>
        <v/>
      </c>
      <c r="P579" t="str">
        <f>IF(ISBLANK('Data Input'!O579),"",'Data Input'!O579)</f>
        <v/>
      </c>
      <c r="Q579" t="str">
        <f>IF(ISBLANK('Data Input'!P579),"",'Data Input'!P579)</f>
        <v/>
      </c>
      <c r="R579" t="b">
        <f>IF(ISBLANK('Data Input'!Q579),"",'Data Input'!Q579)</f>
        <v>0</v>
      </c>
      <c r="T579" s="2">
        <f t="shared" ref="T579:T642" si="38">DATEVALUE(LEFT(C579,FIND(" ",C579)))</f>
        <v>43309</v>
      </c>
      <c r="U579" s="12">
        <f t="shared" ref="U579:U642" si="39">TIMEVALUE(CONCATENATE(MID(C579,FIND(" ",C579)+1,2),":",RIGHT(C579,LEN(C579)-FIND(" ",C579)-2)))</f>
        <v>4.8611111111111112E-2</v>
      </c>
      <c r="V579" s="2">
        <f t="shared" si="36"/>
        <v>43309</v>
      </c>
      <c r="W579" s="12">
        <f t="shared" si="37"/>
        <v>0.94861111111111107</v>
      </c>
    </row>
    <row r="580" spans="1:23">
      <c r="A580">
        <f>IF(ISBLANK('Data Input'!A580),"",'Data Input'!A580)</f>
        <v>152</v>
      </c>
      <c r="B580" t="str">
        <f>IF(ISBLANK('Data Input'!B580),"",'Data Input'!B580)</f>
        <v>AK154</v>
      </c>
      <c r="C580" t="str">
        <f>IF(ISBLANK('Data Input'!C580),"",'Data Input'!C580)</f>
        <v>7/28/18 0110</v>
      </c>
      <c r="E580" t="str">
        <f>IF(ISBLANK('Data Input'!D580),"",'Data Input'!D580)</f>
        <v>7/28/18 2246</v>
      </c>
      <c r="G580">
        <f>IF(ISBLANK('Data Input'!E580),"",'Data Input'!E580)</f>
        <v>30</v>
      </c>
      <c r="H580" t="str">
        <f>IF(ISBLANK('Data Input'!F580),"",'Data Input'!F580)</f>
        <v>Arab</v>
      </c>
      <c r="I580" t="str">
        <f>IF(ISBLANK('Data Input'!G580),"",'Data Input'!G580)</f>
        <v>SVD</v>
      </c>
      <c r="J580" t="str">
        <f>IF(ISBLANK('Data Input'!I580),"",'Data Input'!I580)</f>
        <v>7=28=18 0842</v>
      </c>
      <c r="K580" t="str">
        <f>IF(ISBLANK('Data Input'!J580),"",'Data Input'!J580)</f>
        <v>bb - Ibuprofen</v>
      </c>
      <c r="L580">
        <f>IF(ISBLANK('Data Input'!K580),"",'Data Input'!K580)</f>
        <v>800</v>
      </c>
      <c r="M580">
        <f>IF(ISBLANK('Data Input'!L580),"",'Data Input'!L580)</f>
        <v>6</v>
      </c>
      <c r="N580">
        <f>IF(ISBLANK('Data Input'!M580),"",'Data Input'!M580)</f>
        <v>4</v>
      </c>
      <c r="O580" t="str">
        <f>IF(ISBLANK('Data Input'!N580),"",'Data Input'!N580)</f>
        <v/>
      </c>
      <c r="P580" t="str">
        <f>IF(ISBLANK('Data Input'!O580),"",'Data Input'!O580)</f>
        <v/>
      </c>
      <c r="Q580" t="str">
        <f>IF(ISBLANK('Data Input'!P580),"",'Data Input'!P580)</f>
        <v/>
      </c>
      <c r="R580" t="b">
        <f>IF(ISBLANK('Data Input'!Q580),"",'Data Input'!Q580)</f>
        <v>0</v>
      </c>
      <c r="T580" s="2">
        <f t="shared" si="38"/>
        <v>43309</v>
      </c>
      <c r="U580" s="12">
        <f t="shared" si="39"/>
        <v>4.8611111111111112E-2</v>
      </c>
      <c r="V580" s="2">
        <f t="shared" si="36"/>
        <v>43309</v>
      </c>
      <c r="W580" s="12">
        <f t="shared" si="37"/>
        <v>0.94861111111111107</v>
      </c>
    </row>
    <row r="581" spans="1:23">
      <c r="A581">
        <f>IF(ISBLANK('Data Input'!A581),"",'Data Input'!A581)</f>
        <v>152</v>
      </c>
      <c r="B581" t="str">
        <f>IF(ISBLANK('Data Input'!B581),"",'Data Input'!B581)</f>
        <v>AK154</v>
      </c>
      <c r="C581" t="str">
        <f>IF(ISBLANK('Data Input'!C581),"",'Data Input'!C581)</f>
        <v>7/28/18 0110</v>
      </c>
      <c r="E581" t="str">
        <f>IF(ISBLANK('Data Input'!D581),"",'Data Input'!D581)</f>
        <v>7/28/18 2246</v>
      </c>
      <c r="G581">
        <f>IF(ISBLANK('Data Input'!E581),"",'Data Input'!E581)</f>
        <v>30</v>
      </c>
      <c r="H581" t="str">
        <f>IF(ISBLANK('Data Input'!F581),"",'Data Input'!F581)</f>
        <v>Arab</v>
      </c>
      <c r="I581" t="str">
        <f>IF(ISBLANK('Data Input'!G581),"",'Data Input'!G581)</f>
        <v>SVD</v>
      </c>
      <c r="J581" t="str">
        <f>IF(ISBLANK('Data Input'!I581),"",'Data Input'!I581)</f>
        <v>7=28=18 1211</v>
      </c>
      <c r="K581" t="str">
        <f>IF(ISBLANK('Data Input'!J581),"",'Data Input'!J581)</f>
        <v>rr - Percocet</v>
      </c>
      <c r="L581">
        <f>IF(ISBLANK('Data Input'!K581),"",'Data Input'!K581)</f>
        <v>1</v>
      </c>
      <c r="M581">
        <f>IF(ISBLANK('Data Input'!L581),"",'Data Input'!L581)</f>
        <v>7</v>
      </c>
      <c r="N581">
        <f>IF(ISBLANK('Data Input'!M581),"",'Data Input'!M581)</f>
        <v>4</v>
      </c>
      <c r="O581" t="str">
        <f>IF(ISBLANK('Data Input'!N581),"",'Data Input'!N581)</f>
        <v/>
      </c>
      <c r="P581" t="str">
        <f>IF(ISBLANK('Data Input'!O581),"",'Data Input'!O581)</f>
        <v/>
      </c>
      <c r="Q581" t="str">
        <f>IF(ISBLANK('Data Input'!P581),"",'Data Input'!P581)</f>
        <v/>
      </c>
      <c r="R581" t="b">
        <f>IF(ISBLANK('Data Input'!Q581),"",'Data Input'!Q581)</f>
        <v>0</v>
      </c>
      <c r="T581" s="2">
        <f t="shared" si="38"/>
        <v>43309</v>
      </c>
      <c r="U581" s="12">
        <f t="shared" si="39"/>
        <v>4.8611111111111112E-2</v>
      </c>
      <c r="V581" s="2">
        <f t="shared" si="36"/>
        <v>43309</v>
      </c>
      <c r="W581" s="12">
        <f t="shared" si="37"/>
        <v>0.94861111111111107</v>
      </c>
    </row>
    <row r="582" spans="1:23">
      <c r="A582">
        <f>IF(ISBLANK('Data Input'!A582),"",'Data Input'!A582)</f>
        <v>152</v>
      </c>
      <c r="B582" t="str">
        <f>IF(ISBLANK('Data Input'!B582),"",'Data Input'!B582)</f>
        <v>AK154</v>
      </c>
      <c r="C582" t="str">
        <f>IF(ISBLANK('Data Input'!C582),"",'Data Input'!C582)</f>
        <v>7/28/18 0110</v>
      </c>
      <c r="E582" t="str">
        <f>IF(ISBLANK('Data Input'!D582),"",'Data Input'!D582)</f>
        <v>7/28/18 2246</v>
      </c>
      <c r="G582">
        <f>IF(ISBLANK('Data Input'!E582),"",'Data Input'!E582)</f>
        <v>30</v>
      </c>
      <c r="H582" t="str">
        <f>IF(ISBLANK('Data Input'!F582),"",'Data Input'!F582)</f>
        <v>Arab</v>
      </c>
      <c r="I582" t="str">
        <f>IF(ISBLANK('Data Input'!G582),"",'Data Input'!G582)</f>
        <v>SVD</v>
      </c>
      <c r="J582" t="str">
        <f>IF(ISBLANK('Data Input'!I582),"",'Data Input'!I582)</f>
        <v>7=28=18 1540</v>
      </c>
      <c r="K582" t="str">
        <f>IF(ISBLANK('Data Input'!J582),"",'Data Input'!J582)</f>
        <v>bb - Ibuprofen</v>
      </c>
      <c r="L582">
        <f>IF(ISBLANK('Data Input'!K582),"",'Data Input'!K582)</f>
        <v>800</v>
      </c>
      <c r="M582">
        <f>IF(ISBLANK('Data Input'!L582),"",'Data Input'!L582)</f>
        <v>6</v>
      </c>
      <c r="N582">
        <f>IF(ISBLANK('Data Input'!M582),"",'Data Input'!M582)</f>
        <v>4</v>
      </c>
      <c r="O582" t="str">
        <f>IF(ISBLANK('Data Input'!N582),"",'Data Input'!N582)</f>
        <v/>
      </c>
      <c r="P582" t="str">
        <f>IF(ISBLANK('Data Input'!O582),"",'Data Input'!O582)</f>
        <v/>
      </c>
      <c r="Q582" t="str">
        <f>IF(ISBLANK('Data Input'!P582),"",'Data Input'!P582)</f>
        <v/>
      </c>
      <c r="R582" t="b">
        <f>IF(ISBLANK('Data Input'!Q582),"",'Data Input'!Q582)</f>
        <v>0</v>
      </c>
      <c r="T582" s="2">
        <f t="shared" si="38"/>
        <v>43309</v>
      </c>
      <c r="U582" s="12">
        <f t="shared" si="39"/>
        <v>4.8611111111111112E-2</v>
      </c>
      <c r="V582" s="2">
        <f t="shared" si="36"/>
        <v>43309</v>
      </c>
      <c r="W582" s="12">
        <f t="shared" si="37"/>
        <v>0.94861111111111107</v>
      </c>
    </row>
    <row r="583" spans="1:23">
      <c r="A583">
        <f>IF(ISBLANK('Data Input'!A583),"",'Data Input'!A583)</f>
        <v>152</v>
      </c>
      <c r="B583" t="str">
        <f>IF(ISBLANK('Data Input'!B583),"",'Data Input'!B583)</f>
        <v>AK154</v>
      </c>
      <c r="C583" t="str">
        <f>IF(ISBLANK('Data Input'!C583),"",'Data Input'!C583)</f>
        <v>7/28/18 0110</v>
      </c>
      <c r="E583" t="str">
        <f>IF(ISBLANK('Data Input'!D583),"",'Data Input'!D583)</f>
        <v>7/28/18 2246</v>
      </c>
      <c r="G583">
        <f>IF(ISBLANK('Data Input'!E583),"",'Data Input'!E583)</f>
        <v>30</v>
      </c>
      <c r="H583" t="str">
        <f>IF(ISBLANK('Data Input'!F583),"",'Data Input'!F583)</f>
        <v>Arab</v>
      </c>
      <c r="I583" t="str">
        <f>IF(ISBLANK('Data Input'!G583),"",'Data Input'!G583)</f>
        <v>SVD</v>
      </c>
      <c r="J583" t="str">
        <f>IF(ISBLANK('Data Input'!I583),"",'Data Input'!I583)</f>
        <v>7=28=18 1540</v>
      </c>
      <c r="K583" t="str">
        <f>IF(ISBLANK('Data Input'!J583),"",'Data Input'!J583)</f>
        <v>rr - Percocet</v>
      </c>
      <c r="L583">
        <f>IF(ISBLANK('Data Input'!K583),"",'Data Input'!K583)</f>
        <v>1</v>
      </c>
      <c r="M583">
        <f>IF(ISBLANK('Data Input'!L583),"",'Data Input'!L583)</f>
        <v>6</v>
      </c>
      <c r="N583">
        <f>IF(ISBLANK('Data Input'!M583),"",'Data Input'!M583)</f>
        <v>4</v>
      </c>
      <c r="O583" t="str">
        <f>IF(ISBLANK('Data Input'!N583),"",'Data Input'!N583)</f>
        <v/>
      </c>
      <c r="P583" t="str">
        <f>IF(ISBLANK('Data Input'!O583),"",'Data Input'!O583)</f>
        <v/>
      </c>
      <c r="Q583" t="str">
        <f>IF(ISBLANK('Data Input'!P583),"",'Data Input'!P583)</f>
        <v/>
      </c>
      <c r="R583" t="b">
        <f>IF(ISBLANK('Data Input'!Q583),"",'Data Input'!Q583)</f>
        <v>0</v>
      </c>
      <c r="T583" s="2">
        <f t="shared" si="38"/>
        <v>43309</v>
      </c>
      <c r="U583" s="12">
        <f t="shared" si="39"/>
        <v>4.8611111111111112E-2</v>
      </c>
      <c r="V583" s="2">
        <f t="shared" ref="V583:V646" si="40">IFERROR(DATEVALUE(LEFT(E583,FIND(" ",E583))),E583)</f>
        <v>43309</v>
      </c>
      <c r="W583" s="12">
        <f t="shared" ref="W583:W646" si="41">IFERROR(TIMEVALUE(CONCATENATE(MID(E583,FIND(" ",E583)+1,2),":",RIGHT(E583,LEN(E583)-FIND(" ",E583)-2))),E583)</f>
        <v>0.94861111111111107</v>
      </c>
    </row>
    <row r="584" spans="1:23">
      <c r="A584">
        <f>IF(ISBLANK('Data Input'!A584),"",'Data Input'!A584)</f>
        <v>152</v>
      </c>
      <c r="B584" t="str">
        <f>IF(ISBLANK('Data Input'!B584),"",'Data Input'!B584)</f>
        <v>AK154</v>
      </c>
      <c r="C584" t="str">
        <f>IF(ISBLANK('Data Input'!C584),"",'Data Input'!C584)</f>
        <v>7/28/18 0110</v>
      </c>
      <c r="E584" t="str">
        <f>IF(ISBLANK('Data Input'!D584),"",'Data Input'!D584)</f>
        <v>7/28/18 2246</v>
      </c>
      <c r="G584">
        <f>IF(ISBLANK('Data Input'!E584),"",'Data Input'!E584)</f>
        <v>30</v>
      </c>
      <c r="H584" t="str">
        <f>IF(ISBLANK('Data Input'!F584),"",'Data Input'!F584)</f>
        <v>Arab</v>
      </c>
      <c r="I584" t="str">
        <f>IF(ISBLANK('Data Input'!G584),"",'Data Input'!G584)</f>
        <v>SVD</v>
      </c>
      <c r="J584" t="str">
        <f>IF(ISBLANK('Data Input'!I584),"",'Data Input'!I584)</f>
        <v>7=28=18 1918</v>
      </c>
      <c r="K584" t="str">
        <f>IF(ISBLANK('Data Input'!J584),"",'Data Input'!J584)</f>
        <v>rr - Percocet</v>
      </c>
      <c r="L584">
        <f>IF(ISBLANK('Data Input'!K584),"",'Data Input'!K584)</f>
        <v>2</v>
      </c>
      <c r="M584">
        <f>IF(ISBLANK('Data Input'!L584),"",'Data Input'!L584)</f>
        <v>7</v>
      </c>
      <c r="N584">
        <f>IF(ISBLANK('Data Input'!M584),"",'Data Input'!M584)</f>
        <v>4</v>
      </c>
      <c r="O584" t="str">
        <f>IF(ISBLANK('Data Input'!N584),"",'Data Input'!N584)</f>
        <v/>
      </c>
      <c r="P584" t="str">
        <f>IF(ISBLANK('Data Input'!O584),"",'Data Input'!O584)</f>
        <v/>
      </c>
      <c r="Q584" t="str">
        <f>IF(ISBLANK('Data Input'!P584),"",'Data Input'!P584)</f>
        <v/>
      </c>
      <c r="R584" t="b">
        <f>IF(ISBLANK('Data Input'!Q584),"",'Data Input'!Q584)</f>
        <v>0</v>
      </c>
      <c r="T584" s="2">
        <f t="shared" si="38"/>
        <v>43309</v>
      </c>
      <c r="U584" s="12">
        <f t="shared" si="39"/>
        <v>4.8611111111111112E-2</v>
      </c>
      <c r="V584" s="2">
        <f t="shared" si="40"/>
        <v>43309</v>
      </c>
      <c r="W584" s="12">
        <f t="shared" si="41"/>
        <v>0.94861111111111107</v>
      </c>
    </row>
    <row r="585" spans="1:23">
      <c r="A585">
        <f>IF(ISBLANK('Data Input'!A585),"",'Data Input'!A585)</f>
        <v>152</v>
      </c>
      <c r="B585" t="str">
        <f>IF(ISBLANK('Data Input'!B585),"",'Data Input'!B585)</f>
        <v>AK154</v>
      </c>
      <c r="C585" t="str">
        <f>IF(ISBLANK('Data Input'!C585),"",'Data Input'!C585)</f>
        <v>7/28/18 0110</v>
      </c>
      <c r="E585" t="str">
        <f>IF(ISBLANK('Data Input'!D585),"",'Data Input'!D585)</f>
        <v>7/28/18 2246</v>
      </c>
      <c r="G585">
        <f>IF(ISBLANK('Data Input'!E585),"",'Data Input'!E585)</f>
        <v>30</v>
      </c>
      <c r="H585" t="str">
        <f>IF(ISBLANK('Data Input'!F585),"",'Data Input'!F585)</f>
        <v>Arab</v>
      </c>
      <c r="I585" t="str">
        <f>IF(ISBLANK('Data Input'!G585),"",'Data Input'!G585)</f>
        <v>SVD</v>
      </c>
      <c r="J585" t="str">
        <f>IF(ISBLANK('Data Input'!I585),"",'Data Input'!I585)</f>
        <v>7=28=18 2246</v>
      </c>
      <c r="K585" t="str">
        <f>IF(ISBLANK('Data Input'!J585),"",'Data Input'!J585)</f>
        <v>bb - Ibuprofen</v>
      </c>
      <c r="L585">
        <f>IF(ISBLANK('Data Input'!K585),"",'Data Input'!K585)</f>
        <v>800</v>
      </c>
      <c r="M585">
        <f>IF(ISBLANK('Data Input'!L585),"",'Data Input'!L585)</f>
        <v>7</v>
      </c>
      <c r="N585">
        <f>IF(ISBLANK('Data Input'!M585),"",'Data Input'!M585)</f>
        <v>3</v>
      </c>
      <c r="O585" t="str">
        <f>IF(ISBLANK('Data Input'!N585),"",'Data Input'!N585)</f>
        <v/>
      </c>
      <c r="P585" t="str">
        <f>IF(ISBLANK('Data Input'!O585),"",'Data Input'!O585)</f>
        <v/>
      </c>
      <c r="Q585" t="str">
        <f>IF(ISBLANK('Data Input'!P585),"",'Data Input'!P585)</f>
        <v/>
      </c>
      <c r="R585" t="b">
        <f>IF(ISBLANK('Data Input'!Q585),"",'Data Input'!Q585)</f>
        <v>0</v>
      </c>
      <c r="T585" s="2">
        <f t="shared" si="38"/>
        <v>43309</v>
      </c>
      <c r="U585" s="12">
        <f t="shared" si="39"/>
        <v>4.8611111111111112E-2</v>
      </c>
      <c r="V585" s="2">
        <f t="shared" si="40"/>
        <v>43309</v>
      </c>
      <c r="W585" s="12">
        <f t="shared" si="41"/>
        <v>0.94861111111111107</v>
      </c>
    </row>
    <row r="586" spans="1:23">
      <c r="A586">
        <f>IF(ISBLANK('Data Input'!A586),"",'Data Input'!A586)</f>
        <v>152</v>
      </c>
      <c r="B586" t="str">
        <f>IF(ISBLANK('Data Input'!B586),"",'Data Input'!B586)</f>
        <v>AK154</v>
      </c>
      <c r="C586" t="str">
        <f>IF(ISBLANK('Data Input'!C586),"",'Data Input'!C586)</f>
        <v>7/28/18 0110</v>
      </c>
      <c r="E586" t="str">
        <f>IF(ISBLANK('Data Input'!D586),"",'Data Input'!D586)</f>
        <v>7/28/18 2246</v>
      </c>
      <c r="G586">
        <f>IF(ISBLANK('Data Input'!E586),"",'Data Input'!E586)</f>
        <v>30</v>
      </c>
      <c r="H586" t="str">
        <f>IF(ISBLANK('Data Input'!F586),"",'Data Input'!F586)</f>
        <v>Arab</v>
      </c>
      <c r="I586" t="str">
        <f>IF(ISBLANK('Data Input'!G586),"",'Data Input'!G586)</f>
        <v>SVD</v>
      </c>
      <c r="J586" t="str">
        <f>IF(ISBLANK('Data Input'!I586),"",'Data Input'!I586)</f>
        <v>7=28=18 2246</v>
      </c>
      <c r="K586" t="str">
        <f>IF(ISBLANK('Data Input'!J586),"",'Data Input'!J586)</f>
        <v>rr - Percocet</v>
      </c>
      <c r="L586">
        <f>IF(ISBLANK('Data Input'!K586),"",'Data Input'!K586)</f>
        <v>1</v>
      </c>
      <c r="M586">
        <f>IF(ISBLANK('Data Input'!L586),"",'Data Input'!L586)</f>
        <v>7</v>
      </c>
      <c r="N586">
        <f>IF(ISBLANK('Data Input'!M586),"",'Data Input'!M586)</f>
        <v>3</v>
      </c>
      <c r="O586" t="str">
        <f>IF(ISBLANK('Data Input'!N586),"",'Data Input'!N586)</f>
        <v/>
      </c>
      <c r="P586" t="str">
        <f>IF(ISBLANK('Data Input'!O586),"",'Data Input'!O586)</f>
        <v/>
      </c>
      <c r="Q586" t="str">
        <f>IF(ISBLANK('Data Input'!P586),"",'Data Input'!P586)</f>
        <v/>
      </c>
      <c r="R586" t="b">
        <f>IF(ISBLANK('Data Input'!Q586),"",'Data Input'!Q586)</f>
        <v>0</v>
      </c>
      <c r="T586" s="2">
        <f t="shared" si="38"/>
        <v>43309</v>
      </c>
      <c r="U586" s="12">
        <f t="shared" si="39"/>
        <v>4.8611111111111112E-2</v>
      </c>
      <c r="V586" s="2">
        <f t="shared" si="40"/>
        <v>43309</v>
      </c>
      <c r="W586" s="12">
        <f t="shared" si="41"/>
        <v>0.94861111111111107</v>
      </c>
    </row>
    <row r="587" spans="1:23">
      <c r="A587">
        <f>IF(ISBLANK('Data Input'!A587),"",'Data Input'!A587)</f>
        <v>153</v>
      </c>
      <c r="B587" t="str">
        <f>IF(ISBLANK('Data Input'!B587),"",'Data Input'!B587)</f>
        <v>DD155</v>
      </c>
      <c r="C587" t="str">
        <f>IF(ISBLANK('Data Input'!C587),"",'Data Input'!C587)</f>
        <v>7/26/18 1530</v>
      </c>
      <c r="E587" t="str">
        <f>IF(ISBLANK('Data Input'!D587),"",'Data Input'!D587)</f>
        <v>7/27/18 1427</v>
      </c>
      <c r="G587">
        <f>IF(ISBLANK('Data Input'!E587),"",'Data Input'!E587)</f>
        <v>34</v>
      </c>
      <c r="H587" t="str">
        <f>IF(ISBLANK('Data Input'!F587),"",'Data Input'!F587)</f>
        <v>White</v>
      </c>
      <c r="I587" t="str">
        <f>IF(ISBLANK('Data Input'!G587),"",'Data Input'!G587)</f>
        <v>Caesarean</v>
      </c>
      <c r="J587" t="str">
        <f>IF(ISBLANK('Data Input'!I587),"",'Data Input'!I587)</f>
        <v>7=26=18 1807</v>
      </c>
      <c r="K587" t="str">
        <f>IF(ISBLANK('Data Input'!J587),"",'Data Input'!J587)</f>
        <v>tr - Toradol</v>
      </c>
      <c r="L587">
        <f>IF(ISBLANK('Data Input'!K587),"",'Data Input'!K587)</f>
        <v>30</v>
      </c>
      <c r="M587">
        <f>IF(ISBLANK('Data Input'!L587),"",'Data Input'!L587)</f>
        <v>2</v>
      </c>
      <c r="N587">
        <f>IF(ISBLANK('Data Input'!M587),"",'Data Input'!M587)</f>
        <v>1</v>
      </c>
      <c r="O587" t="str">
        <f>IF(ISBLANK('Data Input'!N587),"",'Data Input'!N587)</f>
        <v/>
      </c>
      <c r="P587" t="str">
        <f>IF(ISBLANK('Data Input'!O587),"",'Data Input'!O587)</f>
        <v/>
      </c>
      <c r="Q587" t="str">
        <f>IF(ISBLANK('Data Input'!P587),"",'Data Input'!P587)</f>
        <v/>
      </c>
      <c r="R587" t="b">
        <f>IF(ISBLANK('Data Input'!Q587),"",'Data Input'!Q587)</f>
        <v>1</v>
      </c>
      <c r="T587" s="2">
        <f t="shared" si="38"/>
        <v>43307</v>
      </c>
      <c r="U587" s="12">
        <f t="shared" si="39"/>
        <v>0.64583333333333337</v>
      </c>
      <c r="V587" s="2">
        <f t="shared" si="40"/>
        <v>43308</v>
      </c>
      <c r="W587" s="12">
        <f t="shared" si="41"/>
        <v>0.6020833333333333</v>
      </c>
    </row>
    <row r="588" spans="1:23">
      <c r="A588">
        <f>IF(ISBLANK('Data Input'!A588),"",'Data Input'!A588)</f>
        <v>153</v>
      </c>
      <c r="B588" t="str">
        <f>IF(ISBLANK('Data Input'!B588),"",'Data Input'!B588)</f>
        <v>DD155</v>
      </c>
      <c r="C588" t="str">
        <f>IF(ISBLANK('Data Input'!C588),"",'Data Input'!C588)</f>
        <v>7/26/18 1530</v>
      </c>
      <c r="E588" t="str">
        <f>IF(ISBLANK('Data Input'!D588),"",'Data Input'!D588)</f>
        <v>7/27/18 1427</v>
      </c>
      <c r="G588">
        <f>IF(ISBLANK('Data Input'!E588),"",'Data Input'!E588)</f>
        <v>34</v>
      </c>
      <c r="H588" t="str">
        <f>IF(ISBLANK('Data Input'!F588),"",'Data Input'!F588)</f>
        <v>White</v>
      </c>
      <c r="I588" t="str">
        <f>IF(ISBLANK('Data Input'!G588),"",'Data Input'!G588)</f>
        <v>Caesarean</v>
      </c>
      <c r="J588" t="str">
        <f>IF(ISBLANK('Data Input'!I588),"",'Data Input'!I588)</f>
        <v>7=26=18 2356</v>
      </c>
      <c r="K588" t="str">
        <f>IF(ISBLANK('Data Input'!J588),"",'Data Input'!J588)</f>
        <v>tr - Toradol</v>
      </c>
      <c r="L588">
        <f>IF(ISBLANK('Data Input'!K588),"",'Data Input'!K588)</f>
        <v>30</v>
      </c>
      <c r="M588">
        <f>IF(ISBLANK('Data Input'!L588),"",'Data Input'!L588)</f>
        <v>5</v>
      </c>
      <c r="N588">
        <f>IF(ISBLANK('Data Input'!M588),"",'Data Input'!M588)</f>
        <v>5</v>
      </c>
      <c r="O588" t="str">
        <f>IF(ISBLANK('Data Input'!N588),"",'Data Input'!N588)</f>
        <v/>
      </c>
      <c r="P588" t="str">
        <f>IF(ISBLANK('Data Input'!O588),"",'Data Input'!O588)</f>
        <v/>
      </c>
      <c r="Q588" t="str">
        <f>IF(ISBLANK('Data Input'!P588),"",'Data Input'!P588)</f>
        <v/>
      </c>
      <c r="R588" t="b">
        <f>IF(ISBLANK('Data Input'!Q588),"",'Data Input'!Q588)</f>
        <v>1</v>
      </c>
      <c r="T588" s="2">
        <f t="shared" si="38"/>
        <v>43307</v>
      </c>
      <c r="U588" s="12">
        <f t="shared" si="39"/>
        <v>0.64583333333333337</v>
      </c>
      <c r="V588" s="2">
        <f t="shared" si="40"/>
        <v>43308</v>
      </c>
      <c r="W588" s="12">
        <f t="shared" si="41"/>
        <v>0.6020833333333333</v>
      </c>
    </row>
    <row r="589" spans="1:23">
      <c r="A589">
        <f>IF(ISBLANK('Data Input'!A589),"",'Data Input'!A589)</f>
        <v>153</v>
      </c>
      <c r="B589" t="str">
        <f>IF(ISBLANK('Data Input'!B589),"",'Data Input'!B589)</f>
        <v>DD155</v>
      </c>
      <c r="C589" t="str">
        <f>IF(ISBLANK('Data Input'!C589),"",'Data Input'!C589)</f>
        <v>7/26/18 1530</v>
      </c>
      <c r="E589" t="str">
        <f>IF(ISBLANK('Data Input'!D589),"",'Data Input'!D589)</f>
        <v>7/27/18 1427</v>
      </c>
      <c r="G589">
        <f>IF(ISBLANK('Data Input'!E589),"",'Data Input'!E589)</f>
        <v>34</v>
      </c>
      <c r="H589" t="str">
        <f>IF(ISBLANK('Data Input'!F589),"",'Data Input'!F589)</f>
        <v>White</v>
      </c>
      <c r="I589" t="str">
        <f>IF(ISBLANK('Data Input'!G589),"",'Data Input'!G589)</f>
        <v>Caesarean</v>
      </c>
      <c r="J589" t="str">
        <f>IF(ISBLANK('Data Input'!I589),"",'Data Input'!I589)</f>
        <v>7=27=18 0037</v>
      </c>
      <c r="K589" t="str">
        <f>IF(ISBLANK('Data Input'!J589),"",'Data Input'!J589)</f>
        <v>rr - Percocet</v>
      </c>
      <c r="L589">
        <f>IF(ISBLANK('Data Input'!K589),"",'Data Input'!K589)</f>
        <v>1</v>
      </c>
      <c r="M589">
        <f>IF(ISBLANK('Data Input'!L589),"",'Data Input'!L589)</f>
        <v>5</v>
      </c>
      <c r="N589">
        <f>IF(ISBLANK('Data Input'!M589),"",'Data Input'!M589)</f>
        <v>1</v>
      </c>
      <c r="O589" t="str">
        <f>IF(ISBLANK('Data Input'!N589),"",'Data Input'!N589)</f>
        <v/>
      </c>
      <c r="P589" t="str">
        <f>IF(ISBLANK('Data Input'!O589),"",'Data Input'!O589)</f>
        <v/>
      </c>
      <c r="Q589" t="str">
        <f>IF(ISBLANK('Data Input'!P589),"",'Data Input'!P589)</f>
        <v/>
      </c>
      <c r="R589" t="b">
        <f>IF(ISBLANK('Data Input'!Q589),"",'Data Input'!Q589)</f>
        <v>1</v>
      </c>
      <c r="T589" s="2">
        <f t="shared" si="38"/>
        <v>43307</v>
      </c>
      <c r="U589" s="12">
        <f t="shared" si="39"/>
        <v>0.64583333333333337</v>
      </c>
      <c r="V589" s="2">
        <f t="shared" si="40"/>
        <v>43308</v>
      </c>
      <c r="W589" s="12">
        <f t="shared" si="41"/>
        <v>0.6020833333333333</v>
      </c>
    </row>
    <row r="590" spans="1:23">
      <c r="A590">
        <f>IF(ISBLANK('Data Input'!A590),"",'Data Input'!A590)</f>
        <v>153</v>
      </c>
      <c r="B590" t="str">
        <f>IF(ISBLANK('Data Input'!B590),"",'Data Input'!B590)</f>
        <v>DD155</v>
      </c>
      <c r="C590" t="str">
        <f>IF(ISBLANK('Data Input'!C590),"",'Data Input'!C590)</f>
        <v>7/26/18 1530</v>
      </c>
      <c r="E590" t="str">
        <f>IF(ISBLANK('Data Input'!D590),"",'Data Input'!D590)</f>
        <v>7/27/18 1427</v>
      </c>
      <c r="G590">
        <f>IF(ISBLANK('Data Input'!E590),"",'Data Input'!E590)</f>
        <v>34</v>
      </c>
      <c r="H590" t="str">
        <f>IF(ISBLANK('Data Input'!F590),"",'Data Input'!F590)</f>
        <v>White</v>
      </c>
      <c r="I590" t="str">
        <f>IF(ISBLANK('Data Input'!G590),"",'Data Input'!G590)</f>
        <v>Caesarean</v>
      </c>
      <c r="J590" t="str">
        <f>IF(ISBLANK('Data Input'!I590),"",'Data Input'!I590)</f>
        <v>7=27=18 0448</v>
      </c>
      <c r="K590" t="str">
        <f>IF(ISBLANK('Data Input'!J590),"",'Data Input'!J590)</f>
        <v>rr - Percocet</v>
      </c>
      <c r="L590">
        <f>IF(ISBLANK('Data Input'!K590),"",'Data Input'!K590)</f>
        <v>2</v>
      </c>
      <c r="M590">
        <f>IF(ISBLANK('Data Input'!L590),"",'Data Input'!L590)</f>
        <v>7</v>
      </c>
      <c r="N590">
        <f>IF(ISBLANK('Data Input'!M590),"",'Data Input'!M590)</f>
        <v>4</v>
      </c>
      <c r="O590" t="str">
        <f>IF(ISBLANK('Data Input'!N590),"",'Data Input'!N590)</f>
        <v/>
      </c>
      <c r="P590" t="str">
        <f>IF(ISBLANK('Data Input'!O590),"",'Data Input'!O590)</f>
        <v/>
      </c>
      <c r="Q590" t="str">
        <f>IF(ISBLANK('Data Input'!P590),"",'Data Input'!P590)</f>
        <v/>
      </c>
      <c r="R590" t="b">
        <f>IF(ISBLANK('Data Input'!Q590),"",'Data Input'!Q590)</f>
        <v>1</v>
      </c>
      <c r="T590" s="2">
        <f t="shared" si="38"/>
        <v>43307</v>
      </c>
      <c r="U590" s="12">
        <f t="shared" si="39"/>
        <v>0.64583333333333337</v>
      </c>
      <c r="V590" s="2">
        <f t="shared" si="40"/>
        <v>43308</v>
      </c>
      <c r="W590" s="12">
        <f t="shared" si="41"/>
        <v>0.6020833333333333</v>
      </c>
    </row>
    <row r="591" spans="1:23">
      <c r="A591">
        <f>IF(ISBLANK('Data Input'!A591),"",'Data Input'!A591)</f>
        <v>153</v>
      </c>
      <c r="B591" t="str">
        <f>IF(ISBLANK('Data Input'!B591),"",'Data Input'!B591)</f>
        <v>DD155</v>
      </c>
      <c r="C591" t="str">
        <f>IF(ISBLANK('Data Input'!C591),"",'Data Input'!C591)</f>
        <v>7/26/18 1530</v>
      </c>
      <c r="E591" t="str">
        <f>IF(ISBLANK('Data Input'!D591),"",'Data Input'!D591)</f>
        <v>7/27/18 1427</v>
      </c>
      <c r="G591">
        <f>IF(ISBLANK('Data Input'!E591),"",'Data Input'!E591)</f>
        <v>34</v>
      </c>
      <c r="H591" t="str">
        <f>IF(ISBLANK('Data Input'!F591),"",'Data Input'!F591)</f>
        <v>White</v>
      </c>
      <c r="I591" t="str">
        <f>IF(ISBLANK('Data Input'!G591),"",'Data Input'!G591)</f>
        <v>Caesarean</v>
      </c>
      <c r="J591" t="str">
        <f>IF(ISBLANK('Data Input'!I591),"",'Data Input'!I591)</f>
        <v>7=27=18 0537</v>
      </c>
      <c r="K591" t="str">
        <f>IF(ISBLANK('Data Input'!J591),"",'Data Input'!J591)</f>
        <v>tr - Toradol</v>
      </c>
      <c r="L591">
        <f>IF(ISBLANK('Data Input'!K591),"",'Data Input'!K591)</f>
        <v>30</v>
      </c>
      <c r="M591">
        <f>IF(ISBLANK('Data Input'!L591),"",'Data Input'!L591)</f>
        <v>4</v>
      </c>
      <c r="N591">
        <f>IF(ISBLANK('Data Input'!M591),"",'Data Input'!M591)</f>
        <v>0</v>
      </c>
      <c r="O591" t="str">
        <f>IF(ISBLANK('Data Input'!N591),"",'Data Input'!N591)</f>
        <v/>
      </c>
      <c r="P591" t="str">
        <f>IF(ISBLANK('Data Input'!O591),"",'Data Input'!O591)</f>
        <v/>
      </c>
      <c r="Q591" t="str">
        <f>IF(ISBLANK('Data Input'!P591),"",'Data Input'!P591)</f>
        <v/>
      </c>
      <c r="R591" t="b">
        <f>IF(ISBLANK('Data Input'!Q591),"",'Data Input'!Q591)</f>
        <v>1</v>
      </c>
      <c r="T591" s="2">
        <f t="shared" si="38"/>
        <v>43307</v>
      </c>
      <c r="U591" s="12">
        <f t="shared" si="39"/>
        <v>0.64583333333333337</v>
      </c>
      <c r="V591" s="2">
        <f t="shared" si="40"/>
        <v>43308</v>
      </c>
      <c r="W591" s="12">
        <f t="shared" si="41"/>
        <v>0.6020833333333333</v>
      </c>
    </row>
    <row r="592" spans="1:23">
      <c r="A592">
        <f>IF(ISBLANK('Data Input'!A592),"",'Data Input'!A592)</f>
        <v>153</v>
      </c>
      <c r="B592" t="str">
        <f>IF(ISBLANK('Data Input'!B592),"",'Data Input'!B592)</f>
        <v>DD155</v>
      </c>
      <c r="C592" t="str">
        <f>IF(ISBLANK('Data Input'!C592),"",'Data Input'!C592)</f>
        <v>7/26/18 1530</v>
      </c>
      <c r="E592" t="str">
        <f>IF(ISBLANK('Data Input'!D592),"",'Data Input'!D592)</f>
        <v>7/27/18 1427</v>
      </c>
      <c r="G592">
        <f>IF(ISBLANK('Data Input'!E592),"",'Data Input'!E592)</f>
        <v>34</v>
      </c>
      <c r="H592" t="str">
        <f>IF(ISBLANK('Data Input'!F592),"",'Data Input'!F592)</f>
        <v>White</v>
      </c>
      <c r="I592" t="str">
        <f>IF(ISBLANK('Data Input'!G592),"",'Data Input'!G592)</f>
        <v>Caesarean</v>
      </c>
      <c r="J592" t="str">
        <f>IF(ISBLANK('Data Input'!I592),"",'Data Input'!I592)</f>
        <v>7=27=18 0913</v>
      </c>
      <c r="K592" t="str">
        <f>IF(ISBLANK('Data Input'!J592),"",'Data Input'!J592)</f>
        <v>rr - Percocet</v>
      </c>
      <c r="L592">
        <f>IF(ISBLANK('Data Input'!K592),"",'Data Input'!K592)</f>
        <v>2</v>
      </c>
      <c r="M592">
        <f>IF(ISBLANK('Data Input'!L592),"",'Data Input'!L592)</f>
        <v>5</v>
      </c>
      <c r="N592">
        <f>IF(ISBLANK('Data Input'!M592),"",'Data Input'!M592)</f>
        <v>4</v>
      </c>
      <c r="O592" t="str">
        <f>IF(ISBLANK('Data Input'!N592),"",'Data Input'!N592)</f>
        <v/>
      </c>
      <c r="P592" t="str">
        <f>IF(ISBLANK('Data Input'!O592),"",'Data Input'!O592)</f>
        <v/>
      </c>
      <c r="Q592" t="str">
        <f>IF(ISBLANK('Data Input'!P592),"",'Data Input'!P592)</f>
        <v/>
      </c>
      <c r="R592" t="b">
        <f>IF(ISBLANK('Data Input'!Q592),"",'Data Input'!Q592)</f>
        <v>1</v>
      </c>
      <c r="T592" s="2">
        <f t="shared" si="38"/>
        <v>43307</v>
      </c>
      <c r="U592" s="12">
        <f t="shared" si="39"/>
        <v>0.64583333333333337</v>
      </c>
      <c r="V592" s="2">
        <f t="shared" si="40"/>
        <v>43308</v>
      </c>
      <c r="W592" s="12">
        <f t="shared" si="41"/>
        <v>0.6020833333333333</v>
      </c>
    </row>
    <row r="593" spans="1:23">
      <c r="A593">
        <f>IF(ISBLANK('Data Input'!A593),"",'Data Input'!A593)</f>
        <v>153</v>
      </c>
      <c r="B593" t="str">
        <f>IF(ISBLANK('Data Input'!B593),"",'Data Input'!B593)</f>
        <v>DD155</v>
      </c>
      <c r="C593" t="str">
        <f>IF(ISBLANK('Data Input'!C593),"",'Data Input'!C593)</f>
        <v>7/26/18 1530</v>
      </c>
      <c r="E593" t="str">
        <f>IF(ISBLANK('Data Input'!D593),"",'Data Input'!D593)</f>
        <v>7/27/18 1427</v>
      </c>
      <c r="G593">
        <f>IF(ISBLANK('Data Input'!E593),"",'Data Input'!E593)</f>
        <v>34</v>
      </c>
      <c r="H593" t="str">
        <f>IF(ISBLANK('Data Input'!F593),"",'Data Input'!F593)</f>
        <v>White</v>
      </c>
      <c r="I593" t="str">
        <f>IF(ISBLANK('Data Input'!G593),"",'Data Input'!G593)</f>
        <v>Caesarean</v>
      </c>
      <c r="J593" t="str">
        <f>IF(ISBLANK('Data Input'!I593),"",'Data Input'!I593)</f>
        <v>7=27=18 1217</v>
      </c>
      <c r="K593" t="str">
        <f>IF(ISBLANK('Data Input'!J593),"",'Data Input'!J593)</f>
        <v>tr - Toradol</v>
      </c>
      <c r="L593">
        <f>IF(ISBLANK('Data Input'!K593),"",'Data Input'!K593)</f>
        <v>30</v>
      </c>
      <c r="M593">
        <f>IF(ISBLANK('Data Input'!L593),"",'Data Input'!L593)</f>
        <v>5</v>
      </c>
      <c r="N593">
        <f>IF(ISBLANK('Data Input'!M593),"",'Data Input'!M593)</f>
        <v>5</v>
      </c>
      <c r="O593" t="str">
        <f>IF(ISBLANK('Data Input'!N593),"",'Data Input'!N593)</f>
        <v/>
      </c>
      <c r="P593" t="str">
        <f>IF(ISBLANK('Data Input'!O593),"",'Data Input'!O593)</f>
        <v/>
      </c>
      <c r="Q593" t="str">
        <f>IF(ISBLANK('Data Input'!P593),"",'Data Input'!P593)</f>
        <v/>
      </c>
      <c r="R593" t="b">
        <f>IF(ISBLANK('Data Input'!Q593),"",'Data Input'!Q593)</f>
        <v>1</v>
      </c>
      <c r="T593" s="2">
        <f t="shared" si="38"/>
        <v>43307</v>
      </c>
      <c r="U593" s="12">
        <f t="shared" si="39"/>
        <v>0.64583333333333337</v>
      </c>
      <c r="V593" s="2">
        <f t="shared" si="40"/>
        <v>43308</v>
      </c>
      <c r="W593" s="12">
        <f t="shared" si="41"/>
        <v>0.6020833333333333</v>
      </c>
    </row>
    <row r="594" spans="1:23">
      <c r="A594">
        <f>IF(ISBLANK('Data Input'!A594),"",'Data Input'!A594)</f>
        <v>153</v>
      </c>
      <c r="B594" t="str">
        <f>IF(ISBLANK('Data Input'!B594),"",'Data Input'!B594)</f>
        <v>DD155</v>
      </c>
      <c r="C594" t="str">
        <f>IF(ISBLANK('Data Input'!C594),"",'Data Input'!C594)</f>
        <v>7/26/18 1530</v>
      </c>
      <c r="E594" t="str">
        <f>IF(ISBLANK('Data Input'!D594),"",'Data Input'!D594)</f>
        <v>7/27/18 1427</v>
      </c>
      <c r="G594">
        <f>IF(ISBLANK('Data Input'!E594),"",'Data Input'!E594)</f>
        <v>34</v>
      </c>
      <c r="H594" t="str">
        <f>IF(ISBLANK('Data Input'!F594),"",'Data Input'!F594)</f>
        <v>White</v>
      </c>
      <c r="I594" t="str">
        <f>IF(ISBLANK('Data Input'!G594),"",'Data Input'!G594)</f>
        <v>Caesarean</v>
      </c>
      <c r="J594" t="str">
        <f>IF(ISBLANK('Data Input'!I594),"",'Data Input'!I594)</f>
        <v>7=27=18 1427</v>
      </c>
      <c r="K594" t="str">
        <f>IF(ISBLANK('Data Input'!J594),"",'Data Input'!J594)</f>
        <v>rr - Percocet</v>
      </c>
      <c r="L594">
        <f>IF(ISBLANK('Data Input'!K594),"",'Data Input'!K594)</f>
        <v>2</v>
      </c>
      <c r="M594">
        <f>IF(ISBLANK('Data Input'!L594),"",'Data Input'!L594)</f>
        <v>5</v>
      </c>
      <c r="N594">
        <f>IF(ISBLANK('Data Input'!M594),"",'Data Input'!M594)</f>
        <v>3</v>
      </c>
      <c r="O594" t="str">
        <f>IF(ISBLANK('Data Input'!N594),"",'Data Input'!N594)</f>
        <v/>
      </c>
      <c r="P594" t="str">
        <f>IF(ISBLANK('Data Input'!O594),"",'Data Input'!O594)</f>
        <v/>
      </c>
      <c r="Q594" t="str">
        <f>IF(ISBLANK('Data Input'!P594),"",'Data Input'!P594)</f>
        <v/>
      </c>
      <c r="R594" t="b">
        <f>IF(ISBLANK('Data Input'!Q594),"",'Data Input'!Q594)</f>
        <v>1</v>
      </c>
      <c r="T594" s="2">
        <f t="shared" si="38"/>
        <v>43307</v>
      </c>
      <c r="U594" s="12">
        <f t="shared" si="39"/>
        <v>0.64583333333333337</v>
      </c>
      <c r="V594" s="2">
        <f t="shared" si="40"/>
        <v>43308</v>
      </c>
      <c r="W594" s="12">
        <f t="shared" si="41"/>
        <v>0.6020833333333333</v>
      </c>
    </row>
    <row r="595" spans="1:23">
      <c r="A595">
        <f>IF(ISBLANK('Data Input'!A595),"",'Data Input'!A595)</f>
        <v>154</v>
      </c>
      <c r="B595" t="str">
        <f>IF(ISBLANK('Data Input'!B595),"",'Data Input'!B595)</f>
        <v>ES156</v>
      </c>
      <c r="C595" t="str">
        <f>IF(ISBLANK('Data Input'!C595),"",'Data Input'!C595)</f>
        <v>7/25/18 2355</v>
      </c>
      <c r="E595" t="str">
        <f>IF(ISBLANK('Data Input'!D595),"",'Data Input'!D595)</f>
        <v>7/26/18 1105</v>
      </c>
      <c r="G595">
        <f>IF(ISBLANK('Data Input'!E595),"",'Data Input'!E595)</f>
        <v>29</v>
      </c>
      <c r="H595" t="str">
        <f>IF(ISBLANK('Data Input'!F595),"",'Data Input'!F595)</f>
        <v>White</v>
      </c>
      <c r="I595" t="str">
        <f>IF(ISBLANK('Data Input'!G595),"",'Data Input'!G595)</f>
        <v>SVD</v>
      </c>
      <c r="J595" t="str">
        <f>IF(ISBLANK('Data Input'!I595),"",'Data Input'!I595)</f>
        <v>7=26=18 0025</v>
      </c>
      <c r="K595" t="str">
        <f>IF(ISBLANK('Data Input'!J595),"",'Data Input'!J595)</f>
        <v>bb - Ibuprofen</v>
      </c>
      <c r="L595">
        <f>IF(ISBLANK('Data Input'!K595),"",'Data Input'!K595)</f>
        <v>800</v>
      </c>
      <c r="M595">
        <f>IF(ISBLANK('Data Input'!L595),"",'Data Input'!L595)</f>
        <v>3</v>
      </c>
      <c r="N595">
        <f>IF(ISBLANK('Data Input'!M595),"",'Data Input'!M595)</f>
        <v>3</v>
      </c>
      <c r="O595" t="str">
        <f>IF(ISBLANK('Data Input'!N595),"",'Data Input'!N595)</f>
        <v/>
      </c>
      <c r="P595" t="str">
        <f>IF(ISBLANK('Data Input'!O595),"",'Data Input'!O595)</f>
        <v/>
      </c>
      <c r="Q595" t="str">
        <f>IF(ISBLANK('Data Input'!P595),"",'Data Input'!P595)</f>
        <v/>
      </c>
      <c r="R595" t="b">
        <f>IF(ISBLANK('Data Input'!Q595),"",'Data Input'!Q595)</f>
        <v>0</v>
      </c>
      <c r="T595" s="2">
        <f t="shared" si="38"/>
        <v>43306</v>
      </c>
      <c r="U595" s="12">
        <f t="shared" si="39"/>
        <v>0.99652777777777779</v>
      </c>
      <c r="V595" s="2">
        <f t="shared" si="40"/>
        <v>43307</v>
      </c>
      <c r="W595" s="12">
        <f t="shared" si="41"/>
        <v>0.46180555555555558</v>
      </c>
    </row>
    <row r="596" spans="1:23">
      <c r="A596">
        <f>IF(ISBLANK('Data Input'!A596),"",'Data Input'!A596)</f>
        <v>154</v>
      </c>
      <c r="B596" t="str">
        <f>IF(ISBLANK('Data Input'!B596),"",'Data Input'!B596)</f>
        <v>ES156</v>
      </c>
      <c r="C596" t="str">
        <f>IF(ISBLANK('Data Input'!C596),"",'Data Input'!C596)</f>
        <v>7/25/18 2355</v>
      </c>
      <c r="E596" t="str">
        <f>IF(ISBLANK('Data Input'!D596),"",'Data Input'!D596)</f>
        <v>7/26/18 1105</v>
      </c>
      <c r="G596">
        <f>IF(ISBLANK('Data Input'!E596),"",'Data Input'!E596)</f>
        <v>29</v>
      </c>
      <c r="H596" t="str">
        <f>IF(ISBLANK('Data Input'!F596),"",'Data Input'!F596)</f>
        <v>White</v>
      </c>
      <c r="I596" t="str">
        <f>IF(ISBLANK('Data Input'!G596),"",'Data Input'!G596)</f>
        <v>SVD</v>
      </c>
      <c r="J596" t="str">
        <f>IF(ISBLANK('Data Input'!I596),"",'Data Input'!I596)</f>
        <v>7=26=18 1105</v>
      </c>
      <c r="K596" t="str">
        <f>IF(ISBLANK('Data Input'!J596),"",'Data Input'!J596)</f>
        <v>bb - Ibuprofen</v>
      </c>
      <c r="L596">
        <f>IF(ISBLANK('Data Input'!K596),"",'Data Input'!K596)</f>
        <v>800</v>
      </c>
      <c r="M596">
        <f>IF(ISBLANK('Data Input'!L596),"",'Data Input'!L596)</f>
        <v>4</v>
      </c>
      <c r="N596">
        <f>IF(ISBLANK('Data Input'!M596),"",'Data Input'!M596)</f>
        <v>1</v>
      </c>
      <c r="O596" t="str">
        <f>IF(ISBLANK('Data Input'!N596),"",'Data Input'!N596)</f>
        <v/>
      </c>
      <c r="P596" t="str">
        <f>IF(ISBLANK('Data Input'!O596),"",'Data Input'!O596)</f>
        <v/>
      </c>
      <c r="Q596" t="str">
        <f>IF(ISBLANK('Data Input'!P596),"",'Data Input'!P596)</f>
        <v/>
      </c>
      <c r="R596" t="b">
        <f>IF(ISBLANK('Data Input'!Q596),"",'Data Input'!Q596)</f>
        <v>0</v>
      </c>
      <c r="T596" s="2">
        <f t="shared" si="38"/>
        <v>43306</v>
      </c>
      <c r="U596" s="12">
        <f t="shared" si="39"/>
        <v>0.99652777777777779</v>
      </c>
      <c r="V596" s="2">
        <f t="shared" si="40"/>
        <v>43307</v>
      </c>
      <c r="W596" s="12">
        <f t="shared" si="41"/>
        <v>0.46180555555555558</v>
      </c>
    </row>
    <row r="597" spans="1:23">
      <c r="A597">
        <f>IF(ISBLANK('Data Input'!A597),"",'Data Input'!A597)</f>
        <v>155</v>
      </c>
      <c r="B597" t="str">
        <f>IF(ISBLANK('Data Input'!B597),"",'Data Input'!B597)</f>
        <v>TG157</v>
      </c>
      <c r="C597" t="str">
        <f>IF(ISBLANK('Data Input'!C597),"",'Data Input'!C597)</f>
        <v>7/25/18 1200</v>
      </c>
      <c r="E597" t="str">
        <f>IF(ISBLANK('Data Input'!D597),"",'Data Input'!D597)</f>
        <v>7/25/18 2139</v>
      </c>
      <c r="G597">
        <f>IF(ISBLANK('Data Input'!E597),"",'Data Input'!E597)</f>
        <v>27</v>
      </c>
      <c r="H597" t="str">
        <f>IF(ISBLANK('Data Input'!F597),"",'Data Input'!F597)</f>
        <v>White</v>
      </c>
      <c r="I597" t="str">
        <f>IF(ISBLANK('Data Input'!G597),"",'Data Input'!G597)</f>
        <v>SVD</v>
      </c>
      <c r="J597" t="str">
        <f>IF(ISBLANK('Data Input'!I597),"",'Data Input'!I597)</f>
        <v>7=25=18 1531</v>
      </c>
      <c r="K597" t="str">
        <f>IF(ISBLANK('Data Input'!J597),"",'Data Input'!J597)</f>
        <v>bb - Ibuprofen</v>
      </c>
      <c r="L597">
        <f>IF(ISBLANK('Data Input'!K597),"",'Data Input'!K597)</f>
        <v>800</v>
      </c>
      <c r="M597">
        <f>IF(ISBLANK('Data Input'!L597),"",'Data Input'!L597)</f>
        <v>0</v>
      </c>
      <c r="N597">
        <f>IF(ISBLANK('Data Input'!M597),"",'Data Input'!M597)</f>
        <v>0</v>
      </c>
      <c r="O597" t="str">
        <f>IF(ISBLANK('Data Input'!N597),"",'Data Input'!N597)</f>
        <v/>
      </c>
      <c r="P597" t="str">
        <f>IF(ISBLANK('Data Input'!O597),"",'Data Input'!O597)</f>
        <v/>
      </c>
      <c r="Q597" t="str">
        <f>IF(ISBLANK('Data Input'!P597),"",'Data Input'!P597)</f>
        <v/>
      </c>
      <c r="R597" t="b">
        <f>IF(ISBLANK('Data Input'!Q597),"",'Data Input'!Q597)</f>
        <v>1</v>
      </c>
      <c r="T597" s="2">
        <f t="shared" si="38"/>
        <v>43306</v>
      </c>
      <c r="U597" s="12">
        <f t="shared" si="39"/>
        <v>0.5</v>
      </c>
      <c r="V597" s="2">
        <f t="shared" si="40"/>
        <v>43306</v>
      </c>
      <c r="W597" s="12">
        <f t="shared" si="41"/>
        <v>0.90208333333333324</v>
      </c>
    </row>
    <row r="598" spans="1:23">
      <c r="A598">
        <f>IF(ISBLANK('Data Input'!A598),"",'Data Input'!A598)</f>
        <v>155</v>
      </c>
      <c r="B598" t="str">
        <f>IF(ISBLANK('Data Input'!B598),"",'Data Input'!B598)</f>
        <v>TG157</v>
      </c>
      <c r="C598" t="str">
        <f>IF(ISBLANK('Data Input'!C598),"",'Data Input'!C598)</f>
        <v>7/25/18 1200</v>
      </c>
      <c r="E598" t="str">
        <f>IF(ISBLANK('Data Input'!D598),"",'Data Input'!D598)</f>
        <v>7/25/18 2139</v>
      </c>
      <c r="G598">
        <f>IF(ISBLANK('Data Input'!E598),"",'Data Input'!E598)</f>
        <v>27</v>
      </c>
      <c r="H598" t="str">
        <f>IF(ISBLANK('Data Input'!F598),"",'Data Input'!F598)</f>
        <v>White</v>
      </c>
      <c r="I598" t="str">
        <f>IF(ISBLANK('Data Input'!G598),"",'Data Input'!G598)</f>
        <v>SVD</v>
      </c>
      <c r="J598" t="str">
        <f>IF(ISBLANK('Data Input'!I598),"",'Data Input'!I598)</f>
        <v>7=25=18 2139</v>
      </c>
      <c r="K598" t="str">
        <f>IF(ISBLANK('Data Input'!J598),"",'Data Input'!J598)</f>
        <v>bb - Ibuprofen</v>
      </c>
      <c r="L598">
        <f>IF(ISBLANK('Data Input'!K598),"",'Data Input'!K598)</f>
        <v>800</v>
      </c>
      <c r="M598">
        <f>IF(ISBLANK('Data Input'!L598),"",'Data Input'!L598)</f>
        <v>7</v>
      </c>
      <c r="N598">
        <f>IF(ISBLANK('Data Input'!M598),"",'Data Input'!M598)</f>
        <v>0</v>
      </c>
      <c r="O598" t="str">
        <f>IF(ISBLANK('Data Input'!N598),"",'Data Input'!N598)</f>
        <v/>
      </c>
      <c r="P598" t="str">
        <f>IF(ISBLANK('Data Input'!O598),"",'Data Input'!O598)</f>
        <v/>
      </c>
      <c r="Q598" t="str">
        <f>IF(ISBLANK('Data Input'!P598),"",'Data Input'!P598)</f>
        <v/>
      </c>
      <c r="R598" t="b">
        <f>IF(ISBLANK('Data Input'!Q598),"",'Data Input'!Q598)</f>
        <v>1</v>
      </c>
      <c r="T598" s="2">
        <f t="shared" si="38"/>
        <v>43306</v>
      </c>
      <c r="U598" s="12">
        <f t="shared" si="39"/>
        <v>0.5</v>
      </c>
      <c r="V598" s="2">
        <f t="shared" si="40"/>
        <v>43306</v>
      </c>
      <c r="W598" s="12">
        <f t="shared" si="41"/>
        <v>0.90208333333333324</v>
      </c>
    </row>
    <row r="599" spans="1:23">
      <c r="A599">
        <f>IF(ISBLANK('Data Input'!A599),"",'Data Input'!A599)</f>
        <v>156</v>
      </c>
      <c r="B599" t="str">
        <f>IF(ISBLANK('Data Input'!B599),"",'Data Input'!B599)</f>
        <v>KK158</v>
      </c>
      <c r="C599" t="str">
        <f>IF(ISBLANK('Data Input'!C599),"",'Data Input'!C599)</f>
        <v>7/24/18 1159</v>
      </c>
      <c r="E599" t="str">
        <f>IF(ISBLANK('Data Input'!D599),"",'Data Input'!D599)</f>
        <v>7/26/18 0632</v>
      </c>
      <c r="G599">
        <f>IF(ISBLANK('Data Input'!E599),"",'Data Input'!E599)</f>
        <v>31</v>
      </c>
      <c r="H599" t="str">
        <f>IF(ISBLANK('Data Input'!F599),"",'Data Input'!F599)</f>
        <v>White</v>
      </c>
      <c r="I599" t="str">
        <f>IF(ISBLANK('Data Input'!G599),"",'Data Input'!G599)</f>
        <v>Caesarean</v>
      </c>
      <c r="J599" t="str">
        <f>IF(ISBLANK('Data Input'!I599),"",'Data Input'!I599)</f>
        <v>7=24=18 1236</v>
      </c>
      <c r="K599" t="str">
        <f>IF(ISBLANK('Data Input'!J599),"",'Data Input'!J599)</f>
        <v>tr - Toradol</v>
      </c>
      <c r="L599">
        <f>IF(ISBLANK('Data Input'!K599),"",'Data Input'!K599)</f>
        <v>30</v>
      </c>
      <c r="M599">
        <f>IF(ISBLANK('Data Input'!L599),"",'Data Input'!L599)</f>
        <v>2</v>
      </c>
      <c r="N599">
        <f>IF(ISBLANK('Data Input'!M599),"",'Data Input'!M599)</f>
        <v>0</v>
      </c>
      <c r="O599" t="str">
        <f>IF(ISBLANK('Data Input'!N599),"",'Data Input'!N599)</f>
        <v/>
      </c>
      <c r="P599" t="str">
        <f>IF(ISBLANK('Data Input'!O599),"",'Data Input'!O599)</f>
        <v/>
      </c>
      <c r="Q599" t="str">
        <f>IF(ISBLANK('Data Input'!P599),"",'Data Input'!P599)</f>
        <v/>
      </c>
      <c r="R599" t="b">
        <f>IF(ISBLANK('Data Input'!Q599),"",'Data Input'!Q599)</f>
        <v>0</v>
      </c>
      <c r="T599" s="2">
        <f t="shared" si="38"/>
        <v>43305</v>
      </c>
      <c r="U599" s="12">
        <f t="shared" si="39"/>
        <v>0.4993055555555555</v>
      </c>
      <c r="V599" s="2">
        <f t="shared" si="40"/>
        <v>43307</v>
      </c>
      <c r="W599" s="12">
        <f t="shared" si="41"/>
        <v>0.2722222222222222</v>
      </c>
    </row>
    <row r="600" spans="1:23">
      <c r="A600">
        <f>IF(ISBLANK('Data Input'!A600),"",'Data Input'!A600)</f>
        <v>156</v>
      </c>
      <c r="B600" t="str">
        <f>IF(ISBLANK('Data Input'!B600),"",'Data Input'!B600)</f>
        <v>KK158</v>
      </c>
      <c r="C600" t="str">
        <f>IF(ISBLANK('Data Input'!C600),"",'Data Input'!C600)</f>
        <v>7/24/18 1159</v>
      </c>
      <c r="E600" t="str">
        <f>IF(ISBLANK('Data Input'!D600),"",'Data Input'!D600)</f>
        <v>7/26/18 0632</v>
      </c>
      <c r="G600">
        <f>IF(ISBLANK('Data Input'!E600),"",'Data Input'!E600)</f>
        <v>31</v>
      </c>
      <c r="H600" t="str">
        <f>IF(ISBLANK('Data Input'!F600),"",'Data Input'!F600)</f>
        <v>White</v>
      </c>
      <c r="I600" t="str">
        <f>IF(ISBLANK('Data Input'!G600),"",'Data Input'!G600)</f>
        <v>Caesarean</v>
      </c>
      <c r="J600" t="str">
        <f>IF(ISBLANK('Data Input'!I600),"",'Data Input'!I600)</f>
        <v>7=24=18 1821</v>
      </c>
      <c r="K600" t="str">
        <f>IF(ISBLANK('Data Input'!J600),"",'Data Input'!J600)</f>
        <v>tr - Toradol</v>
      </c>
      <c r="L600">
        <f>IF(ISBLANK('Data Input'!K600),"",'Data Input'!K600)</f>
        <v>30</v>
      </c>
      <c r="M600">
        <f>IF(ISBLANK('Data Input'!L600),"",'Data Input'!L600)</f>
        <v>1</v>
      </c>
      <c r="N600">
        <f>IF(ISBLANK('Data Input'!M600),"",'Data Input'!M600)</f>
        <v>0</v>
      </c>
      <c r="O600" t="str">
        <f>IF(ISBLANK('Data Input'!N600),"",'Data Input'!N600)</f>
        <v/>
      </c>
      <c r="P600" t="str">
        <f>IF(ISBLANK('Data Input'!O600),"",'Data Input'!O600)</f>
        <v/>
      </c>
      <c r="Q600" t="str">
        <f>IF(ISBLANK('Data Input'!P600),"",'Data Input'!P600)</f>
        <v/>
      </c>
      <c r="R600" t="b">
        <f>IF(ISBLANK('Data Input'!Q600),"",'Data Input'!Q600)</f>
        <v>0</v>
      </c>
      <c r="T600" s="2">
        <f t="shared" si="38"/>
        <v>43305</v>
      </c>
      <c r="U600" s="12">
        <f t="shared" si="39"/>
        <v>0.4993055555555555</v>
      </c>
      <c r="V600" s="2">
        <f t="shared" si="40"/>
        <v>43307</v>
      </c>
      <c r="W600" s="12">
        <f t="shared" si="41"/>
        <v>0.2722222222222222</v>
      </c>
    </row>
    <row r="601" spans="1:23">
      <c r="A601">
        <f>IF(ISBLANK('Data Input'!A601),"",'Data Input'!A601)</f>
        <v>156</v>
      </c>
      <c r="B601" t="str">
        <f>IF(ISBLANK('Data Input'!B601),"",'Data Input'!B601)</f>
        <v>KK158</v>
      </c>
      <c r="C601" t="str">
        <f>IF(ISBLANK('Data Input'!C601),"",'Data Input'!C601)</f>
        <v>7/24/18 1159</v>
      </c>
      <c r="E601" t="str">
        <f>IF(ISBLANK('Data Input'!D601),"",'Data Input'!D601)</f>
        <v>7/26/18 0632</v>
      </c>
      <c r="G601">
        <f>IF(ISBLANK('Data Input'!E601),"",'Data Input'!E601)</f>
        <v>31</v>
      </c>
      <c r="H601" t="str">
        <f>IF(ISBLANK('Data Input'!F601),"",'Data Input'!F601)</f>
        <v>White</v>
      </c>
      <c r="I601" t="str">
        <f>IF(ISBLANK('Data Input'!G601),"",'Data Input'!G601)</f>
        <v>Caesarean</v>
      </c>
      <c r="J601" t="str">
        <f>IF(ISBLANK('Data Input'!I601),"",'Data Input'!I601)</f>
        <v>7=25=18 0042</v>
      </c>
      <c r="K601" t="str">
        <f>IF(ISBLANK('Data Input'!J601),"",'Data Input'!J601)</f>
        <v>tr - Toradol</v>
      </c>
      <c r="L601">
        <f>IF(ISBLANK('Data Input'!K601),"",'Data Input'!K601)</f>
        <v>30</v>
      </c>
      <c r="M601">
        <f>IF(ISBLANK('Data Input'!L601),"",'Data Input'!L601)</f>
        <v>1</v>
      </c>
      <c r="N601">
        <f>IF(ISBLANK('Data Input'!M601),"",'Data Input'!M601)</f>
        <v>0</v>
      </c>
      <c r="O601" t="str">
        <f>IF(ISBLANK('Data Input'!N601),"",'Data Input'!N601)</f>
        <v/>
      </c>
      <c r="P601" t="str">
        <f>IF(ISBLANK('Data Input'!O601),"",'Data Input'!O601)</f>
        <v/>
      </c>
      <c r="Q601" t="str">
        <f>IF(ISBLANK('Data Input'!P601),"",'Data Input'!P601)</f>
        <v/>
      </c>
      <c r="R601" t="b">
        <f>IF(ISBLANK('Data Input'!Q601),"",'Data Input'!Q601)</f>
        <v>0</v>
      </c>
      <c r="T601" s="2">
        <f t="shared" si="38"/>
        <v>43305</v>
      </c>
      <c r="U601" s="12">
        <f t="shared" si="39"/>
        <v>0.4993055555555555</v>
      </c>
      <c r="V601" s="2">
        <f t="shared" si="40"/>
        <v>43307</v>
      </c>
      <c r="W601" s="12">
        <f t="shared" si="41"/>
        <v>0.2722222222222222</v>
      </c>
    </row>
    <row r="602" spans="1:23">
      <c r="A602">
        <f>IF(ISBLANK('Data Input'!A602),"",'Data Input'!A602)</f>
        <v>156</v>
      </c>
      <c r="B602" t="str">
        <f>IF(ISBLANK('Data Input'!B602),"",'Data Input'!B602)</f>
        <v>KK158</v>
      </c>
      <c r="C602" t="str">
        <f>IF(ISBLANK('Data Input'!C602),"",'Data Input'!C602)</f>
        <v>7/24/18 1159</v>
      </c>
      <c r="E602" t="str">
        <f>IF(ISBLANK('Data Input'!D602),"",'Data Input'!D602)</f>
        <v>7/26/18 0632</v>
      </c>
      <c r="G602">
        <f>IF(ISBLANK('Data Input'!E602),"",'Data Input'!E602)</f>
        <v>31</v>
      </c>
      <c r="H602" t="str">
        <f>IF(ISBLANK('Data Input'!F602),"",'Data Input'!F602)</f>
        <v>White</v>
      </c>
      <c r="I602" t="str">
        <f>IF(ISBLANK('Data Input'!G602),"",'Data Input'!G602)</f>
        <v>Caesarean</v>
      </c>
      <c r="J602" t="str">
        <f>IF(ISBLANK('Data Input'!I602),"",'Data Input'!I602)</f>
        <v>7=25=18 0632</v>
      </c>
      <c r="K602" t="str">
        <f>IF(ISBLANK('Data Input'!J602),"",'Data Input'!J602)</f>
        <v>tr - Toradol</v>
      </c>
      <c r="L602">
        <f>IF(ISBLANK('Data Input'!K602),"",'Data Input'!K602)</f>
        <v>30</v>
      </c>
      <c r="M602">
        <f>IF(ISBLANK('Data Input'!L602),"",'Data Input'!L602)</f>
        <v>2</v>
      </c>
      <c r="N602">
        <f>IF(ISBLANK('Data Input'!M602),"",'Data Input'!M602)</f>
        <v>2</v>
      </c>
      <c r="O602" t="str">
        <f>IF(ISBLANK('Data Input'!N602),"",'Data Input'!N602)</f>
        <v/>
      </c>
      <c r="P602" t="str">
        <f>IF(ISBLANK('Data Input'!O602),"",'Data Input'!O602)</f>
        <v/>
      </c>
      <c r="Q602" t="str">
        <f>IF(ISBLANK('Data Input'!P602),"",'Data Input'!P602)</f>
        <v/>
      </c>
      <c r="R602" t="b">
        <f>IF(ISBLANK('Data Input'!Q602),"",'Data Input'!Q602)</f>
        <v>0</v>
      </c>
      <c r="T602" s="2">
        <f t="shared" si="38"/>
        <v>43305</v>
      </c>
      <c r="U602" s="12">
        <f t="shared" si="39"/>
        <v>0.4993055555555555</v>
      </c>
      <c r="V602" s="2">
        <f t="shared" si="40"/>
        <v>43307</v>
      </c>
      <c r="W602" s="12">
        <f t="shared" si="41"/>
        <v>0.2722222222222222</v>
      </c>
    </row>
    <row r="603" spans="1:23">
      <c r="A603">
        <f>IF(ISBLANK('Data Input'!A603),"",'Data Input'!A603)</f>
        <v>157</v>
      </c>
      <c r="B603" t="str">
        <f>IF(ISBLANK('Data Input'!B603),"",'Data Input'!B603)</f>
        <v>VM159</v>
      </c>
      <c r="C603" t="str">
        <f>IF(ISBLANK('Data Input'!C603),"",'Data Input'!C603)</f>
        <v>7/26/18 1825</v>
      </c>
      <c r="E603" t="str">
        <f>IF(ISBLANK('Data Input'!D603),"",'Data Input'!D603)</f>
        <v>7/27/18 0503</v>
      </c>
      <c r="G603">
        <f>IF(ISBLANK('Data Input'!E603),"",'Data Input'!E603)</f>
        <v>43</v>
      </c>
      <c r="H603" t="str">
        <f>IF(ISBLANK('Data Input'!F603),"",'Data Input'!F603)</f>
        <v>White</v>
      </c>
      <c r="I603" t="str">
        <f>IF(ISBLANK('Data Input'!G603),"",'Data Input'!G603)</f>
        <v>Caesarean</v>
      </c>
      <c r="J603" t="str">
        <f>IF(ISBLANK('Data Input'!I603),"",'Data Input'!I603)</f>
        <v>7=26=18 2255</v>
      </c>
      <c r="K603" t="str">
        <f>IF(ISBLANK('Data Input'!J603),"",'Data Input'!J603)</f>
        <v>tr - Toradol</v>
      </c>
      <c r="L603">
        <f>IF(ISBLANK('Data Input'!K603),"",'Data Input'!K603)</f>
        <v>30</v>
      </c>
      <c r="M603">
        <f>IF(ISBLANK('Data Input'!L603),"",'Data Input'!L603)</f>
        <v>0</v>
      </c>
      <c r="N603">
        <f>IF(ISBLANK('Data Input'!M603),"",'Data Input'!M603)</f>
        <v>0</v>
      </c>
      <c r="O603" t="str">
        <f>IF(ISBLANK('Data Input'!N603),"",'Data Input'!N603)</f>
        <v/>
      </c>
      <c r="P603" t="str">
        <f>IF(ISBLANK('Data Input'!O603),"",'Data Input'!O603)</f>
        <v/>
      </c>
      <c r="Q603" t="str">
        <f>IF(ISBLANK('Data Input'!P603),"",'Data Input'!P603)</f>
        <v/>
      </c>
      <c r="R603" t="b">
        <f>IF(ISBLANK('Data Input'!Q603),"",'Data Input'!Q603)</f>
        <v>1</v>
      </c>
      <c r="T603" s="2">
        <f t="shared" si="38"/>
        <v>43307</v>
      </c>
      <c r="U603" s="12">
        <f t="shared" si="39"/>
        <v>0.76736111111111116</v>
      </c>
      <c r="V603" s="2">
        <f t="shared" si="40"/>
        <v>43308</v>
      </c>
      <c r="W603" s="12">
        <f t="shared" si="41"/>
        <v>0.21041666666666667</v>
      </c>
    </row>
    <row r="604" spans="1:23">
      <c r="A604">
        <f>IF(ISBLANK('Data Input'!A604),"",'Data Input'!A604)</f>
        <v>157</v>
      </c>
      <c r="B604" t="str">
        <f>IF(ISBLANK('Data Input'!B604),"",'Data Input'!B604)</f>
        <v>VM159</v>
      </c>
      <c r="C604" t="str">
        <f>IF(ISBLANK('Data Input'!C604),"",'Data Input'!C604)</f>
        <v>7/26/18 1825</v>
      </c>
      <c r="E604" t="str">
        <f>IF(ISBLANK('Data Input'!D604),"",'Data Input'!D604)</f>
        <v>7/27/18 0503</v>
      </c>
      <c r="G604">
        <f>IF(ISBLANK('Data Input'!E604),"",'Data Input'!E604)</f>
        <v>43</v>
      </c>
      <c r="H604" t="str">
        <f>IF(ISBLANK('Data Input'!F604),"",'Data Input'!F604)</f>
        <v>White</v>
      </c>
      <c r="I604" t="str">
        <f>IF(ISBLANK('Data Input'!G604),"",'Data Input'!G604)</f>
        <v>Caesarean</v>
      </c>
      <c r="J604" t="str">
        <f>IF(ISBLANK('Data Input'!I604),"",'Data Input'!I604)</f>
        <v>7=27=18 0503</v>
      </c>
      <c r="K604" t="str">
        <f>IF(ISBLANK('Data Input'!J604),"",'Data Input'!J604)</f>
        <v>tr - Toradol</v>
      </c>
      <c r="L604">
        <f>IF(ISBLANK('Data Input'!K604),"",'Data Input'!K604)</f>
        <v>30</v>
      </c>
      <c r="M604">
        <f>IF(ISBLANK('Data Input'!L604),"",'Data Input'!L604)</f>
        <v>4</v>
      </c>
      <c r="N604">
        <f>IF(ISBLANK('Data Input'!M604),"",'Data Input'!M604)</f>
        <v>1</v>
      </c>
      <c r="O604" t="str">
        <f>IF(ISBLANK('Data Input'!N604),"",'Data Input'!N604)</f>
        <v/>
      </c>
      <c r="P604" t="str">
        <f>IF(ISBLANK('Data Input'!O604),"",'Data Input'!O604)</f>
        <v/>
      </c>
      <c r="Q604" t="str">
        <f>IF(ISBLANK('Data Input'!P604),"",'Data Input'!P604)</f>
        <v/>
      </c>
      <c r="R604" t="b">
        <f>IF(ISBLANK('Data Input'!Q604),"",'Data Input'!Q604)</f>
        <v>1</v>
      </c>
      <c r="T604" s="2">
        <f t="shared" si="38"/>
        <v>43307</v>
      </c>
      <c r="U604" s="12">
        <f t="shared" si="39"/>
        <v>0.76736111111111116</v>
      </c>
      <c r="V604" s="2">
        <f t="shared" si="40"/>
        <v>43308</v>
      </c>
      <c r="W604" s="12">
        <f t="shared" si="41"/>
        <v>0.21041666666666667</v>
      </c>
    </row>
    <row r="605" spans="1:23">
      <c r="A605">
        <f>IF(ISBLANK('Data Input'!A605),"",'Data Input'!A605)</f>
        <v>158</v>
      </c>
      <c r="B605" t="str">
        <f>IF(ISBLANK('Data Input'!B605),"",'Data Input'!B605)</f>
        <v>LL160</v>
      </c>
      <c r="C605" t="str">
        <f>IF(ISBLANK('Data Input'!C605),"",'Data Input'!C605)</f>
        <v>7/29/18 1455</v>
      </c>
      <c r="E605" t="str">
        <f>IF(ISBLANK('Data Input'!D605),"",'Data Input'!D605)</f>
        <v>7/30/18 0528</v>
      </c>
      <c r="G605">
        <f>IF(ISBLANK('Data Input'!E605),"",'Data Input'!E605)</f>
        <v>23</v>
      </c>
      <c r="H605" t="str">
        <f>IF(ISBLANK('Data Input'!F605),"",'Data Input'!F605)</f>
        <v>bb - Black</v>
      </c>
      <c r="I605" t="str">
        <f>IF(ISBLANK('Data Input'!G605),"",'Data Input'!G605)</f>
        <v>SVD</v>
      </c>
      <c r="J605" t="str">
        <f>IF(ISBLANK('Data Input'!I605),"",'Data Input'!I605)</f>
        <v>7=29=18 1641</v>
      </c>
      <c r="K605" t="str">
        <f>IF(ISBLANK('Data Input'!J605),"",'Data Input'!J605)</f>
        <v>tt - Tylenol</v>
      </c>
      <c r="L605">
        <f>IF(ISBLANK('Data Input'!K605),"",'Data Input'!K605)</f>
        <v>650</v>
      </c>
      <c r="M605">
        <f>IF(ISBLANK('Data Input'!L605),"",'Data Input'!L605)</f>
        <v>4</v>
      </c>
      <c r="N605">
        <f>IF(ISBLANK('Data Input'!M605),"",'Data Input'!M605)</f>
        <v>2</v>
      </c>
      <c r="O605" t="str">
        <f>IF(ISBLANK('Data Input'!N605),"",'Data Input'!N605)</f>
        <v/>
      </c>
      <c r="P605" t="str">
        <f>IF(ISBLANK('Data Input'!O605),"",'Data Input'!O605)</f>
        <v/>
      </c>
      <c r="Q605" t="str">
        <f>IF(ISBLANK('Data Input'!P605),"",'Data Input'!P605)</f>
        <v/>
      </c>
      <c r="R605" t="b">
        <f>IF(ISBLANK('Data Input'!Q605),"",'Data Input'!Q605)</f>
        <v>0</v>
      </c>
      <c r="T605" s="2">
        <f t="shared" si="38"/>
        <v>43310</v>
      </c>
      <c r="U605" s="12">
        <f t="shared" si="39"/>
        <v>0.62152777777777779</v>
      </c>
      <c r="V605" s="2">
        <f t="shared" si="40"/>
        <v>43311</v>
      </c>
      <c r="W605" s="12">
        <f t="shared" si="41"/>
        <v>0.22777777777777777</v>
      </c>
    </row>
    <row r="606" spans="1:23">
      <c r="A606">
        <f>IF(ISBLANK('Data Input'!A606),"",'Data Input'!A606)</f>
        <v>158</v>
      </c>
      <c r="B606" t="str">
        <f>IF(ISBLANK('Data Input'!B606),"",'Data Input'!B606)</f>
        <v>LL160</v>
      </c>
      <c r="C606" t="str">
        <f>IF(ISBLANK('Data Input'!C606),"",'Data Input'!C606)</f>
        <v>7/29/18 1455</v>
      </c>
      <c r="E606" t="str">
        <f>IF(ISBLANK('Data Input'!D606),"",'Data Input'!D606)</f>
        <v>7/30/18 0528</v>
      </c>
      <c r="G606">
        <f>IF(ISBLANK('Data Input'!E606),"",'Data Input'!E606)</f>
        <v>23</v>
      </c>
      <c r="H606" t="str">
        <f>IF(ISBLANK('Data Input'!F606),"",'Data Input'!F606)</f>
        <v>bb - Black</v>
      </c>
      <c r="I606" t="str">
        <f>IF(ISBLANK('Data Input'!G606),"",'Data Input'!G606)</f>
        <v>SVD</v>
      </c>
      <c r="J606" t="str">
        <f>IF(ISBLANK('Data Input'!I606),"",'Data Input'!I606)</f>
        <v>7=29=18 2106</v>
      </c>
      <c r="K606" t="str">
        <f>IF(ISBLANK('Data Input'!J606),"",'Data Input'!J606)</f>
        <v>tt - Tylenol</v>
      </c>
      <c r="L606">
        <f>IF(ISBLANK('Data Input'!K606),"",'Data Input'!K606)</f>
        <v>650</v>
      </c>
      <c r="M606">
        <f>IF(ISBLANK('Data Input'!L606),"",'Data Input'!L606)</f>
        <v>4</v>
      </c>
      <c r="N606">
        <f>IF(ISBLANK('Data Input'!M606),"",'Data Input'!M606)</f>
        <v>0</v>
      </c>
      <c r="O606" t="str">
        <f>IF(ISBLANK('Data Input'!N606),"",'Data Input'!N606)</f>
        <v/>
      </c>
      <c r="P606" t="str">
        <f>IF(ISBLANK('Data Input'!O606),"",'Data Input'!O606)</f>
        <v/>
      </c>
      <c r="Q606" t="str">
        <f>IF(ISBLANK('Data Input'!P606),"",'Data Input'!P606)</f>
        <v/>
      </c>
      <c r="R606" t="b">
        <f>IF(ISBLANK('Data Input'!Q606),"",'Data Input'!Q606)</f>
        <v>0</v>
      </c>
      <c r="T606" s="2">
        <f t="shared" si="38"/>
        <v>43310</v>
      </c>
      <c r="U606" s="12">
        <f t="shared" si="39"/>
        <v>0.62152777777777779</v>
      </c>
      <c r="V606" s="2">
        <f t="shared" si="40"/>
        <v>43311</v>
      </c>
      <c r="W606" s="12">
        <f t="shared" si="41"/>
        <v>0.22777777777777777</v>
      </c>
    </row>
    <row r="607" spans="1:23">
      <c r="A607">
        <f>IF(ISBLANK('Data Input'!A607),"",'Data Input'!A607)</f>
        <v>158</v>
      </c>
      <c r="B607" t="str">
        <f>IF(ISBLANK('Data Input'!B607),"",'Data Input'!B607)</f>
        <v>LL160</v>
      </c>
      <c r="C607" t="str">
        <f>IF(ISBLANK('Data Input'!C607),"",'Data Input'!C607)</f>
        <v>7/29/18 1455</v>
      </c>
      <c r="E607" t="str">
        <f>IF(ISBLANK('Data Input'!D607),"",'Data Input'!D607)</f>
        <v>7/30/18 0528</v>
      </c>
      <c r="G607">
        <f>IF(ISBLANK('Data Input'!E607),"",'Data Input'!E607)</f>
        <v>23</v>
      </c>
      <c r="H607" t="str">
        <f>IF(ISBLANK('Data Input'!F607),"",'Data Input'!F607)</f>
        <v>bb - Black</v>
      </c>
      <c r="I607" t="str">
        <f>IF(ISBLANK('Data Input'!G607),"",'Data Input'!G607)</f>
        <v>SVD</v>
      </c>
      <c r="J607" t="str">
        <f>IF(ISBLANK('Data Input'!I607),"",'Data Input'!I607)</f>
        <v>7=30=18 0528</v>
      </c>
      <c r="K607" t="str">
        <f>IF(ISBLANK('Data Input'!J607),"",'Data Input'!J607)</f>
        <v>tt - Tylenol</v>
      </c>
      <c r="L607">
        <f>IF(ISBLANK('Data Input'!K607),"",'Data Input'!K607)</f>
        <v>650</v>
      </c>
      <c r="M607" t="str">
        <f>IF(ISBLANK('Data Input'!L607),"",'Data Input'!L607)</f>
        <v>dd - Missing Data</v>
      </c>
      <c r="N607" t="str">
        <f>IF(ISBLANK('Data Input'!M607),"",'Data Input'!M607)</f>
        <v>dd - Missing Data</v>
      </c>
      <c r="O607" t="str">
        <f>IF(ISBLANK('Data Input'!N607),"",'Data Input'!N607)</f>
        <v/>
      </c>
      <c r="P607" t="str">
        <f>IF(ISBLANK('Data Input'!O607),"",'Data Input'!O607)</f>
        <v/>
      </c>
      <c r="Q607" t="str">
        <f>IF(ISBLANK('Data Input'!P607),"",'Data Input'!P607)</f>
        <v/>
      </c>
      <c r="R607" t="b">
        <f>IF(ISBLANK('Data Input'!Q607),"",'Data Input'!Q607)</f>
        <v>0</v>
      </c>
      <c r="T607" s="2">
        <f t="shared" si="38"/>
        <v>43310</v>
      </c>
      <c r="U607" s="12">
        <f t="shared" si="39"/>
        <v>0.62152777777777779</v>
      </c>
      <c r="V607" s="2">
        <f t="shared" si="40"/>
        <v>43311</v>
      </c>
      <c r="W607" s="12">
        <f t="shared" si="41"/>
        <v>0.22777777777777777</v>
      </c>
    </row>
    <row r="608" spans="1:23">
      <c r="A608">
        <f>IF(ISBLANK('Data Input'!A608),"",'Data Input'!A608)</f>
        <v>159</v>
      </c>
      <c r="B608" t="str">
        <f>IF(ISBLANK('Data Input'!B608),"",'Data Input'!B608)</f>
        <v>SA161</v>
      </c>
      <c r="C608" t="str">
        <f>IF(ISBLANK('Data Input'!C608),"",'Data Input'!C608)</f>
        <v>7/28/18 2305</v>
      </c>
      <c r="E608" t="str">
        <f>IF(ISBLANK('Data Input'!D608),"",'Data Input'!D608)</f>
        <v>7/29/18 2145</v>
      </c>
      <c r="G608">
        <f>IF(ISBLANK('Data Input'!E608),"",'Data Input'!E608)</f>
        <v>28</v>
      </c>
      <c r="H608" t="str">
        <f>IF(ISBLANK('Data Input'!F608),"",'Data Input'!F608)</f>
        <v>bb - Black</v>
      </c>
      <c r="I608" t="str">
        <f>IF(ISBLANK('Data Input'!G608),"",'Data Input'!G608)</f>
        <v>SVD</v>
      </c>
      <c r="J608" t="str">
        <f>IF(ISBLANK('Data Input'!I608),"",'Data Input'!I608)</f>
        <v>7=29=18 0235</v>
      </c>
      <c r="K608" t="str">
        <f>IF(ISBLANK('Data Input'!J608),"",'Data Input'!J608)</f>
        <v>rr - Percocet</v>
      </c>
      <c r="L608">
        <f>IF(ISBLANK('Data Input'!K608),"",'Data Input'!K608)</f>
        <v>1</v>
      </c>
      <c r="M608">
        <f>IF(ISBLANK('Data Input'!L608),"",'Data Input'!L608)</f>
        <v>4</v>
      </c>
      <c r="N608">
        <f>IF(ISBLANK('Data Input'!M608),"",'Data Input'!M608)</f>
        <v>3</v>
      </c>
      <c r="O608" t="str">
        <f>IF(ISBLANK('Data Input'!N608),"",'Data Input'!N608)</f>
        <v/>
      </c>
      <c r="P608" t="str">
        <f>IF(ISBLANK('Data Input'!O608),"",'Data Input'!O608)</f>
        <v/>
      </c>
      <c r="Q608" t="str">
        <f>IF(ISBLANK('Data Input'!P608),"",'Data Input'!P608)</f>
        <v/>
      </c>
      <c r="R608" t="b">
        <f>IF(ISBLANK('Data Input'!Q608),"",'Data Input'!Q608)</f>
        <v>1</v>
      </c>
      <c r="T608" s="2">
        <f t="shared" si="38"/>
        <v>43309</v>
      </c>
      <c r="U608" s="12">
        <f t="shared" si="39"/>
        <v>0.96180555555555547</v>
      </c>
      <c r="V608" s="2">
        <f t="shared" si="40"/>
        <v>43310</v>
      </c>
      <c r="W608" s="12">
        <f t="shared" si="41"/>
        <v>0.90625</v>
      </c>
    </row>
    <row r="609" spans="1:23">
      <c r="A609">
        <f>IF(ISBLANK('Data Input'!A609),"",'Data Input'!A609)</f>
        <v>159</v>
      </c>
      <c r="B609" t="str">
        <f>IF(ISBLANK('Data Input'!B609),"",'Data Input'!B609)</f>
        <v>SA161</v>
      </c>
      <c r="C609" t="str">
        <f>IF(ISBLANK('Data Input'!C609),"",'Data Input'!C609)</f>
        <v>7/28/18 2305</v>
      </c>
      <c r="E609" t="str">
        <f>IF(ISBLANK('Data Input'!D609),"",'Data Input'!D609)</f>
        <v>7/29/18 2145</v>
      </c>
      <c r="G609">
        <f>IF(ISBLANK('Data Input'!E609),"",'Data Input'!E609)</f>
        <v>28</v>
      </c>
      <c r="H609" t="str">
        <f>IF(ISBLANK('Data Input'!F609),"",'Data Input'!F609)</f>
        <v>bb - Black</v>
      </c>
      <c r="I609" t="str">
        <f>IF(ISBLANK('Data Input'!G609),"",'Data Input'!G609)</f>
        <v>SVD</v>
      </c>
      <c r="J609" t="str">
        <f>IF(ISBLANK('Data Input'!I609),"",'Data Input'!I609)</f>
        <v>7=29=18 0239</v>
      </c>
      <c r="K609" t="str">
        <f>IF(ISBLANK('Data Input'!J609),"",'Data Input'!J609)</f>
        <v>bb - Ibuprofen</v>
      </c>
      <c r="L609">
        <f>IF(ISBLANK('Data Input'!K609),"",'Data Input'!K609)</f>
        <v>800</v>
      </c>
      <c r="M609">
        <f>IF(ISBLANK('Data Input'!L609),"",'Data Input'!L609)</f>
        <v>3</v>
      </c>
      <c r="N609">
        <f>IF(ISBLANK('Data Input'!M609),"",'Data Input'!M609)</f>
        <v>4</v>
      </c>
      <c r="O609" t="str">
        <f>IF(ISBLANK('Data Input'!N609),"",'Data Input'!N609)</f>
        <v/>
      </c>
      <c r="P609" t="str">
        <f>IF(ISBLANK('Data Input'!O609),"",'Data Input'!O609)</f>
        <v/>
      </c>
      <c r="Q609" t="str">
        <f>IF(ISBLANK('Data Input'!P609),"",'Data Input'!P609)</f>
        <v/>
      </c>
      <c r="R609" t="b">
        <f>IF(ISBLANK('Data Input'!Q609),"",'Data Input'!Q609)</f>
        <v>1</v>
      </c>
      <c r="T609" s="2">
        <f t="shared" si="38"/>
        <v>43309</v>
      </c>
      <c r="U609" s="12">
        <f t="shared" si="39"/>
        <v>0.96180555555555547</v>
      </c>
      <c r="V609" s="2">
        <f t="shared" si="40"/>
        <v>43310</v>
      </c>
      <c r="W609" s="12">
        <f t="shared" si="41"/>
        <v>0.90625</v>
      </c>
    </row>
    <row r="610" spans="1:23">
      <c r="A610">
        <f>IF(ISBLANK('Data Input'!A610),"",'Data Input'!A610)</f>
        <v>159</v>
      </c>
      <c r="B610" t="str">
        <f>IF(ISBLANK('Data Input'!B610),"",'Data Input'!B610)</f>
        <v>SA161</v>
      </c>
      <c r="C610" t="str">
        <f>IF(ISBLANK('Data Input'!C610),"",'Data Input'!C610)</f>
        <v>7/28/18 2305</v>
      </c>
      <c r="E610" t="str">
        <f>IF(ISBLANK('Data Input'!D610),"",'Data Input'!D610)</f>
        <v>7/29/18 2145</v>
      </c>
      <c r="G610">
        <f>IF(ISBLANK('Data Input'!E610),"",'Data Input'!E610)</f>
        <v>28</v>
      </c>
      <c r="H610" t="str">
        <f>IF(ISBLANK('Data Input'!F610),"",'Data Input'!F610)</f>
        <v>bb - Black</v>
      </c>
      <c r="I610" t="str">
        <f>IF(ISBLANK('Data Input'!G610),"",'Data Input'!G610)</f>
        <v>SVD</v>
      </c>
      <c r="J610" t="str">
        <f>IF(ISBLANK('Data Input'!I610),"",'Data Input'!I610)</f>
        <v>7=29=18 1711</v>
      </c>
      <c r="K610" t="str">
        <f>IF(ISBLANK('Data Input'!J610),"",'Data Input'!J610)</f>
        <v>bb - Ibuprofen</v>
      </c>
      <c r="L610">
        <f>IF(ISBLANK('Data Input'!K610),"",'Data Input'!K610)</f>
        <v>800</v>
      </c>
      <c r="M610">
        <f>IF(ISBLANK('Data Input'!L610),"",'Data Input'!L610)</f>
        <v>3</v>
      </c>
      <c r="N610">
        <f>IF(ISBLANK('Data Input'!M610),"",'Data Input'!M610)</f>
        <v>1</v>
      </c>
      <c r="O610" t="str">
        <f>IF(ISBLANK('Data Input'!N610),"",'Data Input'!N610)</f>
        <v/>
      </c>
      <c r="P610" t="str">
        <f>IF(ISBLANK('Data Input'!O610),"",'Data Input'!O610)</f>
        <v/>
      </c>
      <c r="Q610" t="str">
        <f>IF(ISBLANK('Data Input'!P610),"",'Data Input'!P610)</f>
        <v/>
      </c>
      <c r="R610" t="b">
        <f>IF(ISBLANK('Data Input'!Q610),"",'Data Input'!Q610)</f>
        <v>1</v>
      </c>
      <c r="T610" s="2">
        <f t="shared" si="38"/>
        <v>43309</v>
      </c>
      <c r="U610" s="12">
        <f t="shared" si="39"/>
        <v>0.96180555555555547</v>
      </c>
      <c r="V610" s="2">
        <f t="shared" si="40"/>
        <v>43310</v>
      </c>
      <c r="W610" s="12">
        <f t="shared" si="41"/>
        <v>0.90625</v>
      </c>
    </row>
    <row r="611" spans="1:23">
      <c r="A611">
        <f>IF(ISBLANK('Data Input'!A611),"",'Data Input'!A611)</f>
        <v>159</v>
      </c>
      <c r="B611" t="str">
        <f>IF(ISBLANK('Data Input'!B611),"",'Data Input'!B611)</f>
        <v>SA161</v>
      </c>
      <c r="C611" t="str">
        <f>IF(ISBLANK('Data Input'!C611),"",'Data Input'!C611)</f>
        <v>7/28/18 2305</v>
      </c>
      <c r="E611" t="str">
        <f>IF(ISBLANK('Data Input'!D611),"",'Data Input'!D611)</f>
        <v>7/29/18 2145</v>
      </c>
      <c r="G611">
        <f>IF(ISBLANK('Data Input'!E611),"",'Data Input'!E611)</f>
        <v>28</v>
      </c>
      <c r="H611" t="str">
        <f>IF(ISBLANK('Data Input'!F611),"",'Data Input'!F611)</f>
        <v>bb - Black</v>
      </c>
      <c r="I611" t="str">
        <f>IF(ISBLANK('Data Input'!G611),"",'Data Input'!G611)</f>
        <v>SVD</v>
      </c>
      <c r="J611" t="str">
        <f>IF(ISBLANK('Data Input'!I611),"",'Data Input'!I611)</f>
        <v>7=29=18 2145</v>
      </c>
      <c r="K611" t="str">
        <f>IF(ISBLANK('Data Input'!J611),"",'Data Input'!J611)</f>
        <v>rr - Percocet</v>
      </c>
      <c r="L611">
        <f>IF(ISBLANK('Data Input'!K611),"",'Data Input'!K611)</f>
        <v>1</v>
      </c>
      <c r="M611">
        <f>IF(ISBLANK('Data Input'!L611),"",'Data Input'!L611)</f>
        <v>8</v>
      </c>
      <c r="N611">
        <f>IF(ISBLANK('Data Input'!M611),"",'Data Input'!M611)</f>
        <v>0</v>
      </c>
      <c r="O611" t="str">
        <f>IF(ISBLANK('Data Input'!N611),"",'Data Input'!N611)</f>
        <v/>
      </c>
      <c r="P611" t="str">
        <f>IF(ISBLANK('Data Input'!O611),"",'Data Input'!O611)</f>
        <v/>
      </c>
      <c r="Q611" t="str">
        <f>IF(ISBLANK('Data Input'!P611),"",'Data Input'!P611)</f>
        <v/>
      </c>
      <c r="R611" t="b">
        <f>IF(ISBLANK('Data Input'!Q611),"",'Data Input'!Q611)</f>
        <v>1</v>
      </c>
      <c r="T611" s="2">
        <f t="shared" si="38"/>
        <v>43309</v>
      </c>
      <c r="U611" s="12">
        <f t="shared" si="39"/>
        <v>0.96180555555555547</v>
      </c>
      <c r="V611" s="2">
        <f t="shared" si="40"/>
        <v>43310</v>
      </c>
      <c r="W611" s="12">
        <f t="shared" si="41"/>
        <v>0.90625</v>
      </c>
    </row>
    <row r="612" spans="1:23">
      <c r="A612">
        <f>IF(ISBLANK('Data Input'!A612),"",'Data Input'!A612)</f>
        <v>160</v>
      </c>
      <c r="B612" t="str">
        <f>IF(ISBLANK('Data Input'!B612),"",'Data Input'!B612)</f>
        <v>CS162</v>
      </c>
      <c r="C612" t="str">
        <f>IF(ISBLANK('Data Input'!C612),"",'Data Input'!C612)</f>
        <v>7/28/18 1700</v>
      </c>
      <c r="E612" t="str">
        <f>IF(ISBLANK('Data Input'!D612),"",'Data Input'!D612)</f>
        <v>7/29/18 1239</v>
      </c>
      <c r="G612">
        <f>IF(ISBLANK('Data Input'!E612),"",'Data Input'!E612)</f>
        <v>24</v>
      </c>
      <c r="H612" t="str">
        <f>IF(ISBLANK('Data Input'!F612),"",'Data Input'!F612)</f>
        <v>White</v>
      </c>
      <c r="I612" t="str">
        <f>IF(ISBLANK('Data Input'!G612),"",'Data Input'!G612)</f>
        <v>SVD</v>
      </c>
      <c r="J612" t="str">
        <f>IF(ISBLANK('Data Input'!I612),"",'Data Input'!I612)</f>
        <v>7=28=18 1718</v>
      </c>
      <c r="K612" t="str">
        <f>IF(ISBLANK('Data Input'!J612),"",'Data Input'!J612)</f>
        <v>bb - Ibuprofen</v>
      </c>
      <c r="L612">
        <f>IF(ISBLANK('Data Input'!K612),"",'Data Input'!K612)</f>
        <v>800</v>
      </c>
      <c r="M612">
        <f>IF(ISBLANK('Data Input'!L612),"",'Data Input'!L612)</f>
        <v>4</v>
      </c>
      <c r="N612">
        <f>IF(ISBLANK('Data Input'!M612),"",'Data Input'!M612)</f>
        <v>1</v>
      </c>
      <c r="O612" t="str">
        <f>IF(ISBLANK('Data Input'!N612),"",'Data Input'!N612)</f>
        <v/>
      </c>
      <c r="P612" t="str">
        <f>IF(ISBLANK('Data Input'!O612),"",'Data Input'!O612)</f>
        <v/>
      </c>
      <c r="Q612" t="str">
        <f>IF(ISBLANK('Data Input'!P612),"",'Data Input'!P612)</f>
        <v/>
      </c>
      <c r="R612" t="b">
        <f>IF(ISBLANK('Data Input'!Q612),"",'Data Input'!Q612)</f>
        <v>0</v>
      </c>
      <c r="T612" s="2">
        <f t="shared" si="38"/>
        <v>43309</v>
      </c>
      <c r="U612" s="12">
        <f t="shared" si="39"/>
        <v>0.70833333333333337</v>
      </c>
      <c r="V612" s="2">
        <f t="shared" si="40"/>
        <v>43310</v>
      </c>
      <c r="W612" s="12">
        <f t="shared" si="41"/>
        <v>0.52708333333333335</v>
      </c>
    </row>
    <row r="613" spans="1:23">
      <c r="A613">
        <f>IF(ISBLANK('Data Input'!A613),"",'Data Input'!A613)</f>
        <v>160</v>
      </c>
      <c r="B613" t="str">
        <f>IF(ISBLANK('Data Input'!B613),"",'Data Input'!B613)</f>
        <v>CS162</v>
      </c>
      <c r="C613" t="str">
        <f>IF(ISBLANK('Data Input'!C613),"",'Data Input'!C613)</f>
        <v>7/28/18 1700</v>
      </c>
      <c r="E613" t="str">
        <f>IF(ISBLANK('Data Input'!D613),"",'Data Input'!D613)</f>
        <v>7/29/18 1239</v>
      </c>
      <c r="G613">
        <f>IF(ISBLANK('Data Input'!E613),"",'Data Input'!E613)</f>
        <v>24</v>
      </c>
      <c r="H613" t="str">
        <f>IF(ISBLANK('Data Input'!F613),"",'Data Input'!F613)</f>
        <v>White</v>
      </c>
      <c r="I613" t="str">
        <f>IF(ISBLANK('Data Input'!G613),"",'Data Input'!G613)</f>
        <v>SVD</v>
      </c>
      <c r="J613" t="str">
        <f>IF(ISBLANK('Data Input'!I613),"",'Data Input'!I613)</f>
        <v>7=28=18 2357</v>
      </c>
      <c r="K613" t="str">
        <f>IF(ISBLANK('Data Input'!J613),"",'Data Input'!J613)</f>
        <v>bb - Ibuprofen</v>
      </c>
      <c r="L613">
        <f>IF(ISBLANK('Data Input'!K613),"",'Data Input'!K613)</f>
        <v>800</v>
      </c>
      <c r="M613">
        <f>IF(ISBLANK('Data Input'!L613),"",'Data Input'!L613)</f>
        <v>3</v>
      </c>
      <c r="N613">
        <f>IF(ISBLANK('Data Input'!M613),"",'Data Input'!M613)</f>
        <v>0</v>
      </c>
      <c r="O613" t="str">
        <f>IF(ISBLANK('Data Input'!N613),"",'Data Input'!N613)</f>
        <v/>
      </c>
      <c r="P613" t="str">
        <f>IF(ISBLANK('Data Input'!O613),"",'Data Input'!O613)</f>
        <v/>
      </c>
      <c r="Q613" t="str">
        <f>IF(ISBLANK('Data Input'!P613),"",'Data Input'!P613)</f>
        <v/>
      </c>
      <c r="R613" t="b">
        <f>IF(ISBLANK('Data Input'!Q613),"",'Data Input'!Q613)</f>
        <v>0</v>
      </c>
      <c r="T613" s="2">
        <f t="shared" si="38"/>
        <v>43309</v>
      </c>
      <c r="U613" s="12">
        <f t="shared" si="39"/>
        <v>0.70833333333333337</v>
      </c>
      <c r="V613" s="2">
        <f t="shared" si="40"/>
        <v>43310</v>
      </c>
      <c r="W613" s="12">
        <f t="shared" si="41"/>
        <v>0.52708333333333335</v>
      </c>
    </row>
    <row r="614" spans="1:23">
      <c r="A614">
        <f>IF(ISBLANK('Data Input'!A614),"",'Data Input'!A614)</f>
        <v>160</v>
      </c>
      <c r="B614" t="str">
        <f>IF(ISBLANK('Data Input'!B614),"",'Data Input'!B614)</f>
        <v>CS162</v>
      </c>
      <c r="C614" t="str">
        <f>IF(ISBLANK('Data Input'!C614),"",'Data Input'!C614)</f>
        <v>7/28/18 1700</v>
      </c>
      <c r="E614" t="str">
        <f>IF(ISBLANK('Data Input'!D614),"",'Data Input'!D614)</f>
        <v>7/29/18 1239</v>
      </c>
      <c r="G614">
        <f>IF(ISBLANK('Data Input'!E614),"",'Data Input'!E614)</f>
        <v>24</v>
      </c>
      <c r="H614" t="str">
        <f>IF(ISBLANK('Data Input'!F614),"",'Data Input'!F614)</f>
        <v>White</v>
      </c>
      <c r="I614" t="str">
        <f>IF(ISBLANK('Data Input'!G614),"",'Data Input'!G614)</f>
        <v>SVD</v>
      </c>
      <c r="J614" t="str">
        <f>IF(ISBLANK('Data Input'!I614),"",'Data Input'!I614)</f>
        <v>7=29=18 1239</v>
      </c>
      <c r="K614" t="str">
        <f>IF(ISBLANK('Data Input'!J614),"",'Data Input'!J614)</f>
        <v>bb - Ibuprofen</v>
      </c>
      <c r="L614">
        <f>IF(ISBLANK('Data Input'!K614),"",'Data Input'!K614)</f>
        <v>800</v>
      </c>
      <c r="M614">
        <f>IF(ISBLANK('Data Input'!L614),"",'Data Input'!L614)</f>
        <v>4</v>
      </c>
      <c r="N614">
        <f>IF(ISBLANK('Data Input'!M614),"",'Data Input'!M614)</f>
        <v>3</v>
      </c>
      <c r="O614" t="str">
        <f>IF(ISBLANK('Data Input'!N614),"",'Data Input'!N614)</f>
        <v/>
      </c>
      <c r="P614" t="str">
        <f>IF(ISBLANK('Data Input'!O614),"",'Data Input'!O614)</f>
        <v/>
      </c>
      <c r="Q614" t="str">
        <f>IF(ISBLANK('Data Input'!P614),"",'Data Input'!P614)</f>
        <v/>
      </c>
      <c r="R614" t="b">
        <f>IF(ISBLANK('Data Input'!Q614),"",'Data Input'!Q614)</f>
        <v>0</v>
      </c>
      <c r="T614" s="2">
        <f t="shared" si="38"/>
        <v>43309</v>
      </c>
      <c r="U614" s="12">
        <f t="shared" si="39"/>
        <v>0.70833333333333337</v>
      </c>
      <c r="V614" s="2">
        <f t="shared" si="40"/>
        <v>43310</v>
      </c>
      <c r="W614" s="12">
        <f t="shared" si="41"/>
        <v>0.52708333333333335</v>
      </c>
    </row>
    <row r="615" spans="1:23">
      <c r="A615">
        <f>IF(ISBLANK('Data Input'!A615),"",'Data Input'!A615)</f>
        <v>161</v>
      </c>
      <c r="B615" t="str">
        <f>IF(ISBLANK('Data Input'!B615),"",'Data Input'!B615)</f>
        <v>EB001</v>
      </c>
      <c r="C615" t="str">
        <f>IF(ISBLANK('Data Input'!C615),"",'Data Input'!C615)</f>
        <v>8/13/18 1610</v>
      </c>
      <c r="E615" t="str">
        <f>IF(ISBLANK('Data Input'!D615),"",'Data Input'!D615)</f>
        <v>8/15/18 1418</v>
      </c>
      <c r="G615">
        <f>IF(ISBLANK('Data Input'!E615),"",'Data Input'!E615)</f>
        <v>34</v>
      </c>
      <c r="H615" t="str">
        <f>IF(ISBLANK('Data Input'!F615),"",'Data Input'!F615)</f>
        <v>White</v>
      </c>
      <c r="I615" t="str">
        <f>IF(ISBLANK('Data Input'!G615),"",'Data Input'!G615)</f>
        <v>Caesarean</v>
      </c>
      <c r="J615" t="str">
        <f>IF(ISBLANK('Data Input'!I615),"",'Data Input'!I615)</f>
        <v>8=13=18 1621</v>
      </c>
      <c r="K615" t="str">
        <f>IF(ISBLANK('Data Input'!J615),"",'Data Input'!J615)</f>
        <v>tr - Toradol</v>
      </c>
      <c r="L615">
        <f>IF(ISBLANK('Data Input'!K615),"",'Data Input'!K615)</f>
        <v>30</v>
      </c>
      <c r="M615">
        <f>IF(ISBLANK('Data Input'!L615),"",'Data Input'!L615)</f>
        <v>6</v>
      </c>
      <c r="N615">
        <f>IF(ISBLANK('Data Input'!M615),"",'Data Input'!M615)</f>
        <v>3</v>
      </c>
      <c r="O615" t="str">
        <f>IF(ISBLANK('Data Input'!N615),"",'Data Input'!N615)</f>
        <v/>
      </c>
      <c r="P615" t="str">
        <f>IF(ISBLANK('Data Input'!O615),"",'Data Input'!O615)</f>
        <v/>
      </c>
      <c r="Q615" t="str">
        <f>IF(ISBLANK('Data Input'!P615),"",'Data Input'!P615)</f>
        <v/>
      </c>
      <c r="R615" t="b">
        <f>IF(ISBLANK('Data Input'!Q615),"",'Data Input'!Q615)</f>
        <v>1</v>
      </c>
      <c r="T615" s="2">
        <f t="shared" si="38"/>
        <v>43325</v>
      </c>
      <c r="U615" s="12">
        <f t="shared" si="39"/>
        <v>0.67361111111111116</v>
      </c>
      <c r="V615" s="2">
        <f t="shared" si="40"/>
        <v>43327</v>
      </c>
      <c r="W615" s="12">
        <f t="shared" si="41"/>
        <v>0.59583333333333333</v>
      </c>
    </row>
    <row r="616" spans="1:23">
      <c r="A616">
        <f>IF(ISBLANK('Data Input'!A616),"",'Data Input'!A616)</f>
        <v>161</v>
      </c>
      <c r="B616" t="str">
        <f>IF(ISBLANK('Data Input'!B616),"",'Data Input'!B616)</f>
        <v>EB001</v>
      </c>
      <c r="C616" t="str">
        <f>IF(ISBLANK('Data Input'!C616),"",'Data Input'!C616)</f>
        <v>8/13/18 1610</v>
      </c>
      <c r="E616" t="str">
        <f>IF(ISBLANK('Data Input'!D616),"",'Data Input'!D616)</f>
        <v>8/15/18 1418</v>
      </c>
      <c r="G616">
        <f>IF(ISBLANK('Data Input'!E616),"",'Data Input'!E616)</f>
        <v>34</v>
      </c>
      <c r="H616" t="str">
        <f>IF(ISBLANK('Data Input'!F616),"",'Data Input'!F616)</f>
        <v>White</v>
      </c>
      <c r="I616" t="str">
        <f>IF(ISBLANK('Data Input'!G616),"",'Data Input'!G616)</f>
        <v>Caesarean</v>
      </c>
      <c r="J616" t="str">
        <f>IF(ISBLANK('Data Input'!I616),"",'Data Input'!I616)</f>
        <v>8=13=18 2005</v>
      </c>
      <c r="K616" t="str">
        <f>IF(ISBLANK('Data Input'!J616),"",'Data Input'!J616)</f>
        <v>tt - Tylenol</v>
      </c>
      <c r="L616">
        <f>IF(ISBLANK('Data Input'!K616),"",'Data Input'!K616)</f>
        <v>650</v>
      </c>
      <c r="M616">
        <f>IF(ISBLANK('Data Input'!L616),"",'Data Input'!L616)</f>
        <v>5</v>
      </c>
      <c r="N616">
        <f>IF(ISBLANK('Data Input'!M616),"",'Data Input'!M616)</f>
        <v>4</v>
      </c>
      <c r="O616" t="str">
        <f>IF(ISBLANK('Data Input'!N616),"",'Data Input'!N616)</f>
        <v/>
      </c>
      <c r="P616" t="str">
        <f>IF(ISBLANK('Data Input'!O616),"",'Data Input'!O616)</f>
        <v/>
      </c>
      <c r="Q616" t="str">
        <f>IF(ISBLANK('Data Input'!P616),"",'Data Input'!P616)</f>
        <v/>
      </c>
      <c r="R616" t="b">
        <f>IF(ISBLANK('Data Input'!Q616),"",'Data Input'!Q616)</f>
        <v>1</v>
      </c>
      <c r="T616" s="2">
        <f t="shared" si="38"/>
        <v>43325</v>
      </c>
      <c r="U616" s="12">
        <f t="shared" si="39"/>
        <v>0.67361111111111116</v>
      </c>
      <c r="V616" s="2">
        <f t="shared" si="40"/>
        <v>43327</v>
      </c>
      <c r="W616" s="12">
        <f t="shared" si="41"/>
        <v>0.59583333333333333</v>
      </c>
    </row>
    <row r="617" spans="1:23">
      <c r="A617">
        <f>IF(ISBLANK('Data Input'!A617),"",'Data Input'!A617)</f>
        <v>161</v>
      </c>
      <c r="B617" t="str">
        <f>IF(ISBLANK('Data Input'!B617),"",'Data Input'!B617)</f>
        <v>EB001</v>
      </c>
      <c r="C617" t="str">
        <f>IF(ISBLANK('Data Input'!C617),"",'Data Input'!C617)</f>
        <v>8/13/18 1610</v>
      </c>
      <c r="E617" t="str">
        <f>IF(ISBLANK('Data Input'!D617),"",'Data Input'!D617)</f>
        <v>8/15/18 1418</v>
      </c>
      <c r="G617">
        <f>IF(ISBLANK('Data Input'!E617),"",'Data Input'!E617)</f>
        <v>34</v>
      </c>
      <c r="H617" t="str">
        <f>IF(ISBLANK('Data Input'!F617),"",'Data Input'!F617)</f>
        <v>White</v>
      </c>
      <c r="I617" t="str">
        <f>IF(ISBLANK('Data Input'!G617),"",'Data Input'!G617)</f>
        <v>Caesarean</v>
      </c>
      <c r="J617" t="str">
        <f>IF(ISBLANK('Data Input'!I617),"",'Data Input'!I617)</f>
        <v>8=13=18 2237</v>
      </c>
      <c r="K617" t="str">
        <f>IF(ISBLANK('Data Input'!J617),"",'Data Input'!J617)</f>
        <v>tr - Toradol</v>
      </c>
      <c r="L617">
        <f>IF(ISBLANK('Data Input'!K617),"",'Data Input'!K617)</f>
        <v>30</v>
      </c>
      <c r="M617">
        <f>IF(ISBLANK('Data Input'!L617),"",'Data Input'!L617)</f>
        <v>5</v>
      </c>
      <c r="N617">
        <f>IF(ISBLANK('Data Input'!M617),"",'Data Input'!M617)</f>
        <v>4</v>
      </c>
      <c r="O617" t="str">
        <f>IF(ISBLANK('Data Input'!N617),"",'Data Input'!N617)</f>
        <v/>
      </c>
      <c r="P617" t="str">
        <f>IF(ISBLANK('Data Input'!O617),"",'Data Input'!O617)</f>
        <v/>
      </c>
      <c r="Q617" t="str">
        <f>IF(ISBLANK('Data Input'!P617),"",'Data Input'!P617)</f>
        <v/>
      </c>
      <c r="R617" t="b">
        <f>IF(ISBLANK('Data Input'!Q617),"",'Data Input'!Q617)</f>
        <v>1</v>
      </c>
      <c r="T617" s="2">
        <f t="shared" si="38"/>
        <v>43325</v>
      </c>
      <c r="U617" s="12">
        <f t="shared" si="39"/>
        <v>0.67361111111111116</v>
      </c>
      <c r="V617" s="2">
        <f t="shared" si="40"/>
        <v>43327</v>
      </c>
      <c r="W617" s="12">
        <f t="shared" si="41"/>
        <v>0.59583333333333333</v>
      </c>
    </row>
    <row r="618" spans="1:23">
      <c r="A618">
        <f>IF(ISBLANK('Data Input'!A618),"",'Data Input'!A618)</f>
        <v>161</v>
      </c>
      <c r="B618" t="str">
        <f>IF(ISBLANK('Data Input'!B618),"",'Data Input'!B618)</f>
        <v>EB001</v>
      </c>
      <c r="C618" t="str">
        <f>IF(ISBLANK('Data Input'!C618),"",'Data Input'!C618)</f>
        <v>8/13/18 1610</v>
      </c>
      <c r="E618" t="str">
        <f>IF(ISBLANK('Data Input'!D618),"",'Data Input'!D618)</f>
        <v>8/15/18 1418</v>
      </c>
      <c r="G618">
        <f>IF(ISBLANK('Data Input'!E618),"",'Data Input'!E618)</f>
        <v>34</v>
      </c>
      <c r="H618" t="str">
        <f>IF(ISBLANK('Data Input'!F618),"",'Data Input'!F618)</f>
        <v>White</v>
      </c>
      <c r="I618" t="str">
        <f>IF(ISBLANK('Data Input'!G618),"",'Data Input'!G618)</f>
        <v>Caesarean</v>
      </c>
      <c r="J618" t="str">
        <f>IF(ISBLANK('Data Input'!I618),"",'Data Input'!I618)</f>
        <v>8=13=18 2237</v>
      </c>
      <c r="K618" t="str">
        <f>IF(ISBLANK('Data Input'!J618),"",'Data Input'!J618)</f>
        <v>rr - Percocet</v>
      </c>
      <c r="L618">
        <f>IF(ISBLANK('Data Input'!K618),"",'Data Input'!K618)</f>
        <v>1</v>
      </c>
      <c r="M618">
        <f>IF(ISBLANK('Data Input'!L618),"",'Data Input'!L618)</f>
        <v>5</v>
      </c>
      <c r="N618">
        <f>IF(ISBLANK('Data Input'!M618),"",'Data Input'!M618)</f>
        <v>4</v>
      </c>
      <c r="O618" t="str">
        <f>IF(ISBLANK('Data Input'!N618),"",'Data Input'!N618)</f>
        <v/>
      </c>
      <c r="P618" t="str">
        <f>IF(ISBLANK('Data Input'!O618),"",'Data Input'!O618)</f>
        <v/>
      </c>
      <c r="Q618" t="str">
        <f>IF(ISBLANK('Data Input'!P618),"",'Data Input'!P618)</f>
        <v/>
      </c>
      <c r="R618" t="b">
        <f>IF(ISBLANK('Data Input'!Q618),"",'Data Input'!Q618)</f>
        <v>1</v>
      </c>
      <c r="T618" s="2">
        <f t="shared" si="38"/>
        <v>43325</v>
      </c>
      <c r="U618" s="12">
        <f t="shared" si="39"/>
        <v>0.67361111111111116</v>
      </c>
      <c r="V618" s="2">
        <f t="shared" si="40"/>
        <v>43327</v>
      </c>
      <c r="W618" s="12">
        <f t="shared" si="41"/>
        <v>0.59583333333333333</v>
      </c>
    </row>
    <row r="619" spans="1:23">
      <c r="A619">
        <f>IF(ISBLANK('Data Input'!A619),"",'Data Input'!A619)</f>
        <v>161</v>
      </c>
      <c r="B619" t="str">
        <f>IF(ISBLANK('Data Input'!B619),"",'Data Input'!B619)</f>
        <v>EB001</v>
      </c>
      <c r="C619" t="str">
        <f>IF(ISBLANK('Data Input'!C619),"",'Data Input'!C619)</f>
        <v>8/13/18 1610</v>
      </c>
      <c r="E619" t="str">
        <f>IF(ISBLANK('Data Input'!D619),"",'Data Input'!D619)</f>
        <v>8/15/18 1418</v>
      </c>
      <c r="G619">
        <f>IF(ISBLANK('Data Input'!E619),"",'Data Input'!E619)</f>
        <v>34</v>
      </c>
      <c r="H619" t="str">
        <f>IF(ISBLANK('Data Input'!F619),"",'Data Input'!F619)</f>
        <v>White</v>
      </c>
      <c r="I619" t="str">
        <f>IF(ISBLANK('Data Input'!G619),"",'Data Input'!G619)</f>
        <v>Caesarean</v>
      </c>
      <c r="J619" t="str">
        <f>IF(ISBLANK('Data Input'!I619),"",'Data Input'!I619)</f>
        <v>8=14=18 0249</v>
      </c>
      <c r="K619" t="str">
        <f>IF(ISBLANK('Data Input'!J619),"",'Data Input'!J619)</f>
        <v>tt - Tylenol</v>
      </c>
      <c r="L619">
        <f>IF(ISBLANK('Data Input'!K619),"",'Data Input'!K619)</f>
        <v>650</v>
      </c>
      <c r="M619">
        <f>IF(ISBLANK('Data Input'!L619),"",'Data Input'!L619)</f>
        <v>4</v>
      </c>
      <c r="N619">
        <f>IF(ISBLANK('Data Input'!M619),"",'Data Input'!M619)</f>
        <v>4</v>
      </c>
      <c r="O619" t="str">
        <f>IF(ISBLANK('Data Input'!N619),"",'Data Input'!N619)</f>
        <v/>
      </c>
      <c r="P619" t="str">
        <f>IF(ISBLANK('Data Input'!O619),"",'Data Input'!O619)</f>
        <v/>
      </c>
      <c r="Q619" t="str">
        <f>IF(ISBLANK('Data Input'!P619),"",'Data Input'!P619)</f>
        <v/>
      </c>
      <c r="R619" t="b">
        <f>IF(ISBLANK('Data Input'!Q619),"",'Data Input'!Q619)</f>
        <v>1</v>
      </c>
      <c r="T619" s="2">
        <f t="shared" si="38"/>
        <v>43325</v>
      </c>
      <c r="U619" s="12">
        <f t="shared" si="39"/>
        <v>0.67361111111111116</v>
      </c>
      <c r="V619" s="2">
        <f t="shared" si="40"/>
        <v>43327</v>
      </c>
      <c r="W619" s="12">
        <f t="shared" si="41"/>
        <v>0.59583333333333333</v>
      </c>
    </row>
    <row r="620" spans="1:23">
      <c r="A620">
        <f>IF(ISBLANK('Data Input'!A620),"",'Data Input'!A620)</f>
        <v>161</v>
      </c>
      <c r="B620" t="str">
        <f>IF(ISBLANK('Data Input'!B620),"",'Data Input'!B620)</f>
        <v>EB001</v>
      </c>
      <c r="C620" t="str">
        <f>IF(ISBLANK('Data Input'!C620),"",'Data Input'!C620)</f>
        <v>8/13/18 1610</v>
      </c>
      <c r="E620" t="str">
        <f>IF(ISBLANK('Data Input'!D620),"",'Data Input'!D620)</f>
        <v>8/15/18 1418</v>
      </c>
      <c r="G620">
        <f>IF(ISBLANK('Data Input'!E620),"",'Data Input'!E620)</f>
        <v>34</v>
      </c>
      <c r="H620" t="str">
        <f>IF(ISBLANK('Data Input'!F620),"",'Data Input'!F620)</f>
        <v>White</v>
      </c>
      <c r="I620" t="str">
        <f>IF(ISBLANK('Data Input'!G620),"",'Data Input'!G620)</f>
        <v>Caesarean</v>
      </c>
      <c r="J620" t="str">
        <f>IF(ISBLANK('Data Input'!I620),"",'Data Input'!I620)</f>
        <v>8=14=18 0529</v>
      </c>
      <c r="K620" t="str">
        <f>IF(ISBLANK('Data Input'!J620),"",'Data Input'!J620)</f>
        <v>tr - Toradol</v>
      </c>
      <c r="L620">
        <f>IF(ISBLANK('Data Input'!K620),"",'Data Input'!K620)</f>
        <v>30</v>
      </c>
      <c r="M620">
        <f>IF(ISBLANK('Data Input'!L620),"",'Data Input'!L620)</f>
        <v>4</v>
      </c>
      <c r="N620">
        <f>IF(ISBLANK('Data Input'!M620),"",'Data Input'!M620)</f>
        <v>0</v>
      </c>
      <c r="O620" t="str">
        <f>IF(ISBLANK('Data Input'!N620),"",'Data Input'!N620)</f>
        <v/>
      </c>
      <c r="P620" t="str">
        <f>IF(ISBLANK('Data Input'!O620),"",'Data Input'!O620)</f>
        <v/>
      </c>
      <c r="Q620" t="str">
        <f>IF(ISBLANK('Data Input'!P620),"",'Data Input'!P620)</f>
        <v/>
      </c>
      <c r="R620" t="b">
        <f>IF(ISBLANK('Data Input'!Q620),"",'Data Input'!Q620)</f>
        <v>1</v>
      </c>
      <c r="T620" s="2">
        <f t="shared" si="38"/>
        <v>43325</v>
      </c>
      <c r="U620" s="12">
        <f t="shared" si="39"/>
        <v>0.67361111111111116</v>
      </c>
      <c r="V620" s="2">
        <f t="shared" si="40"/>
        <v>43327</v>
      </c>
      <c r="W620" s="12">
        <f t="shared" si="41"/>
        <v>0.59583333333333333</v>
      </c>
    </row>
    <row r="621" spans="1:23">
      <c r="A621">
        <f>IF(ISBLANK('Data Input'!A621),"",'Data Input'!A621)</f>
        <v>161</v>
      </c>
      <c r="B621" t="str">
        <f>IF(ISBLANK('Data Input'!B621),"",'Data Input'!B621)</f>
        <v>EB001</v>
      </c>
      <c r="C621" t="str">
        <f>IF(ISBLANK('Data Input'!C621),"",'Data Input'!C621)</f>
        <v>8/13/18 1610</v>
      </c>
      <c r="E621" t="str">
        <f>IF(ISBLANK('Data Input'!D621),"",'Data Input'!D621)</f>
        <v>8/15/18 1418</v>
      </c>
      <c r="G621">
        <f>IF(ISBLANK('Data Input'!E621),"",'Data Input'!E621)</f>
        <v>34</v>
      </c>
      <c r="H621" t="str">
        <f>IF(ISBLANK('Data Input'!F621),"",'Data Input'!F621)</f>
        <v>White</v>
      </c>
      <c r="I621" t="str">
        <f>IF(ISBLANK('Data Input'!G621),"",'Data Input'!G621)</f>
        <v>Caesarean</v>
      </c>
      <c r="J621" t="str">
        <f>IF(ISBLANK('Data Input'!I621),"",'Data Input'!I621)</f>
        <v>8=14=18 0901</v>
      </c>
      <c r="K621" t="str">
        <f>IF(ISBLANK('Data Input'!J621),"",'Data Input'!J621)</f>
        <v>tt - Tylenol</v>
      </c>
      <c r="L621">
        <f>IF(ISBLANK('Data Input'!K621),"",'Data Input'!K621)</f>
        <v>30</v>
      </c>
      <c r="M621" t="str">
        <f>IF(ISBLANK('Data Input'!L621),"",'Data Input'!L621)</f>
        <v>dd - Missing Data</v>
      </c>
      <c r="N621" t="str">
        <f>IF(ISBLANK('Data Input'!M621),"",'Data Input'!M621)</f>
        <v>dd - Missing Data</v>
      </c>
      <c r="O621" t="str">
        <f>IF(ISBLANK('Data Input'!N621),"",'Data Input'!N621)</f>
        <v/>
      </c>
      <c r="P621" t="str">
        <f>IF(ISBLANK('Data Input'!O621),"",'Data Input'!O621)</f>
        <v/>
      </c>
      <c r="Q621" t="str">
        <f>IF(ISBLANK('Data Input'!P621),"",'Data Input'!P621)</f>
        <v/>
      </c>
      <c r="R621" t="b">
        <f>IF(ISBLANK('Data Input'!Q621),"",'Data Input'!Q621)</f>
        <v>1</v>
      </c>
      <c r="T621" s="2">
        <f t="shared" si="38"/>
        <v>43325</v>
      </c>
      <c r="U621" s="12">
        <f t="shared" si="39"/>
        <v>0.67361111111111116</v>
      </c>
      <c r="V621" s="2">
        <f t="shared" si="40"/>
        <v>43327</v>
      </c>
      <c r="W621" s="12">
        <f t="shared" si="41"/>
        <v>0.59583333333333333</v>
      </c>
    </row>
    <row r="622" spans="1:23">
      <c r="A622">
        <f>IF(ISBLANK('Data Input'!A622),"",'Data Input'!A622)</f>
        <v>161</v>
      </c>
      <c r="B622" t="str">
        <f>IF(ISBLANK('Data Input'!B622),"",'Data Input'!B622)</f>
        <v>EB001</v>
      </c>
      <c r="C622" t="str">
        <f>IF(ISBLANK('Data Input'!C622),"",'Data Input'!C622)</f>
        <v>8/13/18 1610</v>
      </c>
      <c r="E622" t="str">
        <f>IF(ISBLANK('Data Input'!D622),"",'Data Input'!D622)</f>
        <v>8/15/18 1418</v>
      </c>
      <c r="G622">
        <f>IF(ISBLANK('Data Input'!E622),"",'Data Input'!E622)</f>
        <v>34</v>
      </c>
      <c r="H622" t="str">
        <f>IF(ISBLANK('Data Input'!F622),"",'Data Input'!F622)</f>
        <v>White</v>
      </c>
      <c r="I622" t="str">
        <f>IF(ISBLANK('Data Input'!G622),"",'Data Input'!G622)</f>
        <v>Caesarean</v>
      </c>
      <c r="J622" t="str">
        <f>IF(ISBLANK('Data Input'!I622),"",'Data Input'!I622)</f>
        <v>8=14=18 1108</v>
      </c>
      <c r="K622" t="str">
        <f>IF(ISBLANK('Data Input'!J622),"",'Data Input'!J622)</f>
        <v>tr - Toradol</v>
      </c>
      <c r="L622">
        <f>IF(ISBLANK('Data Input'!K622),"",'Data Input'!K622)</f>
        <v>30</v>
      </c>
      <c r="M622">
        <f>IF(ISBLANK('Data Input'!L622),"",'Data Input'!L622)</f>
        <v>4</v>
      </c>
      <c r="N622">
        <f>IF(ISBLANK('Data Input'!M622),"",'Data Input'!M622)</f>
        <v>0</v>
      </c>
      <c r="O622" t="str">
        <f>IF(ISBLANK('Data Input'!N622),"",'Data Input'!N622)</f>
        <v/>
      </c>
      <c r="P622" t="str">
        <f>IF(ISBLANK('Data Input'!O622),"",'Data Input'!O622)</f>
        <v/>
      </c>
      <c r="Q622" t="str">
        <f>IF(ISBLANK('Data Input'!P622),"",'Data Input'!P622)</f>
        <v/>
      </c>
      <c r="R622" t="b">
        <f>IF(ISBLANK('Data Input'!Q622),"",'Data Input'!Q622)</f>
        <v>1</v>
      </c>
      <c r="T622" s="2">
        <f t="shared" si="38"/>
        <v>43325</v>
      </c>
      <c r="U622" s="12">
        <f t="shared" si="39"/>
        <v>0.67361111111111116</v>
      </c>
      <c r="V622" s="2">
        <f t="shared" si="40"/>
        <v>43327</v>
      </c>
      <c r="W622" s="12">
        <f t="shared" si="41"/>
        <v>0.59583333333333333</v>
      </c>
    </row>
    <row r="623" spans="1:23">
      <c r="A623">
        <f>IF(ISBLANK('Data Input'!A623),"",'Data Input'!A623)</f>
        <v>161</v>
      </c>
      <c r="B623" t="str">
        <f>IF(ISBLANK('Data Input'!B623),"",'Data Input'!B623)</f>
        <v>EB001</v>
      </c>
      <c r="C623" t="str">
        <f>IF(ISBLANK('Data Input'!C623),"",'Data Input'!C623)</f>
        <v>8/13/18 1610</v>
      </c>
      <c r="E623" t="str">
        <f>IF(ISBLANK('Data Input'!D623),"",'Data Input'!D623)</f>
        <v>8/15/18 1418</v>
      </c>
      <c r="G623">
        <f>IF(ISBLANK('Data Input'!E623),"",'Data Input'!E623)</f>
        <v>34</v>
      </c>
      <c r="H623" t="str">
        <f>IF(ISBLANK('Data Input'!F623),"",'Data Input'!F623)</f>
        <v>White</v>
      </c>
      <c r="I623" t="str">
        <f>IF(ISBLANK('Data Input'!G623),"",'Data Input'!G623)</f>
        <v>Caesarean</v>
      </c>
      <c r="J623" t="str">
        <f>IF(ISBLANK('Data Input'!I623),"",'Data Input'!I623)</f>
        <v>8=14=18 1348</v>
      </c>
      <c r="K623" t="str">
        <f>IF(ISBLANK('Data Input'!J623),"",'Data Input'!J623)</f>
        <v>rr - Percocet</v>
      </c>
      <c r="L623">
        <f>IF(ISBLANK('Data Input'!K623),"",'Data Input'!K623)</f>
        <v>1</v>
      </c>
      <c r="M623">
        <f>IF(ISBLANK('Data Input'!L623),"",'Data Input'!L623)</f>
        <v>6</v>
      </c>
      <c r="N623">
        <f>IF(ISBLANK('Data Input'!M623),"",'Data Input'!M623)</f>
        <v>6</v>
      </c>
      <c r="O623" t="str">
        <f>IF(ISBLANK('Data Input'!N623),"",'Data Input'!N623)</f>
        <v/>
      </c>
      <c r="P623" t="str">
        <f>IF(ISBLANK('Data Input'!O623),"",'Data Input'!O623)</f>
        <v/>
      </c>
      <c r="Q623" t="str">
        <f>IF(ISBLANK('Data Input'!P623),"",'Data Input'!P623)</f>
        <v/>
      </c>
      <c r="R623" t="b">
        <f>IF(ISBLANK('Data Input'!Q623),"",'Data Input'!Q623)</f>
        <v>1</v>
      </c>
      <c r="T623" s="2">
        <f t="shared" si="38"/>
        <v>43325</v>
      </c>
      <c r="U623" s="12">
        <f t="shared" si="39"/>
        <v>0.67361111111111116</v>
      </c>
      <c r="V623" s="2">
        <f t="shared" si="40"/>
        <v>43327</v>
      </c>
      <c r="W623" s="12">
        <f t="shared" si="41"/>
        <v>0.59583333333333333</v>
      </c>
    </row>
    <row r="624" spans="1:23">
      <c r="A624">
        <f>IF(ISBLANK('Data Input'!A624),"",'Data Input'!A624)</f>
        <v>161</v>
      </c>
      <c r="B624" t="str">
        <f>IF(ISBLANK('Data Input'!B624),"",'Data Input'!B624)</f>
        <v>EB001</v>
      </c>
      <c r="C624" t="str">
        <f>IF(ISBLANK('Data Input'!C624),"",'Data Input'!C624)</f>
        <v>8/13/18 1610</v>
      </c>
      <c r="E624" t="str">
        <f>IF(ISBLANK('Data Input'!D624),"",'Data Input'!D624)</f>
        <v>8/15/18 1418</v>
      </c>
      <c r="G624">
        <f>IF(ISBLANK('Data Input'!E624),"",'Data Input'!E624)</f>
        <v>34</v>
      </c>
      <c r="H624" t="str">
        <f>IF(ISBLANK('Data Input'!F624),"",'Data Input'!F624)</f>
        <v>White</v>
      </c>
      <c r="I624" t="str">
        <f>IF(ISBLANK('Data Input'!G624),"",'Data Input'!G624)</f>
        <v>Caesarean</v>
      </c>
      <c r="J624" t="str">
        <f>IF(ISBLANK('Data Input'!I624),"",'Data Input'!I624)</f>
        <v>8=14=18 1454</v>
      </c>
      <c r="K624" t="str">
        <f>IF(ISBLANK('Data Input'!J624),"",'Data Input'!J624)</f>
        <v>rr - Percocet</v>
      </c>
      <c r="L624">
        <f>IF(ISBLANK('Data Input'!K624),"",'Data Input'!K624)</f>
        <v>1</v>
      </c>
      <c r="M624">
        <f>IF(ISBLANK('Data Input'!L624),"",'Data Input'!L624)</f>
        <v>6</v>
      </c>
      <c r="N624">
        <f>IF(ISBLANK('Data Input'!M624),"",'Data Input'!M624)</f>
        <v>0</v>
      </c>
      <c r="O624" t="str">
        <f>IF(ISBLANK('Data Input'!N624),"",'Data Input'!N624)</f>
        <v/>
      </c>
      <c r="P624" t="str">
        <f>IF(ISBLANK('Data Input'!O624),"",'Data Input'!O624)</f>
        <v/>
      </c>
      <c r="Q624" t="str">
        <f>IF(ISBLANK('Data Input'!P624),"",'Data Input'!P624)</f>
        <v/>
      </c>
      <c r="R624" t="b">
        <f>IF(ISBLANK('Data Input'!Q624),"",'Data Input'!Q624)</f>
        <v>1</v>
      </c>
      <c r="T624" s="2">
        <f t="shared" si="38"/>
        <v>43325</v>
      </c>
      <c r="U624" s="12">
        <f t="shared" si="39"/>
        <v>0.67361111111111116</v>
      </c>
      <c r="V624" s="2">
        <f t="shared" si="40"/>
        <v>43327</v>
      </c>
      <c r="W624" s="12">
        <f t="shared" si="41"/>
        <v>0.59583333333333333</v>
      </c>
    </row>
    <row r="625" spans="1:23">
      <c r="A625">
        <f>IF(ISBLANK('Data Input'!A625),"",'Data Input'!A625)</f>
        <v>161</v>
      </c>
      <c r="B625" t="str">
        <f>IF(ISBLANK('Data Input'!B625),"",'Data Input'!B625)</f>
        <v>EB001</v>
      </c>
      <c r="C625" t="str">
        <f>IF(ISBLANK('Data Input'!C625),"",'Data Input'!C625)</f>
        <v>8/13/18 1610</v>
      </c>
      <c r="E625" t="str">
        <f>IF(ISBLANK('Data Input'!D625),"",'Data Input'!D625)</f>
        <v>8/15/18 1418</v>
      </c>
      <c r="G625">
        <f>IF(ISBLANK('Data Input'!E625),"",'Data Input'!E625)</f>
        <v>34</v>
      </c>
      <c r="H625" t="str">
        <f>IF(ISBLANK('Data Input'!F625),"",'Data Input'!F625)</f>
        <v>White</v>
      </c>
      <c r="I625" t="str">
        <f>IF(ISBLANK('Data Input'!G625),"",'Data Input'!G625)</f>
        <v>Caesarean</v>
      </c>
      <c r="J625" t="str">
        <f>IF(ISBLANK('Data Input'!I625),"",'Data Input'!I625)</f>
        <v>8=14=18 1730</v>
      </c>
      <c r="K625" t="str">
        <f>IF(ISBLANK('Data Input'!J625),"",'Data Input'!J625)</f>
        <v>tr - Toradol</v>
      </c>
      <c r="L625">
        <f>IF(ISBLANK('Data Input'!K625),"",'Data Input'!K625)</f>
        <v>30</v>
      </c>
      <c r="M625">
        <f>IF(ISBLANK('Data Input'!L625),"",'Data Input'!L625)</f>
        <v>5</v>
      </c>
      <c r="N625">
        <f>IF(ISBLANK('Data Input'!M625),"",'Data Input'!M625)</f>
        <v>0</v>
      </c>
      <c r="O625" t="str">
        <f>IF(ISBLANK('Data Input'!N625),"",'Data Input'!N625)</f>
        <v/>
      </c>
      <c r="P625" t="str">
        <f>IF(ISBLANK('Data Input'!O625),"",'Data Input'!O625)</f>
        <v/>
      </c>
      <c r="Q625" t="str">
        <f>IF(ISBLANK('Data Input'!P625),"",'Data Input'!P625)</f>
        <v/>
      </c>
      <c r="R625" t="b">
        <f>IF(ISBLANK('Data Input'!Q625),"",'Data Input'!Q625)</f>
        <v>1</v>
      </c>
      <c r="T625" s="2">
        <f t="shared" si="38"/>
        <v>43325</v>
      </c>
      <c r="U625" s="12">
        <f t="shared" si="39"/>
        <v>0.67361111111111116</v>
      </c>
      <c r="V625" s="2">
        <f t="shared" si="40"/>
        <v>43327</v>
      </c>
      <c r="W625" s="12">
        <f t="shared" si="41"/>
        <v>0.59583333333333333</v>
      </c>
    </row>
    <row r="626" spans="1:23">
      <c r="A626">
        <f>IF(ISBLANK('Data Input'!A626),"",'Data Input'!A626)</f>
        <v>161</v>
      </c>
      <c r="B626" t="str">
        <f>IF(ISBLANK('Data Input'!B626),"",'Data Input'!B626)</f>
        <v>EB001</v>
      </c>
      <c r="C626" t="str">
        <f>IF(ISBLANK('Data Input'!C626),"",'Data Input'!C626)</f>
        <v>8/13/18 1610</v>
      </c>
      <c r="E626" t="str">
        <f>IF(ISBLANK('Data Input'!D626),"",'Data Input'!D626)</f>
        <v>8/15/18 1418</v>
      </c>
      <c r="G626">
        <f>IF(ISBLANK('Data Input'!E626),"",'Data Input'!E626)</f>
        <v>34</v>
      </c>
      <c r="H626" t="str">
        <f>IF(ISBLANK('Data Input'!F626),"",'Data Input'!F626)</f>
        <v>White</v>
      </c>
      <c r="I626" t="str">
        <f>IF(ISBLANK('Data Input'!G626),"",'Data Input'!G626)</f>
        <v>Caesarean</v>
      </c>
      <c r="J626" t="str">
        <f>IF(ISBLANK('Data Input'!I626),"",'Data Input'!I626)</f>
        <v>8=14=18 1929</v>
      </c>
      <c r="K626" t="str">
        <f>IF(ISBLANK('Data Input'!J626),"",'Data Input'!J626)</f>
        <v>rr - Percocet</v>
      </c>
      <c r="L626">
        <f>IF(ISBLANK('Data Input'!K626),"",'Data Input'!K626)</f>
        <v>2</v>
      </c>
      <c r="M626">
        <f>IF(ISBLANK('Data Input'!L626),"",'Data Input'!L626)</f>
        <v>5</v>
      </c>
      <c r="N626">
        <f>IF(ISBLANK('Data Input'!M626),"",'Data Input'!M626)</f>
        <v>2</v>
      </c>
      <c r="O626" t="str">
        <f>IF(ISBLANK('Data Input'!N626),"",'Data Input'!N626)</f>
        <v/>
      </c>
      <c r="P626" t="str">
        <f>IF(ISBLANK('Data Input'!O626),"",'Data Input'!O626)</f>
        <v/>
      </c>
      <c r="Q626" t="str">
        <f>IF(ISBLANK('Data Input'!P626),"",'Data Input'!P626)</f>
        <v/>
      </c>
      <c r="R626" t="b">
        <f>IF(ISBLANK('Data Input'!Q626),"",'Data Input'!Q626)</f>
        <v>1</v>
      </c>
      <c r="T626" s="2">
        <f t="shared" si="38"/>
        <v>43325</v>
      </c>
      <c r="U626" s="12">
        <f t="shared" si="39"/>
        <v>0.67361111111111116</v>
      </c>
      <c r="V626" s="2">
        <f t="shared" si="40"/>
        <v>43327</v>
      </c>
      <c r="W626" s="12">
        <f t="shared" si="41"/>
        <v>0.59583333333333333</v>
      </c>
    </row>
    <row r="627" spans="1:23">
      <c r="A627">
        <f>IF(ISBLANK('Data Input'!A627),"",'Data Input'!A627)</f>
        <v>161</v>
      </c>
      <c r="B627" t="str">
        <f>IF(ISBLANK('Data Input'!B627),"",'Data Input'!B627)</f>
        <v>EB001</v>
      </c>
      <c r="C627" t="str">
        <f>IF(ISBLANK('Data Input'!C627),"",'Data Input'!C627)</f>
        <v>8/13/18 1610</v>
      </c>
      <c r="E627" t="str">
        <f>IF(ISBLANK('Data Input'!D627),"",'Data Input'!D627)</f>
        <v>8/15/18 1418</v>
      </c>
      <c r="G627">
        <f>IF(ISBLANK('Data Input'!E627),"",'Data Input'!E627)</f>
        <v>34</v>
      </c>
      <c r="H627" t="str">
        <f>IF(ISBLANK('Data Input'!F627),"",'Data Input'!F627)</f>
        <v>White</v>
      </c>
      <c r="I627" t="str">
        <f>IF(ISBLANK('Data Input'!G627),"",'Data Input'!G627)</f>
        <v>Caesarean</v>
      </c>
      <c r="J627" t="str">
        <f>IF(ISBLANK('Data Input'!I627),"",'Data Input'!I627)</f>
        <v>8=14=18 2302</v>
      </c>
      <c r="K627" t="str">
        <f>IF(ISBLANK('Data Input'!J627),"",'Data Input'!J627)</f>
        <v>tr - Toradol</v>
      </c>
      <c r="L627">
        <f>IF(ISBLANK('Data Input'!K627),"",'Data Input'!K627)</f>
        <v>30</v>
      </c>
      <c r="M627">
        <f>IF(ISBLANK('Data Input'!L627),"",'Data Input'!L627)</f>
        <v>5</v>
      </c>
      <c r="N627">
        <f>IF(ISBLANK('Data Input'!M627),"",'Data Input'!M627)</f>
        <v>1</v>
      </c>
      <c r="O627" t="str">
        <f>IF(ISBLANK('Data Input'!N627),"",'Data Input'!N627)</f>
        <v/>
      </c>
      <c r="P627" t="str">
        <f>IF(ISBLANK('Data Input'!O627),"",'Data Input'!O627)</f>
        <v/>
      </c>
      <c r="Q627" t="str">
        <f>IF(ISBLANK('Data Input'!P627),"",'Data Input'!P627)</f>
        <v/>
      </c>
      <c r="R627" t="b">
        <f>IF(ISBLANK('Data Input'!Q627),"",'Data Input'!Q627)</f>
        <v>1</v>
      </c>
      <c r="T627" s="2">
        <f t="shared" si="38"/>
        <v>43325</v>
      </c>
      <c r="U627" s="12">
        <f t="shared" si="39"/>
        <v>0.67361111111111116</v>
      </c>
      <c r="V627" s="2">
        <f t="shared" si="40"/>
        <v>43327</v>
      </c>
      <c r="W627" s="12">
        <f t="shared" si="41"/>
        <v>0.59583333333333333</v>
      </c>
    </row>
    <row r="628" spans="1:23">
      <c r="A628">
        <f>IF(ISBLANK('Data Input'!A628),"",'Data Input'!A628)</f>
        <v>161</v>
      </c>
      <c r="B628" t="str">
        <f>IF(ISBLANK('Data Input'!B628),"",'Data Input'!B628)</f>
        <v>EB001</v>
      </c>
      <c r="C628" t="str">
        <f>IF(ISBLANK('Data Input'!C628),"",'Data Input'!C628)</f>
        <v>8/13/18 1610</v>
      </c>
      <c r="E628" t="str">
        <f>IF(ISBLANK('Data Input'!D628),"",'Data Input'!D628)</f>
        <v>8/15/18 1418</v>
      </c>
      <c r="G628">
        <f>IF(ISBLANK('Data Input'!E628),"",'Data Input'!E628)</f>
        <v>34</v>
      </c>
      <c r="H628" t="str">
        <f>IF(ISBLANK('Data Input'!F628),"",'Data Input'!F628)</f>
        <v>White</v>
      </c>
      <c r="I628" t="str">
        <f>IF(ISBLANK('Data Input'!G628),"",'Data Input'!G628)</f>
        <v>Caesarean</v>
      </c>
      <c r="J628" t="str">
        <f>IF(ISBLANK('Data Input'!I628),"",'Data Input'!I628)</f>
        <v>8=14=18 2302</v>
      </c>
      <c r="K628" t="str">
        <f>IF(ISBLANK('Data Input'!J628),"",'Data Input'!J628)</f>
        <v>rr - Percocet</v>
      </c>
      <c r="L628">
        <f>IF(ISBLANK('Data Input'!K628),"",'Data Input'!K628)</f>
        <v>2</v>
      </c>
      <c r="M628">
        <f>IF(ISBLANK('Data Input'!L628),"",'Data Input'!L628)</f>
        <v>5</v>
      </c>
      <c r="N628">
        <f>IF(ISBLANK('Data Input'!M628),"",'Data Input'!M628)</f>
        <v>1</v>
      </c>
      <c r="O628" t="str">
        <f>IF(ISBLANK('Data Input'!N628),"",'Data Input'!N628)</f>
        <v/>
      </c>
      <c r="P628" t="str">
        <f>IF(ISBLANK('Data Input'!O628),"",'Data Input'!O628)</f>
        <v/>
      </c>
      <c r="Q628" t="str">
        <f>IF(ISBLANK('Data Input'!P628),"",'Data Input'!P628)</f>
        <v/>
      </c>
      <c r="R628" t="b">
        <f>IF(ISBLANK('Data Input'!Q628),"",'Data Input'!Q628)</f>
        <v>1</v>
      </c>
      <c r="T628" s="2">
        <f t="shared" si="38"/>
        <v>43325</v>
      </c>
      <c r="U628" s="12">
        <f t="shared" si="39"/>
        <v>0.67361111111111116</v>
      </c>
      <c r="V628" s="2">
        <f t="shared" si="40"/>
        <v>43327</v>
      </c>
      <c r="W628" s="12">
        <f t="shared" si="41"/>
        <v>0.59583333333333333</v>
      </c>
    </row>
    <row r="629" spans="1:23">
      <c r="A629">
        <f>IF(ISBLANK('Data Input'!A629),"",'Data Input'!A629)</f>
        <v>161</v>
      </c>
      <c r="B629" t="str">
        <f>IF(ISBLANK('Data Input'!B629),"",'Data Input'!B629)</f>
        <v>EB001</v>
      </c>
      <c r="C629" t="str">
        <f>IF(ISBLANK('Data Input'!C629),"",'Data Input'!C629)</f>
        <v>8/13/18 1610</v>
      </c>
      <c r="E629" t="str">
        <f>IF(ISBLANK('Data Input'!D629),"",'Data Input'!D629)</f>
        <v>8/15/18 1418</v>
      </c>
      <c r="G629">
        <f>IF(ISBLANK('Data Input'!E629),"",'Data Input'!E629)</f>
        <v>34</v>
      </c>
      <c r="H629" t="str">
        <f>IF(ISBLANK('Data Input'!F629),"",'Data Input'!F629)</f>
        <v>White</v>
      </c>
      <c r="I629" t="str">
        <f>IF(ISBLANK('Data Input'!G629),"",'Data Input'!G629)</f>
        <v>Caesarean</v>
      </c>
      <c r="J629" t="str">
        <f>IF(ISBLANK('Data Input'!I629),"",'Data Input'!I629)</f>
        <v>8=15=18 0603</v>
      </c>
      <c r="K629" t="str">
        <f>IF(ISBLANK('Data Input'!J629),"",'Data Input'!J629)</f>
        <v>tr - Toradol</v>
      </c>
      <c r="L629">
        <f>IF(ISBLANK('Data Input'!K629),"",'Data Input'!K629)</f>
        <v>30</v>
      </c>
      <c r="M629">
        <f>IF(ISBLANK('Data Input'!L629),"",'Data Input'!L629)</f>
        <v>5</v>
      </c>
      <c r="N629">
        <f>IF(ISBLANK('Data Input'!M629),"",'Data Input'!M629)</f>
        <v>3</v>
      </c>
      <c r="O629" t="str">
        <f>IF(ISBLANK('Data Input'!N629),"",'Data Input'!N629)</f>
        <v/>
      </c>
      <c r="P629" t="str">
        <f>IF(ISBLANK('Data Input'!O629),"",'Data Input'!O629)</f>
        <v/>
      </c>
      <c r="Q629" t="str">
        <f>IF(ISBLANK('Data Input'!P629),"",'Data Input'!P629)</f>
        <v/>
      </c>
      <c r="R629" t="b">
        <f>IF(ISBLANK('Data Input'!Q629),"",'Data Input'!Q629)</f>
        <v>1</v>
      </c>
      <c r="T629" s="2">
        <f t="shared" si="38"/>
        <v>43325</v>
      </c>
      <c r="U629" s="12">
        <f t="shared" si="39"/>
        <v>0.67361111111111116</v>
      </c>
      <c r="V629" s="2">
        <f t="shared" si="40"/>
        <v>43327</v>
      </c>
      <c r="W629" s="12">
        <f t="shared" si="41"/>
        <v>0.59583333333333333</v>
      </c>
    </row>
    <row r="630" spans="1:23">
      <c r="A630">
        <f>IF(ISBLANK('Data Input'!A630),"",'Data Input'!A630)</f>
        <v>161</v>
      </c>
      <c r="B630" t="str">
        <f>IF(ISBLANK('Data Input'!B630),"",'Data Input'!B630)</f>
        <v>EB001</v>
      </c>
      <c r="C630" t="str">
        <f>IF(ISBLANK('Data Input'!C630),"",'Data Input'!C630)</f>
        <v>8/13/18 1610</v>
      </c>
      <c r="E630" t="str">
        <f>IF(ISBLANK('Data Input'!D630),"",'Data Input'!D630)</f>
        <v>8/15/18 1418</v>
      </c>
      <c r="G630">
        <f>IF(ISBLANK('Data Input'!E630),"",'Data Input'!E630)</f>
        <v>34</v>
      </c>
      <c r="H630" t="str">
        <f>IF(ISBLANK('Data Input'!F630),"",'Data Input'!F630)</f>
        <v>White</v>
      </c>
      <c r="I630" t="str">
        <f>IF(ISBLANK('Data Input'!G630),"",'Data Input'!G630)</f>
        <v>Caesarean</v>
      </c>
      <c r="J630" t="str">
        <f>IF(ISBLANK('Data Input'!I630),"",'Data Input'!I630)</f>
        <v>8=15=18 0603</v>
      </c>
      <c r="K630" t="str">
        <f>IF(ISBLANK('Data Input'!J630),"",'Data Input'!J630)</f>
        <v>rr - Percocet</v>
      </c>
      <c r="L630">
        <f>IF(ISBLANK('Data Input'!K630),"",'Data Input'!K630)</f>
        <v>2</v>
      </c>
      <c r="M630">
        <f>IF(ISBLANK('Data Input'!L630),"",'Data Input'!L630)</f>
        <v>5</v>
      </c>
      <c r="N630">
        <f>IF(ISBLANK('Data Input'!M630),"",'Data Input'!M630)</f>
        <v>3</v>
      </c>
      <c r="O630" t="str">
        <f>IF(ISBLANK('Data Input'!N630),"",'Data Input'!N630)</f>
        <v/>
      </c>
      <c r="P630" t="str">
        <f>IF(ISBLANK('Data Input'!O630),"",'Data Input'!O630)</f>
        <v/>
      </c>
      <c r="Q630" t="str">
        <f>IF(ISBLANK('Data Input'!P630),"",'Data Input'!P630)</f>
        <v/>
      </c>
      <c r="R630" t="b">
        <f>IF(ISBLANK('Data Input'!Q630),"",'Data Input'!Q630)</f>
        <v>1</v>
      </c>
      <c r="T630" s="2">
        <f t="shared" si="38"/>
        <v>43325</v>
      </c>
      <c r="U630" s="12">
        <f t="shared" si="39"/>
        <v>0.67361111111111116</v>
      </c>
      <c r="V630" s="2">
        <f t="shared" si="40"/>
        <v>43327</v>
      </c>
      <c r="W630" s="12">
        <f t="shared" si="41"/>
        <v>0.59583333333333333</v>
      </c>
    </row>
    <row r="631" spans="1:23">
      <c r="A631">
        <f>IF(ISBLANK('Data Input'!A631),"",'Data Input'!A631)</f>
        <v>161</v>
      </c>
      <c r="B631" t="str">
        <f>IF(ISBLANK('Data Input'!B631),"",'Data Input'!B631)</f>
        <v>EB001</v>
      </c>
      <c r="C631" t="str">
        <f>IF(ISBLANK('Data Input'!C631),"",'Data Input'!C631)</f>
        <v>8/13/18 1610</v>
      </c>
      <c r="E631" t="str">
        <f>IF(ISBLANK('Data Input'!D631),"",'Data Input'!D631)</f>
        <v>8/15/18 1418</v>
      </c>
      <c r="G631">
        <f>IF(ISBLANK('Data Input'!E631),"",'Data Input'!E631)</f>
        <v>34</v>
      </c>
      <c r="H631" t="str">
        <f>IF(ISBLANK('Data Input'!F631),"",'Data Input'!F631)</f>
        <v>White</v>
      </c>
      <c r="I631" t="str">
        <f>IF(ISBLANK('Data Input'!G631),"",'Data Input'!G631)</f>
        <v>Caesarean</v>
      </c>
      <c r="J631" t="str">
        <f>IF(ISBLANK('Data Input'!I631),"",'Data Input'!I631)</f>
        <v>8=15=18 1013</v>
      </c>
      <c r="K631" t="str">
        <f>IF(ISBLANK('Data Input'!J631),"",'Data Input'!J631)</f>
        <v>rr - Percocet</v>
      </c>
      <c r="L631">
        <f>IF(ISBLANK('Data Input'!K631),"",'Data Input'!K631)</f>
        <v>2</v>
      </c>
      <c r="M631">
        <f>IF(ISBLANK('Data Input'!L631),"",'Data Input'!L631)</f>
        <v>4</v>
      </c>
      <c r="N631">
        <f>IF(ISBLANK('Data Input'!M631),"",'Data Input'!M631)</f>
        <v>2</v>
      </c>
      <c r="O631" t="str">
        <f>IF(ISBLANK('Data Input'!N631),"",'Data Input'!N631)</f>
        <v/>
      </c>
      <c r="P631" t="str">
        <f>IF(ISBLANK('Data Input'!O631),"",'Data Input'!O631)</f>
        <v/>
      </c>
      <c r="Q631" t="str">
        <f>IF(ISBLANK('Data Input'!P631),"",'Data Input'!P631)</f>
        <v/>
      </c>
      <c r="R631" t="b">
        <f>IF(ISBLANK('Data Input'!Q631),"",'Data Input'!Q631)</f>
        <v>1</v>
      </c>
      <c r="T631" s="2">
        <f t="shared" si="38"/>
        <v>43325</v>
      </c>
      <c r="U631" s="12">
        <f t="shared" si="39"/>
        <v>0.67361111111111116</v>
      </c>
      <c r="V631" s="2">
        <f t="shared" si="40"/>
        <v>43327</v>
      </c>
      <c r="W631" s="12">
        <f t="shared" si="41"/>
        <v>0.59583333333333333</v>
      </c>
    </row>
    <row r="632" spans="1:23">
      <c r="A632">
        <f>IF(ISBLANK('Data Input'!A632),"",'Data Input'!A632)</f>
        <v>161</v>
      </c>
      <c r="B632" t="str">
        <f>IF(ISBLANK('Data Input'!B632),"",'Data Input'!B632)</f>
        <v>EB001</v>
      </c>
      <c r="C632" t="str">
        <f>IF(ISBLANK('Data Input'!C632),"",'Data Input'!C632)</f>
        <v>8/13/18 1610</v>
      </c>
      <c r="E632" t="str">
        <f>IF(ISBLANK('Data Input'!D632),"",'Data Input'!D632)</f>
        <v>8/15/18 1418</v>
      </c>
      <c r="G632">
        <f>IF(ISBLANK('Data Input'!E632),"",'Data Input'!E632)</f>
        <v>34</v>
      </c>
      <c r="H632" t="str">
        <f>IF(ISBLANK('Data Input'!F632),"",'Data Input'!F632)</f>
        <v>White</v>
      </c>
      <c r="I632" t="str">
        <f>IF(ISBLANK('Data Input'!G632),"",'Data Input'!G632)</f>
        <v>Caesarean</v>
      </c>
      <c r="J632" t="str">
        <f>IF(ISBLANK('Data Input'!I632),"",'Data Input'!I632)</f>
        <v>8=15=18 1209</v>
      </c>
      <c r="K632" t="str">
        <f>IF(ISBLANK('Data Input'!J632),"",'Data Input'!J632)</f>
        <v>tr - Toradol</v>
      </c>
      <c r="L632">
        <f>IF(ISBLANK('Data Input'!K632),"",'Data Input'!K632)</f>
        <v>30</v>
      </c>
      <c r="M632">
        <f>IF(ISBLANK('Data Input'!L632),"",'Data Input'!L632)</f>
        <v>3</v>
      </c>
      <c r="N632">
        <f>IF(ISBLANK('Data Input'!M632),"",'Data Input'!M632)</f>
        <v>2</v>
      </c>
      <c r="O632" t="str">
        <f>IF(ISBLANK('Data Input'!N632),"",'Data Input'!N632)</f>
        <v/>
      </c>
      <c r="P632" t="str">
        <f>IF(ISBLANK('Data Input'!O632),"",'Data Input'!O632)</f>
        <v/>
      </c>
      <c r="Q632" t="str">
        <f>IF(ISBLANK('Data Input'!P632),"",'Data Input'!P632)</f>
        <v/>
      </c>
      <c r="R632" t="b">
        <f>IF(ISBLANK('Data Input'!Q632),"",'Data Input'!Q632)</f>
        <v>1</v>
      </c>
      <c r="T632" s="2">
        <f t="shared" si="38"/>
        <v>43325</v>
      </c>
      <c r="U632" s="12">
        <f t="shared" si="39"/>
        <v>0.67361111111111116</v>
      </c>
      <c r="V632" s="2">
        <f t="shared" si="40"/>
        <v>43327</v>
      </c>
      <c r="W632" s="12">
        <f t="shared" si="41"/>
        <v>0.59583333333333333</v>
      </c>
    </row>
    <row r="633" spans="1:23">
      <c r="A633">
        <f>IF(ISBLANK('Data Input'!A633),"",'Data Input'!A633)</f>
        <v>161</v>
      </c>
      <c r="B633" t="str">
        <f>IF(ISBLANK('Data Input'!B633),"",'Data Input'!B633)</f>
        <v>EB001</v>
      </c>
      <c r="C633" t="str">
        <f>IF(ISBLANK('Data Input'!C633),"",'Data Input'!C633)</f>
        <v>8/13/18 1610</v>
      </c>
      <c r="E633" t="str">
        <f>IF(ISBLANK('Data Input'!D633),"",'Data Input'!D633)</f>
        <v>8/15/18 1418</v>
      </c>
      <c r="G633">
        <f>IF(ISBLANK('Data Input'!E633),"",'Data Input'!E633)</f>
        <v>34</v>
      </c>
      <c r="H633" t="str">
        <f>IF(ISBLANK('Data Input'!F633),"",'Data Input'!F633)</f>
        <v>White</v>
      </c>
      <c r="I633" t="str">
        <f>IF(ISBLANK('Data Input'!G633),"",'Data Input'!G633)</f>
        <v>Caesarean</v>
      </c>
      <c r="J633" t="str">
        <f>IF(ISBLANK('Data Input'!I633),"",'Data Input'!I633)</f>
        <v>8=15=18 1418</v>
      </c>
      <c r="K633" t="str">
        <f>IF(ISBLANK('Data Input'!J633),"",'Data Input'!J633)</f>
        <v>rr - Percocet</v>
      </c>
      <c r="L633">
        <f>IF(ISBLANK('Data Input'!K633),"",'Data Input'!K633)</f>
        <v>1</v>
      </c>
      <c r="M633">
        <f>IF(ISBLANK('Data Input'!L633),"",'Data Input'!L633)</f>
        <v>3</v>
      </c>
      <c r="N633" t="str">
        <f>IF(ISBLANK('Data Input'!M633),"",'Data Input'!M633)</f>
        <v>dd - Missing Data</v>
      </c>
      <c r="O633" t="str">
        <f>IF(ISBLANK('Data Input'!N633),"",'Data Input'!N633)</f>
        <v/>
      </c>
      <c r="P633" t="str">
        <f>IF(ISBLANK('Data Input'!O633),"",'Data Input'!O633)</f>
        <v/>
      </c>
      <c r="Q633" t="str">
        <f>IF(ISBLANK('Data Input'!P633),"",'Data Input'!P633)</f>
        <v/>
      </c>
      <c r="R633" t="b">
        <f>IF(ISBLANK('Data Input'!Q633),"",'Data Input'!Q633)</f>
        <v>1</v>
      </c>
      <c r="T633" s="2">
        <f t="shared" si="38"/>
        <v>43325</v>
      </c>
      <c r="U633" s="12">
        <f t="shared" si="39"/>
        <v>0.67361111111111116</v>
      </c>
      <c r="V633" s="2">
        <f t="shared" si="40"/>
        <v>43327</v>
      </c>
      <c r="W633" s="12">
        <f t="shared" si="41"/>
        <v>0.59583333333333333</v>
      </c>
    </row>
    <row r="634" spans="1:23">
      <c r="A634">
        <f>IF(ISBLANK('Data Input'!A634),"",'Data Input'!A634)</f>
        <v>162</v>
      </c>
      <c r="B634" t="str">
        <f>IF(ISBLANK('Data Input'!B634),"",'Data Input'!B634)</f>
        <v>QA002</v>
      </c>
      <c r="C634" t="str">
        <f>IF(ISBLANK('Data Input'!C634),"",'Data Input'!C634)</f>
        <v>8/13/18 1706</v>
      </c>
      <c r="E634" t="str">
        <f>IF(ISBLANK('Data Input'!D634),"",'Data Input'!D634)</f>
        <v>8/15/18 1338</v>
      </c>
      <c r="G634">
        <f>IF(ISBLANK('Data Input'!E634),"",'Data Input'!E634)</f>
        <v>28</v>
      </c>
      <c r="H634" t="str">
        <f>IF(ISBLANK('Data Input'!F634),"",'Data Input'!F634)</f>
        <v>bb - Black</v>
      </c>
      <c r="I634" t="str">
        <f>IF(ISBLANK('Data Input'!G634),"",'Data Input'!G634)</f>
        <v>SVD</v>
      </c>
      <c r="J634" t="str">
        <f>IF(ISBLANK('Data Input'!I634),"",'Data Input'!I634)</f>
        <v>8=13=18 1940</v>
      </c>
      <c r="K634" t="str">
        <f>IF(ISBLANK('Data Input'!J634),"",'Data Input'!J634)</f>
        <v>bb - Ibuprofen</v>
      </c>
      <c r="L634">
        <f>IF(ISBLANK('Data Input'!K634),"",'Data Input'!K634)</f>
        <v>800</v>
      </c>
      <c r="M634">
        <f>IF(ISBLANK('Data Input'!L634),"",'Data Input'!L634)</f>
        <v>7</v>
      </c>
      <c r="N634">
        <f>IF(ISBLANK('Data Input'!M634),"",'Data Input'!M634)</f>
        <v>5</v>
      </c>
      <c r="O634" t="str">
        <f>IF(ISBLANK('Data Input'!N634),"",'Data Input'!N634)</f>
        <v/>
      </c>
      <c r="P634" t="str">
        <f>IF(ISBLANK('Data Input'!O634),"",'Data Input'!O634)</f>
        <v/>
      </c>
      <c r="Q634" t="str">
        <f>IF(ISBLANK('Data Input'!P634),"",'Data Input'!P634)</f>
        <v/>
      </c>
      <c r="R634" t="b">
        <f>IF(ISBLANK('Data Input'!Q634),"",'Data Input'!Q634)</f>
        <v>0</v>
      </c>
      <c r="T634" s="2">
        <f t="shared" si="38"/>
        <v>43325</v>
      </c>
      <c r="U634" s="12">
        <f t="shared" si="39"/>
        <v>0.71250000000000002</v>
      </c>
      <c r="V634" s="2">
        <f t="shared" si="40"/>
        <v>43327</v>
      </c>
      <c r="W634" s="12">
        <f t="shared" si="41"/>
        <v>0.56805555555555554</v>
      </c>
    </row>
    <row r="635" spans="1:23">
      <c r="A635">
        <f>IF(ISBLANK('Data Input'!A635),"",'Data Input'!A635)</f>
        <v>162</v>
      </c>
      <c r="B635" t="str">
        <f>IF(ISBLANK('Data Input'!B635),"",'Data Input'!B635)</f>
        <v>QA002</v>
      </c>
      <c r="C635" t="str">
        <f>IF(ISBLANK('Data Input'!C635),"",'Data Input'!C635)</f>
        <v>8/13/18 1706</v>
      </c>
      <c r="E635" t="str">
        <f>IF(ISBLANK('Data Input'!D635),"",'Data Input'!D635)</f>
        <v>8/15/18 1338</v>
      </c>
      <c r="G635">
        <f>IF(ISBLANK('Data Input'!E635),"",'Data Input'!E635)</f>
        <v>28</v>
      </c>
      <c r="H635" t="str">
        <f>IF(ISBLANK('Data Input'!F635),"",'Data Input'!F635)</f>
        <v>bb - Black</v>
      </c>
      <c r="I635" t="str">
        <f>IF(ISBLANK('Data Input'!G635),"",'Data Input'!G635)</f>
        <v>SVD</v>
      </c>
      <c r="J635" t="str">
        <f>IF(ISBLANK('Data Input'!I635),"",'Data Input'!I635)</f>
        <v>8=13=18 1940</v>
      </c>
      <c r="K635" t="str">
        <f>IF(ISBLANK('Data Input'!J635),"",'Data Input'!J635)</f>
        <v>cc - Norco</v>
      </c>
      <c r="L635">
        <f>IF(ISBLANK('Data Input'!K635),"",'Data Input'!K635)</f>
        <v>1</v>
      </c>
      <c r="M635">
        <f>IF(ISBLANK('Data Input'!L635),"",'Data Input'!L635)</f>
        <v>7</v>
      </c>
      <c r="N635">
        <f>IF(ISBLANK('Data Input'!M635),"",'Data Input'!M635)</f>
        <v>5</v>
      </c>
      <c r="O635" t="str">
        <f>IF(ISBLANK('Data Input'!N635),"",'Data Input'!N635)</f>
        <v/>
      </c>
      <c r="P635" t="str">
        <f>IF(ISBLANK('Data Input'!O635),"",'Data Input'!O635)</f>
        <v/>
      </c>
      <c r="Q635" t="str">
        <f>IF(ISBLANK('Data Input'!P635),"",'Data Input'!P635)</f>
        <v/>
      </c>
      <c r="R635" t="b">
        <f>IF(ISBLANK('Data Input'!Q635),"",'Data Input'!Q635)</f>
        <v>0</v>
      </c>
      <c r="T635" s="2">
        <f t="shared" si="38"/>
        <v>43325</v>
      </c>
      <c r="U635" s="12">
        <f t="shared" si="39"/>
        <v>0.71250000000000002</v>
      </c>
      <c r="V635" s="2">
        <f t="shared" si="40"/>
        <v>43327</v>
      </c>
      <c r="W635" s="12">
        <f t="shared" si="41"/>
        <v>0.56805555555555554</v>
      </c>
    </row>
    <row r="636" spans="1:23">
      <c r="A636">
        <f>IF(ISBLANK('Data Input'!A636),"",'Data Input'!A636)</f>
        <v>162</v>
      </c>
      <c r="B636" t="str">
        <f>IF(ISBLANK('Data Input'!B636),"",'Data Input'!B636)</f>
        <v>QA002</v>
      </c>
      <c r="C636" t="str">
        <f>IF(ISBLANK('Data Input'!C636),"",'Data Input'!C636)</f>
        <v>8/13/18 1706</v>
      </c>
      <c r="E636" t="str">
        <f>IF(ISBLANK('Data Input'!D636),"",'Data Input'!D636)</f>
        <v>8/15/18 1338</v>
      </c>
      <c r="G636">
        <f>IF(ISBLANK('Data Input'!E636),"",'Data Input'!E636)</f>
        <v>28</v>
      </c>
      <c r="H636" t="str">
        <f>IF(ISBLANK('Data Input'!F636),"",'Data Input'!F636)</f>
        <v>bb - Black</v>
      </c>
      <c r="I636" t="str">
        <f>IF(ISBLANK('Data Input'!G636),"",'Data Input'!G636)</f>
        <v>SVD</v>
      </c>
      <c r="J636" t="str">
        <f>IF(ISBLANK('Data Input'!I636),"",'Data Input'!I636)</f>
        <v>8=13=18 2018</v>
      </c>
      <c r="K636" t="str">
        <f>IF(ISBLANK('Data Input'!J636),"",'Data Input'!J636)</f>
        <v>cc - Norco</v>
      </c>
      <c r="L636">
        <f>IF(ISBLANK('Data Input'!K636),"",'Data Input'!K636)</f>
        <v>1</v>
      </c>
      <c r="M636">
        <f>IF(ISBLANK('Data Input'!L636),"",'Data Input'!L636)</f>
        <v>4</v>
      </c>
      <c r="N636">
        <f>IF(ISBLANK('Data Input'!M636),"",'Data Input'!M636)</f>
        <v>2</v>
      </c>
      <c r="O636" t="str">
        <f>IF(ISBLANK('Data Input'!N636),"",'Data Input'!N636)</f>
        <v/>
      </c>
      <c r="P636" t="str">
        <f>IF(ISBLANK('Data Input'!O636),"",'Data Input'!O636)</f>
        <v/>
      </c>
      <c r="Q636" t="str">
        <f>IF(ISBLANK('Data Input'!P636),"",'Data Input'!P636)</f>
        <v/>
      </c>
      <c r="R636" t="b">
        <f>IF(ISBLANK('Data Input'!Q636),"",'Data Input'!Q636)</f>
        <v>0</v>
      </c>
      <c r="T636" s="2">
        <f t="shared" si="38"/>
        <v>43325</v>
      </c>
      <c r="U636" s="12">
        <f t="shared" si="39"/>
        <v>0.71250000000000002</v>
      </c>
      <c r="V636" s="2">
        <f t="shared" si="40"/>
        <v>43327</v>
      </c>
      <c r="W636" s="12">
        <f t="shared" si="41"/>
        <v>0.56805555555555554</v>
      </c>
    </row>
    <row r="637" spans="1:23">
      <c r="A637">
        <f>IF(ISBLANK('Data Input'!A637),"",'Data Input'!A637)</f>
        <v>162</v>
      </c>
      <c r="B637" t="str">
        <f>IF(ISBLANK('Data Input'!B637),"",'Data Input'!B637)</f>
        <v>QA002</v>
      </c>
      <c r="C637" t="str">
        <f>IF(ISBLANK('Data Input'!C637),"",'Data Input'!C637)</f>
        <v>8/13/18 1706</v>
      </c>
      <c r="E637" t="str">
        <f>IF(ISBLANK('Data Input'!D637),"",'Data Input'!D637)</f>
        <v>8/15/18 1338</v>
      </c>
      <c r="G637">
        <f>IF(ISBLANK('Data Input'!E637),"",'Data Input'!E637)</f>
        <v>28</v>
      </c>
      <c r="H637" t="str">
        <f>IF(ISBLANK('Data Input'!F637),"",'Data Input'!F637)</f>
        <v>bb - Black</v>
      </c>
      <c r="I637" t="str">
        <f>IF(ISBLANK('Data Input'!G637),"",'Data Input'!G637)</f>
        <v>SVD</v>
      </c>
      <c r="J637" t="str">
        <f>IF(ISBLANK('Data Input'!I637),"",'Data Input'!I637)</f>
        <v>8=14=18 0012</v>
      </c>
      <c r="K637" t="str">
        <f>IF(ISBLANK('Data Input'!J637),"",'Data Input'!J637)</f>
        <v>rr - Percocet</v>
      </c>
      <c r="L637">
        <f>IF(ISBLANK('Data Input'!K637),"",'Data Input'!K637)</f>
        <v>2</v>
      </c>
      <c r="M637">
        <f>IF(ISBLANK('Data Input'!L637),"",'Data Input'!L637)</f>
        <v>4</v>
      </c>
      <c r="N637">
        <f>IF(ISBLANK('Data Input'!M637),"",'Data Input'!M637)</f>
        <v>2</v>
      </c>
      <c r="O637" t="str">
        <f>IF(ISBLANK('Data Input'!N637),"",'Data Input'!N637)</f>
        <v/>
      </c>
      <c r="P637" t="str">
        <f>IF(ISBLANK('Data Input'!O637),"",'Data Input'!O637)</f>
        <v/>
      </c>
      <c r="Q637" t="str">
        <f>IF(ISBLANK('Data Input'!P637),"",'Data Input'!P637)</f>
        <v/>
      </c>
      <c r="R637" t="b">
        <f>IF(ISBLANK('Data Input'!Q637),"",'Data Input'!Q637)</f>
        <v>0</v>
      </c>
      <c r="T637" s="2">
        <f t="shared" si="38"/>
        <v>43325</v>
      </c>
      <c r="U637" s="12">
        <f t="shared" si="39"/>
        <v>0.71250000000000002</v>
      </c>
      <c r="V637" s="2">
        <f t="shared" si="40"/>
        <v>43327</v>
      </c>
      <c r="W637" s="12">
        <f t="shared" si="41"/>
        <v>0.56805555555555554</v>
      </c>
    </row>
    <row r="638" spans="1:23">
      <c r="A638">
        <f>IF(ISBLANK('Data Input'!A638),"",'Data Input'!A638)</f>
        <v>162</v>
      </c>
      <c r="B638" t="str">
        <f>IF(ISBLANK('Data Input'!B638),"",'Data Input'!B638)</f>
        <v>QA002</v>
      </c>
      <c r="C638" t="str">
        <f>IF(ISBLANK('Data Input'!C638),"",'Data Input'!C638)</f>
        <v>8/13/18 1706</v>
      </c>
      <c r="E638" t="str">
        <f>IF(ISBLANK('Data Input'!D638),"",'Data Input'!D638)</f>
        <v>8/15/18 1338</v>
      </c>
      <c r="G638">
        <f>IF(ISBLANK('Data Input'!E638),"",'Data Input'!E638)</f>
        <v>28</v>
      </c>
      <c r="H638" t="str">
        <f>IF(ISBLANK('Data Input'!F638),"",'Data Input'!F638)</f>
        <v>bb - Black</v>
      </c>
      <c r="I638" t="str">
        <f>IF(ISBLANK('Data Input'!G638),"",'Data Input'!G638)</f>
        <v>SVD</v>
      </c>
      <c r="J638" t="str">
        <f>IF(ISBLANK('Data Input'!I638),"",'Data Input'!I638)</f>
        <v>8=14=18 0438</v>
      </c>
      <c r="K638" t="str">
        <f>IF(ISBLANK('Data Input'!J638),"",'Data Input'!J638)</f>
        <v>bb - Ibuprofen</v>
      </c>
      <c r="L638">
        <f>IF(ISBLANK('Data Input'!K638),"",'Data Input'!K638)</f>
        <v>800</v>
      </c>
      <c r="M638">
        <f>IF(ISBLANK('Data Input'!L638),"",'Data Input'!L638)</f>
        <v>4</v>
      </c>
      <c r="N638">
        <f>IF(ISBLANK('Data Input'!M638),"",'Data Input'!M638)</f>
        <v>2</v>
      </c>
      <c r="O638" t="str">
        <f>IF(ISBLANK('Data Input'!N638),"",'Data Input'!N638)</f>
        <v/>
      </c>
      <c r="P638" t="str">
        <f>IF(ISBLANK('Data Input'!O638),"",'Data Input'!O638)</f>
        <v/>
      </c>
      <c r="Q638" t="str">
        <f>IF(ISBLANK('Data Input'!P638),"",'Data Input'!P638)</f>
        <v/>
      </c>
      <c r="R638" t="b">
        <f>IF(ISBLANK('Data Input'!Q638),"",'Data Input'!Q638)</f>
        <v>0</v>
      </c>
      <c r="T638" s="2">
        <f t="shared" si="38"/>
        <v>43325</v>
      </c>
      <c r="U638" s="12">
        <f t="shared" si="39"/>
        <v>0.71250000000000002</v>
      </c>
      <c r="V638" s="2">
        <f t="shared" si="40"/>
        <v>43327</v>
      </c>
      <c r="W638" s="12">
        <f t="shared" si="41"/>
        <v>0.56805555555555554</v>
      </c>
    </row>
    <row r="639" spans="1:23">
      <c r="A639">
        <f>IF(ISBLANK('Data Input'!A639),"",'Data Input'!A639)</f>
        <v>162</v>
      </c>
      <c r="B639" t="str">
        <f>IF(ISBLANK('Data Input'!B639),"",'Data Input'!B639)</f>
        <v>QA002</v>
      </c>
      <c r="C639" t="str">
        <f>IF(ISBLANK('Data Input'!C639),"",'Data Input'!C639)</f>
        <v>8/13/18 1706</v>
      </c>
      <c r="E639" t="str">
        <f>IF(ISBLANK('Data Input'!D639),"",'Data Input'!D639)</f>
        <v>8/15/18 1338</v>
      </c>
      <c r="G639">
        <f>IF(ISBLANK('Data Input'!E639),"",'Data Input'!E639)</f>
        <v>28</v>
      </c>
      <c r="H639" t="str">
        <f>IF(ISBLANK('Data Input'!F639),"",'Data Input'!F639)</f>
        <v>bb - Black</v>
      </c>
      <c r="I639" t="str">
        <f>IF(ISBLANK('Data Input'!G639),"",'Data Input'!G639)</f>
        <v>SVD</v>
      </c>
      <c r="J639" t="str">
        <f>IF(ISBLANK('Data Input'!I639),"",'Data Input'!I639)</f>
        <v>8=14=18 0438</v>
      </c>
      <c r="K639" t="str">
        <f>IF(ISBLANK('Data Input'!J639),"",'Data Input'!J639)</f>
        <v>rr - Percocet</v>
      </c>
      <c r="L639">
        <f>IF(ISBLANK('Data Input'!K639),"",'Data Input'!K639)</f>
        <v>2</v>
      </c>
      <c r="M639">
        <f>IF(ISBLANK('Data Input'!L639),"",'Data Input'!L639)</f>
        <v>4</v>
      </c>
      <c r="N639">
        <f>IF(ISBLANK('Data Input'!M639),"",'Data Input'!M639)</f>
        <v>2</v>
      </c>
      <c r="O639" t="str">
        <f>IF(ISBLANK('Data Input'!N639),"",'Data Input'!N639)</f>
        <v/>
      </c>
      <c r="P639" t="str">
        <f>IF(ISBLANK('Data Input'!O639),"",'Data Input'!O639)</f>
        <v/>
      </c>
      <c r="Q639" t="str">
        <f>IF(ISBLANK('Data Input'!P639),"",'Data Input'!P639)</f>
        <v/>
      </c>
      <c r="R639" t="b">
        <f>IF(ISBLANK('Data Input'!Q639),"",'Data Input'!Q639)</f>
        <v>0</v>
      </c>
      <c r="T639" s="2">
        <f t="shared" si="38"/>
        <v>43325</v>
      </c>
      <c r="U639" s="12">
        <f t="shared" si="39"/>
        <v>0.71250000000000002</v>
      </c>
      <c r="V639" s="2">
        <f t="shared" si="40"/>
        <v>43327</v>
      </c>
      <c r="W639" s="12">
        <f t="shared" si="41"/>
        <v>0.56805555555555554</v>
      </c>
    </row>
    <row r="640" spans="1:23">
      <c r="A640">
        <f>IF(ISBLANK('Data Input'!A640),"",'Data Input'!A640)</f>
        <v>162</v>
      </c>
      <c r="B640" t="str">
        <f>IF(ISBLANK('Data Input'!B640),"",'Data Input'!B640)</f>
        <v>QA002</v>
      </c>
      <c r="C640" t="str">
        <f>IF(ISBLANK('Data Input'!C640),"",'Data Input'!C640)</f>
        <v>8/13/18 1706</v>
      </c>
      <c r="E640" t="str">
        <f>IF(ISBLANK('Data Input'!D640),"",'Data Input'!D640)</f>
        <v>8/15/18 1338</v>
      </c>
      <c r="G640">
        <f>IF(ISBLANK('Data Input'!E640),"",'Data Input'!E640)</f>
        <v>28</v>
      </c>
      <c r="H640" t="str">
        <f>IF(ISBLANK('Data Input'!F640),"",'Data Input'!F640)</f>
        <v>bb - Black</v>
      </c>
      <c r="I640" t="str">
        <f>IF(ISBLANK('Data Input'!G640),"",'Data Input'!G640)</f>
        <v>SVD</v>
      </c>
      <c r="J640" t="str">
        <f>IF(ISBLANK('Data Input'!I640),"",'Data Input'!I640)</f>
        <v>8=14=18 0855</v>
      </c>
      <c r="K640" t="str">
        <f>IF(ISBLANK('Data Input'!J640),"",'Data Input'!J640)</f>
        <v>rr - Percocet</v>
      </c>
      <c r="L640">
        <f>IF(ISBLANK('Data Input'!K640),"",'Data Input'!K640)</f>
        <v>2</v>
      </c>
      <c r="M640">
        <f>IF(ISBLANK('Data Input'!L640),"",'Data Input'!L640)</f>
        <v>6</v>
      </c>
      <c r="N640">
        <f>IF(ISBLANK('Data Input'!M640),"",'Data Input'!M640)</f>
        <v>2</v>
      </c>
      <c r="O640" t="str">
        <f>IF(ISBLANK('Data Input'!N640),"",'Data Input'!N640)</f>
        <v/>
      </c>
      <c r="P640" t="str">
        <f>IF(ISBLANK('Data Input'!O640),"",'Data Input'!O640)</f>
        <v/>
      </c>
      <c r="Q640" t="str">
        <f>IF(ISBLANK('Data Input'!P640),"",'Data Input'!P640)</f>
        <v/>
      </c>
      <c r="R640" t="b">
        <f>IF(ISBLANK('Data Input'!Q640),"",'Data Input'!Q640)</f>
        <v>0</v>
      </c>
      <c r="T640" s="2">
        <f t="shared" si="38"/>
        <v>43325</v>
      </c>
      <c r="U640" s="12">
        <f t="shared" si="39"/>
        <v>0.71250000000000002</v>
      </c>
      <c r="V640" s="2">
        <f t="shared" si="40"/>
        <v>43327</v>
      </c>
      <c r="W640" s="12">
        <f t="shared" si="41"/>
        <v>0.56805555555555554</v>
      </c>
    </row>
    <row r="641" spans="1:23">
      <c r="A641">
        <f>IF(ISBLANK('Data Input'!A641),"",'Data Input'!A641)</f>
        <v>162</v>
      </c>
      <c r="B641" t="str">
        <f>IF(ISBLANK('Data Input'!B641),"",'Data Input'!B641)</f>
        <v>QA002</v>
      </c>
      <c r="C641" t="str">
        <f>IF(ISBLANK('Data Input'!C641),"",'Data Input'!C641)</f>
        <v>8/13/18 1706</v>
      </c>
      <c r="E641" t="str">
        <f>IF(ISBLANK('Data Input'!D641),"",'Data Input'!D641)</f>
        <v>8/15/18 1338</v>
      </c>
      <c r="G641">
        <f>IF(ISBLANK('Data Input'!E641),"",'Data Input'!E641)</f>
        <v>28</v>
      </c>
      <c r="H641" t="str">
        <f>IF(ISBLANK('Data Input'!F641),"",'Data Input'!F641)</f>
        <v>bb - Black</v>
      </c>
      <c r="I641" t="str">
        <f>IF(ISBLANK('Data Input'!G641),"",'Data Input'!G641)</f>
        <v>SVD</v>
      </c>
      <c r="J641" t="str">
        <f>IF(ISBLANK('Data Input'!I641),"",'Data Input'!I641)</f>
        <v>8=14=18 1055</v>
      </c>
      <c r="K641" t="str">
        <f>IF(ISBLANK('Data Input'!J641),"",'Data Input'!J641)</f>
        <v>bb - Ibuprofen</v>
      </c>
      <c r="L641">
        <f>IF(ISBLANK('Data Input'!K641),"",'Data Input'!K641)</f>
        <v>800</v>
      </c>
      <c r="M641">
        <f>IF(ISBLANK('Data Input'!L641),"",'Data Input'!L641)</f>
        <v>2</v>
      </c>
      <c r="N641">
        <f>IF(ISBLANK('Data Input'!M641),"",'Data Input'!M641)</f>
        <v>2</v>
      </c>
      <c r="O641" t="str">
        <f>IF(ISBLANK('Data Input'!N641),"",'Data Input'!N641)</f>
        <v/>
      </c>
      <c r="P641" t="str">
        <f>IF(ISBLANK('Data Input'!O641),"",'Data Input'!O641)</f>
        <v/>
      </c>
      <c r="Q641" t="str">
        <f>IF(ISBLANK('Data Input'!P641),"",'Data Input'!P641)</f>
        <v/>
      </c>
      <c r="R641" t="b">
        <f>IF(ISBLANK('Data Input'!Q641),"",'Data Input'!Q641)</f>
        <v>0</v>
      </c>
      <c r="T641" s="2">
        <f t="shared" si="38"/>
        <v>43325</v>
      </c>
      <c r="U641" s="12">
        <f t="shared" si="39"/>
        <v>0.71250000000000002</v>
      </c>
      <c r="V641" s="2">
        <f t="shared" si="40"/>
        <v>43327</v>
      </c>
      <c r="W641" s="12">
        <f t="shared" si="41"/>
        <v>0.56805555555555554</v>
      </c>
    </row>
    <row r="642" spans="1:23">
      <c r="A642">
        <f>IF(ISBLANK('Data Input'!A642),"",'Data Input'!A642)</f>
        <v>162</v>
      </c>
      <c r="B642" t="str">
        <f>IF(ISBLANK('Data Input'!B642),"",'Data Input'!B642)</f>
        <v>QA002</v>
      </c>
      <c r="C642" t="str">
        <f>IF(ISBLANK('Data Input'!C642),"",'Data Input'!C642)</f>
        <v>8/13/18 1706</v>
      </c>
      <c r="E642" t="str">
        <f>IF(ISBLANK('Data Input'!D642),"",'Data Input'!D642)</f>
        <v>8/15/18 1338</v>
      </c>
      <c r="G642">
        <f>IF(ISBLANK('Data Input'!E642),"",'Data Input'!E642)</f>
        <v>28</v>
      </c>
      <c r="H642" t="str">
        <f>IF(ISBLANK('Data Input'!F642),"",'Data Input'!F642)</f>
        <v>bb - Black</v>
      </c>
      <c r="I642" t="str">
        <f>IF(ISBLANK('Data Input'!G642),"",'Data Input'!G642)</f>
        <v>SVD</v>
      </c>
      <c r="J642" t="str">
        <f>IF(ISBLANK('Data Input'!I642),"",'Data Input'!I642)</f>
        <v>8=14=18 1344</v>
      </c>
      <c r="K642" t="str">
        <f>IF(ISBLANK('Data Input'!J642),"",'Data Input'!J642)</f>
        <v>rr - Percocet</v>
      </c>
      <c r="L642">
        <f>IF(ISBLANK('Data Input'!K642),"",'Data Input'!K642)</f>
        <v>2</v>
      </c>
      <c r="M642">
        <f>IF(ISBLANK('Data Input'!L642),"",'Data Input'!L642)</f>
        <v>6</v>
      </c>
      <c r="N642">
        <f>IF(ISBLANK('Data Input'!M642),"",'Data Input'!M642)</f>
        <v>2</v>
      </c>
      <c r="O642" t="str">
        <f>IF(ISBLANK('Data Input'!N642),"",'Data Input'!N642)</f>
        <v/>
      </c>
      <c r="P642" t="str">
        <f>IF(ISBLANK('Data Input'!O642),"",'Data Input'!O642)</f>
        <v/>
      </c>
      <c r="Q642" t="str">
        <f>IF(ISBLANK('Data Input'!P642),"",'Data Input'!P642)</f>
        <v/>
      </c>
      <c r="R642" t="b">
        <f>IF(ISBLANK('Data Input'!Q642),"",'Data Input'!Q642)</f>
        <v>0</v>
      </c>
      <c r="T642" s="2">
        <f t="shared" si="38"/>
        <v>43325</v>
      </c>
      <c r="U642" s="12">
        <f t="shared" si="39"/>
        <v>0.71250000000000002</v>
      </c>
      <c r="V642" s="2">
        <f t="shared" si="40"/>
        <v>43327</v>
      </c>
      <c r="W642" s="12">
        <f t="shared" si="41"/>
        <v>0.56805555555555554</v>
      </c>
    </row>
    <row r="643" spans="1:23">
      <c r="A643">
        <f>IF(ISBLANK('Data Input'!A643),"",'Data Input'!A643)</f>
        <v>162</v>
      </c>
      <c r="B643" t="str">
        <f>IF(ISBLANK('Data Input'!B643),"",'Data Input'!B643)</f>
        <v>QA002</v>
      </c>
      <c r="C643" t="str">
        <f>IF(ISBLANK('Data Input'!C643),"",'Data Input'!C643)</f>
        <v>8/13/18 1706</v>
      </c>
      <c r="E643" t="str">
        <f>IF(ISBLANK('Data Input'!D643),"",'Data Input'!D643)</f>
        <v>8/15/18 1338</v>
      </c>
      <c r="G643">
        <f>IF(ISBLANK('Data Input'!E643),"",'Data Input'!E643)</f>
        <v>28</v>
      </c>
      <c r="H643" t="str">
        <f>IF(ISBLANK('Data Input'!F643),"",'Data Input'!F643)</f>
        <v>bb - Black</v>
      </c>
      <c r="I643" t="str">
        <f>IF(ISBLANK('Data Input'!G643),"",'Data Input'!G643)</f>
        <v>SVD</v>
      </c>
      <c r="J643" t="str">
        <f>IF(ISBLANK('Data Input'!I643),"",'Data Input'!I643)</f>
        <v>8=14=18 1750</v>
      </c>
      <c r="K643" t="str">
        <f>IF(ISBLANK('Data Input'!J643),"",'Data Input'!J643)</f>
        <v>rr - Percocet</v>
      </c>
      <c r="L643">
        <f>IF(ISBLANK('Data Input'!K643),"",'Data Input'!K643)</f>
        <v>2</v>
      </c>
      <c r="M643">
        <f>IF(ISBLANK('Data Input'!L643),"",'Data Input'!L643)</f>
        <v>5</v>
      </c>
      <c r="N643">
        <f>IF(ISBLANK('Data Input'!M643),"",'Data Input'!M643)</f>
        <v>2</v>
      </c>
      <c r="O643" t="str">
        <f>IF(ISBLANK('Data Input'!N643),"",'Data Input'!N643)</f>
        <v/>
      </c>
      <c r="P643" t="str">
        <f>IF(ISBLANK('Data Input'!O643),"",'Data Input'!O643)</f>
        <v/>
      </c>
      <c r="Q643" t="str">
        <f>IF(ISBLANK('Data Input'!P643),"",'Data Input'!P643)</f>
        <v/>
      </c>
      <c r="R643" t="b">
        <f>IF(ISBLANK('Data Input'!Q643),"",'Data Input'!Q643)</f>
        <v>0</v>
      </c>
      <c r="T643" s="2">
        <f t="shared" ref="T643:T706" si="42">DATEVALUE(LEFT(C643,FIND(" ",C643)))</f>
        <v>43325</v>
      </c>
      <c r="U643" s="12">
        <f t="shared" ref="U643:U706" si="43">TIMEVALUE(CONCATENATE(MID(C643,FIND(" ",C643)+1,2),":",RIGHT(C643,LEN(C643)-FIND(" ",C643)-2)))</f>
        <v>0.71250000000000002</v>
      </c>
      <c r="V643" s="2">
        <f t="shared" si="40"/>
        <v>43327</v>
      </c>
      <c r="W643" s="12">
        <f t="shared" si="41"/>
        <v>0.56805555555555554</v>
      </c>
    </row>
    <row r="644" spans="1:23">
      <c r="A644">
        <f>IF(ISBLANK('Data Input'!A644),"",'Data Input'!A644)</f>
        <v>162</v>
      </c>
      <c r="B644" t="str">
        <f>IF(ISBLANK('Data Input'!B644),"",'Data Input'!B644)</f>
        <v>QA002</v>
      </c>
      <c r="C644" t="str">
        <f>IF(ISBLANK('Data Input'!C644),"",'Data Input'!C644)</f>
        <v>8/13/18 1706</v>
      </c>
      <c r="E644" t="str">
        <f>IF(ISBLANK('Data Input'!D644),"",'Data Input'!D644)</f>
        <v>8/15/18 1338</v>
      </c>
      <c r="G644">
        <f>IF(ISBLANK('Data Input'!E644),"",'Data Input'!E644)</f>
        <v>28</v>
      </c>
      <c r="H644" t="str">
        <f>IF(ISBLANK('Data Input'!F644),"",'Data Input'!F644)</f>
        <v>bb - Black</v>
      </c>
      <c r="I644" t="str">
        <f>IF(ISBLANK('Data Input'!G644),"",'Data Input'!G644)</f>
        <v>SVD</v>
      </c>
      <c r="J644" t="str">
        <f>IF(ISBLANK('Data Input'!I644),"",'Data Input'!I644)</f>
        <v>8=14=18 2154</v>
      </c>
      <c r="K644" t="str">
        <f>IF(ISBLANK('Data Input'!J644),"",'Data Input'!J644)</f>
        <v>rr - Percocet</v>
      </c>
      <c r="L644">
        <f>IF(ISBLANK('Data Input'!K644),"",'Data Input'!K644)</f>
        <v>1</v>
      </c>
      <c r="M644">
        <f>IF(ISBLANK('Data Input'!L644),"",'Data Input'!L644)</f>
        <v>5</v>
      </c>
      <c r="N644">
        <f>IF(ISBLANK('Data Input'!M644),"",'Data Input'!M644)</f>
        <v>2</v>
      </c>
      <c r="O644" t="str">
        <f>IF(ISBLANK('Data Input'!N644),"",'Data Input'!N644)</f>
        <v/>
      </c>
      <c r="P644" t="str">
        <f>IF(ISBLANK('Data Input'!O644),"",'Data Input'!O644)</f>
        <v/>
      </c>
      <c r="Q644" t="str">
        <f>IF(ISBLANK('Data Input'!P644),"",'Data Input'!P644)</f>
        <v/>
      </c>
      <c r="R644" t="b">
        <f>IF(ISBLANK('Data Input'!Q644),"",'Data Input'!Q644)</f>
        <v>0</v>
      </c>
      <c r="T644" s="2">
        <f t="shared" si="42"/>
        <v>43325</v>
      </c>
      <c r="U644" s="12">
        <f t="shared" si="43"/>
        <v>0.71250000000000002</v>
      </c>
      <c r="V644" s="2">
        <f t="shared" si="40"/>
        <v>43327</v>
      </c>
      <c r="W644" s="12">
        <f t="shared" si="41"/>
        <v>0.56805555555555554</v>
      </c>
    </row>
    <row r="645" spans="1:23">
      <c r="A645">
        <f>IF(ISBLANK('Data Input'!A645),"",'Data Input'!A645)</f>
        <v>162</v>
      </c>
      <c r="B645" t="str">
        <f>IF(ISBLANK('Data Input'!B645),"",'Data Input'!B645)</f>
        <v>QA002</v>
      </c>
      <c r="C645" t="str">
        <f>IF(ISBLANK('Data Input'!C645),"",'Data Input'!C645)</f>
        <v>8/13/18 1706</v>
      </c>
      <c r="E645" t="str">
        <f>IF(ISBLANK('Data Input'!D645),"",'Data Input'!D645)</f>
        <v>8/15/18 1338</v>
      </c>
      <c r="G645">
        <f>IF(ISBLANK('Data Input'!E645),"",'Data Input'!E645)</f>
        <v>28</v>
      </c>
      <c r="H645" t="str">
        <f>IF(ISBLANK('Data Input'!F645),"",'Data Input'!F645)</f>
        <v>bb - Black</v>
      </c>
      <c r="I645" t="str">
        <f>IF(ISBLANK('Data Input'!G645),"",'Data Input'!G645)</f>
        <v>SVD</v>
      </c>
      <c r="J645" t="str">
        <f>IF(ISBLANK('Data Input'!I645),"",'Data Input'!I645)</f>
        <v>8=15=18 0125</v>
      </c>
      <c r="K645" t="str">
        <f>IF(ISBLANK('Data Input'!J645),"",'Data Input'!J645)</f>
        <v>bb - Ibuprofen</v>
      </c>
      <c r="L645">
        <f>IF(ISBLANK('Data Input'!K645),"",'Data Input'!K645)</f>
        <v>800</v>
      </c>
      <c r="M645" t="str">
        <f>IF(ISBLANK('Data Input'!L645),"",'Data Input'!L645)</f>
        <v>dd - Missing Data</v>
      </c>
      <c r="N645" t="str">
        <f>IF(ISBLANK('Data Input'!M645),"",'Data Input'!M645)</f>
        <v>dd - Missing Data</v>
      </c>
      <c r="O645" t="str">
        <f>IF(ISBLANK('Data Input'!N645),"",'Data Input'!N645)</f>
        <v/>
      </c>
      <c r="P645" t="str">
        <f>IF(ISBLANK('Data Input'!O645),"",'Data Input'!O645)</f>
        <v/>
      </c>
      <c r="Q645" t="str">
        <f>IF(ISBLANK('Data Input'!P645),"",'Data Input'!P645)</f>
        <v/>
      </c>
      <c r="R645" t="b">
        <f>IF(ISBLANK('Data Input'!Q645),"",'Data Input'!Q645)</f>
        <v>0</v>
      </c>
      <c r="T645" s="2">
        <f t="shared" si="42"/>
        <v>43325</v>
      </c>
      <c r="U645" s="12">
        <f t="shared" si="43"/>
        <v>0.71250000000000002</v>
      </c>
      <c r="V645" s="2">
        <f t="shared" si="40"/>
        <v>43327</v>
      </c>
      <c r="W645" s="12">
        <f t="shared" si="41"/>
        <v>0.56805555555555554</v>
      </c>
    </row>
    <row r="646" spans="1:23">
      <c r="A646">
        <f>IF(ISBLANK('Data Input'!A646),"",'Data Input'!A646)</f>
        <v>162</v>
      </c>
      <c r="B646" t="str">
        <f>IF(ISBLANK('Data Input'!B646),"",'Data Input'!B646)</f>
        <v>QA002</v>
      </c>
      <c r="C646" t="str">
        <f>IF(ISBLANK('Data Input'!C646),"",'Data Input'!C646)</f>
        <v>8/13/18 1706</v>
      </c>
      <c r="E646" t="str">
        <f>IF(ISBLANK('Data Input'!D646),"",'Data Input'!D646)</f>
        <v>8/15/18 1338</v>
      </c>
      <c r="G646">
        <f>IF(ISBLANK('Data Input'!E646),"",'Data Input'!E646)</f>
        <v>28</v>
      </c>
      <c r="H646" t="str">
        <f>IF(ISBLANK('Data Input'!F646),"",'Data Input'!F646)</f>
        <v>bb - Black</v>
      </c>
      <c r="I646" t="str">
        <f>IF(ISBLANK('Data Input'!G646),"",'Data Input'!G646)</f>
        <v>SVD</v>
      </c>
      <c r="J646" t="str">
        <f>IF(ISBLANK('Data Input'!I646),"",'Data Input'!I646)</f>
        <v>8=15=18 0220</v>
      </c>
      <c r="K646" t="str">
        <f>IF(ISBLANK('Data Input'!J646),"",'Data Input'!J646)</f>
        <v>rr - Percocet</v>
      </c>
      <c r="L646">
        <f>IF(ISBLANK('Data Input'!K646),"",'Data Input'!K646)</f>
        <v>1</v>
      </c>
      <c r="M646">
        <f>IF(ISBLANK('Data Input'!L646),"",'Data Input'!L646)</f>
        <v>5</v>
      </c>
      <c r="N646">
        <f>IF(ISBLANK('Data Input'!M646),"",'Data Input'!M646)</f>
        <v>0</v>
      </c>
      <c r="O646" t="str">
        <f>IF(ISBLANK('Data Input'!N646),"",'Data Input'!N646)</f>
        <v/>
      </c>
      <c r="P646" t="str">
        <f>IF(ISBLANK('Data Input'!O646),"",'Data Input'!O646)</f>
        <v/>
      </c>
      <c r="Q646" t="str">
        <f>IF(ISBLANK('Data Input'!P646),"",'Data Input'!P646)</f>
        <v/>
      </c>
      <c r="R646" t="b">
        <f>IF(ISBLANK('Data Input'!Q646),"",'Data Input'!Q646)</f>
        <v>0</v>
      </c>
      <c r="T646" s="2">
        <f t="shared" si="42"/>
        <v>43325</v>
      </c>
      <c r="U646" s="12">
        <f t="shared" si="43"/>
        <v>0.71250000000000002</v>
      </c>
      <c r="V646" s="2">
        <f t="shared" si="40"/>
        <v>43327</v>
      </c>
      <c r="W646" s="12">
        <f t="shared" si="41"/>
        <v>0.56805555555555554</v>
      </c>
    </row>
    <row r="647" spans="1:23">
      <c r="A647">
        <f>IF(ISBLANK('Data Input'!A647),"",'Data Input'!A647)</f>
        <v>162</v>
      </c>
      <c r="B647" t="str">
        <f>IF(ISBLANK('Data Input'!B647),"",'Data Input'!B647)</f>
        <v>QA002</v>
      </c>
      <c r="C647" t="str">
        <f>IF(ISBLANK('Data Input'!C647),"",'Data Input'!C647)</f>
        <v>8/13/18 1706</v>
      </c>
      <c r="E647" t="str">
        <f>IF(ISBLANK('Data Input'!D647),"",'Data Input'!D647)</f>
        <v>8/15/18 1338</v>
      </c>
      <c r="G647">
        <f>IF(ISBLANK('Data Input'!E647),"",'Data Input'!E647)</f>
        <v>28</v>
      </c>
      <c r="H647" t="str">
        <f>IF(ISBLANK('Data Input'!F647),"",'Data Input'!F647)</f>
        <v>bb - Black</v>
      </c>
      <c r="I647" t="str">
        <f>IF(ISBLANK('Data Input'!G647),"",'Data Input'!G647)</f>
        <v>SVD</v>
      </c>
      <c r="J647" t="str">
        <f>IF(ISBLANK('Data Input'!I647),"",'Data Input'!I647)</f>
        <v>8=15=18 0740</v>
      </c>
      <c r="K647" t="str">
        <f>IF(ISBLANK('Data Input'!J647),"",'Data Input'!J647)</f>
        <v>bb - Ibuprofen</v>
      </c>
      <c r="L647">
        <f>IF(ISBLANK('Data Input'!K647),"",'Data Input'!K647)</f>
        <v>800</v>
      </c>
      <c r="M647">
        <f>IF(ISBLANK('Data Input'!L647),"",'Data Input'!L647)</f>
        <v>7</v>
      </c>
      <c r="N647">
        <f>IF(ISBLANK('Data Input'!M647),"",'Data Input'!M647)</f>
        <v>0</v>
      </c>
      <c r="O647" t="str">
        <f>IF(ISBLANK('Data Input'!N647),"",'Data Input'!N647)</f>
        <v/>
      </c>
      <c r="P647" t="str">
        <f>IF(ISBLANK('Data Input'!O647),"",'Data Input'!O647)</f>
        <v/>
      </c>
      <c r="Q647" t="str">
        <f>IF(ISBLANK('Data Input'!P647),"",'Data Input'!P647)</f>
        <v/>
      </c>
      <c r="R647" t="b">
        <f>IF(ISBLANK('Data Input'!Q647),"",'Data Input'!Q647)</f>
        <v>0</v>
      </c>
      <c r="T647" s="2">
        <f t="shared" si="42"/>
        <v>43325</v>
      </c>
      <c r="U647" s="12">
        <f t="shared" si="43"/>
        <v>0.71250000000000002</v>
      </c>
      <c r="V647" s="2">
        <f t="shared" ref="V647:V710" si="44">IFERROR(DATEVALUE(LEFT(E647,FIND(" ",E647))),E647)</f>
        <v>43327</v>
      </c>
      <c r="W647" s="12">
        <f t="shared" ref="W647:W710" si="45">IFERROR(TIMEVALUE(CONCATENATE(MID(E647,FIND(" ",E647)+1,2),":",RIGHT(E647,LEN(E647)-FIND(" ",E647)-2))),E647)</f>
        <v>0.56805555555555554</v>
      </c>
    </row>
    <row r="648" spans="1:23">
      <c r="A648">
        <f>IF(ISBLANK('Data Input'!A648),"",'Data Input'!A648)</f>
        <v>162</v>
      </c>
      <c r="B648" t="str">
        <f>IF(ISBLANK('Data Input'!B648),"",'Data Input'!B648)</f>
        <v>QA002</v>
      </c>
      <c r="C648" t="str">
        <f>IF(ISBLANK('Data Input'!C648),"",'Data Input'!C648)</f>
        <v>8/13/18 1706</v>
      </c>
      <c r="E648" t="str">
        <f>IF(ISBLANK('Data Input'!D648),"",'Data Input'!D648)</f>
        <v>8/15/18 1338</v>
      </c>
      <c r="G648">
        <f>IF(ISBLANK('Data Input'!E648),"",'Data Input'!E648)</f>
        <v>28</v>
      </c>
      <c r="H648" t="str">
        <f>IF(ISBLANK('Data Input'!F648),"",'Data Input'!F648)</f>
        <v>bb - Black</v>
      </c>
      <c r="I648" t="str">
        <f>IF(ISBLANK('Data Input'!G648),"",'Data Input'!G648)</f>
        <v>SVD</v>
      </c>
      <c r="J648" t="str">
        <f>IF(ISBLANK('Data Input'!I648),"",'Data Input'!I648)</f>
        <v>8=15=18 1017</v>
      </c>
      <c r="K648" t="str">
        <f>IF(ISBLANK('Data Input'!J648),"",'Data Input'!J648)</f>
        <v>rr - Percocet</v>
      </c>
      <c r="L648">
        <f>IF(ISBLANK('Data Input'!K648),"",'Data Input'!K648)</f>
        <v>1</v>
      </c>
      <c r="M648">
        <f>IF(ISBLANK('Data Input'!L648),"",'Data Input'!L648)</f>
        <v>8</v>
      </c>
      <c r="N648">
        <f>IF(ISBLANK('Data Input'!M648),"",'Data Input'!M648)</f>
        <v>0</v>
      </c>
      <c r="O648" t="str">
        <f>IF(ISBLANK('Data Input'!N648),"",'Data Input'!N648)</f>
        <v/>
      </c>
      <c r="P648" t="str">
        <f>IF(ISBLANK('Data Input'!O648),"",'Data Input'!O648)</f>
        <v/>
      </c>
      <c r="Q648" t="str">
        <f>IF(ISBLANK('Data Input'!P648),"",'Data Input'!P648)</f>
        <v/>
      </c>
      <c r="R648" t="b">
        <f>IF(ISBLANK('Data Input'!Q648),"",'Data Input'!Q648)</f>
        <v>0</v>
      </c>
      <c r="T648" s="2">
        <f t="shared" si="42"/>
        <v>43325</v>
      </c>
      <c r="U648" s="12">
        <f t="shared" si="43"/>
        <v>0.71250000000000002</v>
      </c>
      <c r="V648" s="2">
        <f t="shared" si="44"/>
        <v>43327</v>
      </c>
      <c r="W648" s="12">
        <f t="shared" si="45"/>
        <v>0.56805555555555554</v>
      </c>
    </row>
    <row r="649" spans="1:23">
      <c r="A649">
        <f>IF(ISBLANK('Data Input'!A649),"",'Data Input'!A649)</f>
        <v>163</v>
      </c>
      <c r="B649" t="str">
        <f>IF(ISBLANK('Data Input'!B649),"",'Data Input'!B649)</f>
        <v>RT003</v>
      </c>
      <c r="C649" t="str">
        <f>IF(ISBLANK('Data Input'!C649),"",'Data Input'!C649)</f>
        <v>8/07/18 0756</v>
      </c>
      <c r="E649" t="str">
        <f>IF(ISBLANK('Data Input'!D649),"",'Data Input'!D649)</f>
        <v>08/10/18 1137</v>
      </c>
      <c r="G649">
        <f>IF(ISBLANK('Data Input'!E649),"",'Data Input'!E649)</f>
        <v>29</v>
      </c>
      <c r="H649" t="str">
        <f>IF(ISBLANK('Data Input'!F649),"",'Data Input'!F649)</f>
        <v>bb - Black</v>
      </c>
      <c r="I649" t="str">
        <f>IF(ISBLANK('Data Input'!G649),"",'Data Input'!G649)</f>
        <v>Caesarean</v>
      </c>
      <c r="J649" t="str">
        <f>IF(ISBLANK('Data Input'!I649),"",'Data Input'!I649)</f>
        <v>8=07=18 1642</v>
      </c>
      <c r="K649" t="str">
        <f>IF(ISBLANK('Data Input'!J649),"",'Data Input'!J649)</f>
        <v>bb - Ibuprofen</v>
      </c>
      <c r="L649">
        <f>IF(ISBLANK('Data Input'!K649),"",'Data Input'!K649)</f>
        <v>800</v>
      </c>
      <c r="M649" t="str">
        <f>IF(ISBLANK('Data Input'!L649),"",'Data Input'!L649)</f>
        <v>dd - Missing Data</v>
      </c>
      <c r="N649" t="str">
        <f>IF(ISBLANK('Data Input'!M649),"",'Data Input'!M649)</f>
        <v>dd - Missing Data</v>
      </c>
      <c r="O649" t="str">
        <f>IF(ISBLANK('Data Input'!N649),"",'Data Input'!N649)</f>
        <v/>
      </c>
      <c r="P649" t="str">
        <f>IF(ISBLANK('Data Input'!O649),"",'Data Input'!O649)</f>
        <v/>
      </c>
      <c r="Q649" t="str">
        <f>IF(ISBLANK('Data Input'!P649),"",'Data Input'!P649)</f>
        <v/>
      </c>
      <c r="R649" t="b">
        <f>IF(ISBLANK('Data Input'!Q649),"",'Data Input'!Q649)</f>
        <v>1</v>
      </c>
      <c r="T649" s="2">
        <f t="shared" si="42"/>
        <v>43319</v>
      </c>
      <c r="U649" s="12">
        <f t="shared" si="43"/>
        <v>0.33055555555555555</v>
      </c>
      <c r="V649" s="2">
        <f t="shared" si="44"/>
        <v>43322</v>
      </c>
      <c r="W649" s="12">
        <f t="shared" si="45"/>
        <v>0.48402777777777778</v>
      </c>
    </row>
    <row r="650" spans="1:23">
      <c r="A650">
        <f>IF(ISBLANK('Data Input'!A650),"",'Data Input'!A650)</f>
        <v>163</v>
      </c>
      <c r="B650" t="str">
        <f>IF(ISBLANK('Data Input'!B650),"",'Data Input'!B650)</f>
        <v>RT003</v>
      </c>
      <c r="C650" t="str">
        <f>IF(ISBLANK('Data Input'!C650),"",'Data Input'!C650)</f>
        <v>8/07/18 0756</v>
      </c>
      <c r="E650" t="str">
        <f>IF(ISBLANK('Data Input'!D650),"",'Data Input'!D650)</f>
        <v>08/10/18 1137</v>
      </c>
      <c r="G650">
        <f>IF(ISBLANK('Data Input'!E650),"",'Data Input'!E650)</f>
        <v>29</v>
      </c>
      <c r="H650" t="str">
        <f>IF(ISBLANK('Data Input'!F650),"",'Data Input'!F650)</f>
        <v>bb - Black</v>
      </c>
      <c r="I650" t="str">
        <f>IF(ISBLANK('Data Input'!G650),"",'Data Input'!G650)</f>
        <v>Caesarean</v>
      </c>
      <c r="J650" t="str">
        <f>IF(ISBLANK('Data Input'!I650),"",'Data Input'!I650)</f>
        <v>8=08=18 0013</v>
      </c>
      <c r="K650" t="str">
        <f>IF(ISBLANK('Data Input'!J650),"",'Data Input'!J650)</f>
        <v>bb - Ibuprofen</v>
      </c>
      <c r="L650">
        <f>IF(ISBLANK('Data Input'!K650),"",'Data Input'!K650)</f>
        <v>800</v>
      </c>
      <c r="M650" t="str">
        <f>IF(ISBLANK('Data Input'!L650),"",'Data Input'!L650)</f>
        <v>dd - Missing Data</v>
      </c>
      <c r="N650" t="str">
        <f>IF(ISBLANK('Data Input'!M650),"",'Data Input'!M650)</f>
        <v>dd - Missing Data</v>
      </c>
      <c r="O650" t="str">
        <f>IF(ISBLANK('Data Input'!N650),"",'Data Input'!N650)</f>
        <v/>
      </c>
      <c r="P650" t="str">
        <f>IF(ISBLANK('Data Input'!O650),"",'Data Input'!O650)</f>
        <v/>
      </c>
      <c r="Q650" t="str">
        <f>IF(ISBLANK('Data Input'!P650),"",'Data Input'!P650)</f>
        <v/>
      </c>
      <c r="R650" t="b">
        <f>IF(ISBLANK('Data Input'!Q650),"",'Data Input'!Q650)</f>
        <v>1</v>
      </c>
      <c r="T650" s="2">
        <f t="shared" si="42"/>
        <v>43319</v>
      </c>
      <c r="U650" s="12">
        <f t="shared" si="43"/>
        <v>0.33055555555555555</v>
      </c>
      <c r="V650" s="2">
        <f t="shared" si="44"/>
        <v>43322</v>
      </c>
      <c r="W650" s="12">
        <f t="shared" si="45"/>
        <v>0.48402777777777778</v>
      </c>
    </row>
    <row r="651" spans="1:23">
      <c r="A651">
        <f>IF(ISBLANK('Data Input'!A651),"",'Data Input'!A651)</f>
        <v>163</v>
      </c>
      <c r="B651" t="str">
        <f>IF(ISBLANK('Data Input'!B651),"",'Data Input'!B651)</f>
        <v>RT003</v>
      </c>
      <c r="C651" t="str">
        <f>IF(ISBLANK('Data Input'!C651),"",'Data Input'!C651)</f>
        <v>8/07/18 0756</v>
      </c>
      <c r="E651" t="str">
        <f>IF(ISBLANK('Data Input'!D651),"",'Data Input'!D651)</f>
        <v>08/10/18 1137</v>
      </c>
      <c r="G651">
        <f>IF(ISBLANK('Data Input'!E651),"",'Data Input'!E651)</f>
        <v>29</v>
      </c>
      <c r="H651" t="str">
        <f>IF(ISBLANK('Data Input'!F651),"",'Data Input'!F651)</f>
        <v>bb - Black</v>
      </c>
      <c r="I651" t="str">
        <f>IF(ISBLANK('Data Input'!G651),"",'Data Input'!G651)</f>
        <v>Caesarean</v>
      </c>
      <c r="J651" t="str">
        <f>IF(ISBLANK('Data Input'!I651),"",'Data Input'!I651)</f>
        <v>8=08=18 0820</v>
      </c>
      <c r="K651" t="str">
        <f>IF(ISBLANK('Data Input'!J651),"",'Data Input'!J651)</f>
        <v>bb - Ibuprofen</v>
      </c>
      <c r="L651">
        <f>IF(ISBLANK('Data Input'!K651),"",'Data Input'!K651)</f>
        <v>800</v>
      </c>
      <c r="M651">
        <f>IF(ISBLANK('Data Input'!L651),"",'Data Input'!L651)</f>
        <v>7</v>
      </c>
      <c r="N651">
        <f>IF(ISBLANK('Data Input'!M651),"",'Data Input'!M651)</f>
        <v>5</v>
      </c>
      <c r="O651" t="str">
        <f>IF(ISBLANK('Data Input'!N651),"",'Data Input'!N651)</f>
        <v/>
      </c>
      <c r="P651" t="str">
        <f>IF(ISBLANK('Data Input'!O651),"",'Data Input'!O651)</f>
        <v/>
      </c>
      <c r="Q651" t="str">
        <f>IF(ISBLANK('Data Input'!P651),"",'Data Input'!P651)</f>
        <v/>
      </c>
      <c r="R651" t="b">
        <f>IF(ISBLANK('Data Input'!Q651),"",'Data Input'!Q651)</f>
        <v>1</v>
      </c>
      <c r="T651" s="2">
        <f t="shared" si="42"/>
        <v>43319</v>
      </c>
      <c r="U651" s="12">
        <f t="shared" si="43"/>
        <v>0.33055555555555555</v>
      </c>
      <c r="V651" s="2">
        <f t="shared" si="44"/>
        <v>43322</v>
      </c>
      <c r="W651" s="12">
        <f t="shared" si="45"/>
        <v>0.48402777777777778</v>
      </c>
    </row>
    <row r="652" spans="1:23">
      <c r="A652">
        <f>IF(ISBLANK('Data Input'!A652),"",'Data Input'!A652)</f>
        <v>163</v>
      </c>
      <c r="B652" t="str">
        <f>IF(ISBLANK('Data Input'!B652),"",'Data Input'!B652)</f>
        <v>RT003</v>
      </c>
      <c r="C652" t="str">
        <f>IF(ISBLANK('Data Input'!C652),"",'Data Input'!C652)</f>
        <v>8/07/18 0756</v>
      </c>
      <c r="E652" t="str">
        <f>IF(ISBLANK('Data Input'!D652),"",'Data Input'!D652)</f>
        <v>08/10/18 1137</v>
      </c>
      <c r="G652">
        <f>IF(ISBLANK('Data Input'!E652),"",'Data Input'!E652)</f>
        <v>29</v>
      </c>
      <c r="H652" t="str">
        <f>IF(ISBLANK('Data Input'!F652),"",'Data Input'!F652)</f>
        <v>bb - Black</v>
      </c>
      <c r="I652" t="str">
        <f>IF(ISBLANK('Data Input'!G652),"",'Data Input'!G652)</f>
        <v>Caesarean</v>
      </c>
      <c r="J652" t="str">
        <f>IF(ISBLANK('Data Input'!I652),"",'Data Input'!I652)</f>
        <v>8=08=18 1404</v>
      </c>
      <c r="K652" t="str">
        <f>IF(ISBLANK('Data Input'!J652),"",'Data Input'!J652)</f>
        <v>bb - Ibuprofen</v>
      </c>
      <c r="L652">
        <f>IF(ISBLANK('Data Input'!K652),"",'Data Input'!K652)</f>
        <v>800</v>
      </c>
      <c r="M652">
        <f>IF(ISBLANK('Data Input'!L652),"",'Data Input'!L652)</f>
        <v>6</v>
      </c>
      <c r="N652">
        <f>IF(ISBLANK('Data Input'!M652),"",'Data Input'!M652)</f>
        <v>4</v>
      </c>
      <c r="O652" t="str">
        <f>IF(ISBLANK('Data Input'!N652),"",'Data Input'!N652)</f>
        <v/>
      </c>
      <c r="P652" t="str">
        <f>IF(ISBLANK('Data Input'!O652),"",'Data Input'!O652)</f>
        <v/>
      </c>
      <c r="Q652" t="str">
        <f>IF(ISBLANK('Data Input'!P652),"",'Data Input'!P652)</f>
        <v/>
      </c>
      <c r="R652" t="b">
        <f>IF(ISBLANK('Data Input'!Q652),"",'Data Input'!Q652)</f>
        <v>1</v>
      </c>
      <c r="T652" s="2">
        <f t="shared" si="42"/>
        <v>43319</v>
      </c>
      <c r="U652" s="12">
        <f t="shared" si="43"/>
        <v>0.33055555555555555</v>
      </c>
      <c r="V652" s="2">
        <f t="shared" si="44"/>
        <v>43322</v>
      </c>
      <c r="W652" s="12">
        <f t="shared" si="45"/>
        <v>0.48402777777777778</v>
      </c>
    </row>
    <row r="653" spans="1:23">
      <c r="A653">
        <f>IF(ISBLANK('Data Input'!A653),"",'Data Input'!A653)</f>
        <v>163</v>
      </c>
      <c r="B653" t="str">
        <f>IF(ISBLANK('Data Input'!B653),"",'Data Input'!B653)</f>
        <v>RT003</v>
      </c>
      <c r="C653" t="str">
        <f>IF(ISBLANK('Data Input'!C653),"",'Data Input'!C653)</f>
        <v>8/07/18 0756</v>
      </c>
      <c r="E653" t="str">
        <f>IF(ISBLANK('Data Input'!D653),"",'Data Input'!D653)</f>
        <v>08/10/18 1137</v>
      </c>
      <c r="G653">
        <f>IF(ISBLANK('Data Input'!E653),"",'Data Input'!E653)</f>
        <v>29</v>
      </c>
      <c r="H653" t="str">
        <f>IF(ISBLANK('Data Input'!F653),"",'Data Input'!F653)</f>
        <v>bb - Black</v>
      </c>
      <c r="I653" t="str">
        <f>IF(ISBLANK('Data Input'!G653),"",'Data Input'!G653)</f>
        <v>Caesarean</v>
      </c>
      <c r="J653" t="str">
        <f>IF(ISBLANK('Data Input'!I653),"",'Data Input'!I653)</f>
        <v>8=08=18 1404</v>
      </c>
      <c r="K653" t="str">
        <f>IF(ISBLANK('Data Input'!J653),"",'Data Input'!J653)</f>
        <v>rr - Percocet</v>
      </c>
      <c r="L653">
        <f>IF(ISBLANK('Data Input'!K653),"",'Data Input'!K653)</f>
        <v>1</v>
      </c>
      <c r="M653">
        <f>IF(ISBLANK('Data Input'!L653),"",'Data Input'!L653)</f>
        <v>6</v>
      </c>
      <c r="N653">
        <f>IF(ISBLANK('Data Input'!M653),"",'Data Input'!M653)</f>
        <v>4</v>
      </c>
      <c r="O653" t="str">
        <f>IF(ISBLANK('Data Input'!N653),"",'Data Input'!N653)</f>
        <v/>
      </c>
      <c r="P653" t="str">
        <f>IF(ISBLANK('Data Input'!O653),"",'Data Input'!O653)</f>
        <v/>
      </c>
      <c r="Q653" t="str">
        <f>IF(ISBLANK('Data Input'!P653),"",'Data Input'!P653)</f>
        <v/>
      </c>
      <c r="R653" t="b">
        <f>IF(ISBLANK('Data Input'!Q653),"",'Data Input'!Q653)</f>
        <v>1</v>
      </c>
      <c r="T653" s="2">
        <f t="shared" si="42"/>
        <v>43319</v>
      </c>
      <c r="U653" s="12">
        <f t="shared" si="43"/>
        <v>0.33055555555555555</v>
      </c>
      <c r="V653" s="2">
        <f t="shared" si="44"/>
        <v>43322</v>
      </c>
      <c r="W653" s="12">
        <f t="shared" si="45"/>
        <v>0.48402777777777778</v>
      </c>
    </row>
    <row r="654" spans="1:23">
      <c r="A654">
        <f>IF(ISBLANK('Data Input'!A654),"",'Data Input'!A654)</f>
        <v>163</v>
      </c>
      <c r="B654" t="str">
        <f>IF(ISBLANK('Data Input'!B654),"",'Data Input'!B654)</f>
        <v>RT003</v>
      </c>
      <c r="C654" t="str">
        <f>IF(ISBLANK('Data Input'!C654),"",'Data Input'!C654)</f>
        <v>8/07/18 0756</v>
      </c>
      <c r="E654" t="str">
        <f>IF(ISBLANK('Data Input'!D654),"",'Data Input'!D654)</f>
        <v>08/10/18 1137</v>
      </c>
      <c r="G654">
        <f>IF(ISBLANK('Data Input'!E654),"",'Data Input'!E654)</f>
        <v>29</v>
      </c>
      <c r="H654" t="str">
        <f>IF(ISBLANK('Data Input'!F654),"",'Data Input'!F654)</f>
        <v>bb - Black</v>
      </c>
      <c r="I654" t="str">
        <f>IF(ISBLANK('Data Input'!G654),"",'Data Input'!G654)</f>
        <v>Caesarean</v>
      </c>
      <c r="J654" t="str">
        <f>IF(ISBLANK('Data Input'!I654),"",'Data Input'!I654)</f>
        <v>8=08=18 2001</v>
      </c>
      <c r="K654" t="str">
        <f>IF(ISBLANK('Data Input'!J654),"",'Data Input'!J654)</f>
        <v>bb - Ibuprofen</v>
      </c>
      <c r="L654">
        <f>IF(ISBLANK('Data Input'!K654),"",'Data Input'!K654)</f>
        <v>800</v>
      </c>
      <c r="M654">
        <f>IF(ISBLANK('Data Input'!L654),"",'Data Input'!L654)</f>
        <v>10</v>
      </c>
      <c r="N654">
        <f>IF(ISBLANK('Data Input'!M654),"",'Data Input'!M654)</f>
        <v>3</v>
      </c>
      <c r="O654" t="str">
        <f>IF(ISBLANK('Data Input'!N654),"",'Data Input'!N654)</f>
        <v/>
      </c>
      <c r="P654" t="str">
        <f>IF(ISBLANK('Data Input'!O654),"",'Data Input'!O654)</f>
        <v/>
      </c>
      <c r="Q654" t="str">
        <f>IF(ISBLANK('Data Input'!P654),"",'Data Input'!P654)</f>
        <v/>
      </c>
      <c r="R654" t="b">
        <f>IF(ISBLANK('Data Input'!Q654),"",'Data Input'!Q654)</f>
        <v>1</v>
      </c>
      <c r="T654" s="2">
        <f t="shared" si="42"/>
        <v>43319</v>
      </c>
      <c r="U654" s="12">
        <f t="shared" si="43"/>
        <v>0.33055555555555555</v>
      </c>
      <c r="V654" s="2">
        <f t="shared" si="44"/>
        <v>43322</v>
      </c>
      <c r="W654" s="12">
        <f t="shared" si="45"/>
        <v>0.48402777777777778</v>
      </c>
    </row>
    <row r="655" spans="1:23">
      <c r="A655">
        <f>IF(ISBLANK('Data Input'!A655),"",'Data Input'!A655)</f>
        <v>163</v>
      </c>
      <c r="B655" t="str">
        <f>IF(ISBLANK('Data Input'!B655),"",'Data Input'!B655)</f>
        <v>RT003</v>
      </c>
      <c r="C655" t="str">
        <f>IF(ISBLANK('Data Input'!C655),"",'Data Input'!C655)</f>
        <v>8/07/18 0756</v>
      </c>
      <c r="E655" t="str">
        <f>IF(ISBLANK('Data Input'!D655),"",'Data Input'!D655)</f>
        <v>08/10/18 1137</v>
      </c>
      <c r="G655">
        <f>IF(ISBLANK('Data Input'!E655),"",'Data Input'!E655)</f>
        <v>29</v>
      </c>
      <c r="H655" t="str">
        <f>IF(ISBLANK('Data Input'!F655),"",'Data Input'!F655)</f>
        <v>bb - Black</v>
      </c>
      <c r="I655" t="str">
        <f>IF(ISBLANK('Data Input'!G655),"",'Data Input'!G655)</f>
        <v>Caesarean</v>
      </c>
      <c r="J655" t="str">
        <f>IF(ISBLANK('Data Input'!I655),"",'Data Input'!I655)</f>
        <v>8=08=18 2001</v>
      </c>
      <c r="K655" t="str">
        <f>IF(ISBLANK('Data Input'!J655),"",'Data Input'!J655)</f>
        <v>rr - Percocet</v>
      </c>
      <c r="L655">
        <f>IF(ISBLANK('Data Input'!K655),"",'Data Input'!K655)</f>
        <v>1</v>
      </c>
      <c r="M655">
        <f>IF(ISBLANK('Data Input'!L655),"",'Data Input'!L655)</f>
        <v>10</v>
      </c>
      <c r="N655">
        <f>IF(ISBLANK('Data Input'!M655),"",'Data Input'!M655)</f>
        <v>3</v>
      </c>
      <c r="O655" t="str">
        <f>IF(ISBLANK('Data Input'!N655),"",'Data Input'!N655)</f>
        <v/>
      </c>
      <c r="P655" t="str">
        <f>IF(ISBLANK('Data Input'!O655),"",'Data Input'!O655)</f>
        <v/>
      </c>
      <c r="Q655" t="str">
        <f>IF(ISBLANK('Data Input'!P655),"",'Data Input'!P655)</f>
        <v/>
      </c>
      <c r="R655" t="b">
        <f>IF(ISBLANK('Data Input'!Q655),"",'Data Input'!Q655)</f>
        <v>1</v>
      </c>
      <c r="T655" s="2">
        <f t="shared" si="42"/>
        <v>43319</v>
      </c>
      <c r="U655" s="12">
        <f t="shared" si="43"/>
        <v>0.33055555555555555</v>
      </c>
      <c r="V655" s="2">
        <f t="shared" si="44"/>
        <v>43322</v>
      </c>
      <c r="W655" s="12">
        <f t="shared" si="45"/>
        <v>0.48402777777777778</v>
      </c>
    </row>
    <row r="656" spans="1:23">
      <c r="A656">
        <f>IF(ISBLANK('Data Input'!A656),"",'Data Input'!A656)</f>
        <v>163</v>
      </c>
      <c r="B656" t="str">
        <f>IF(ISBLANK('Data Input'!B656),"",'Data Input'!B656)</f>
        <v>RT003</v>
      </c>
      <c r="C656" t="str">
        <f>IF(ISBLANK('Data Input'!C656),"",'Data Input'!C656)</f>
        <v>8/07/18 0756</v>
      </c>
      <c r="E656" t="str">
        <f>IF(ISBLANK('Data Input'!D656),"",'Data Input'!D656)</f>
        <v>08/10/18 1137</v>
      </c>
      <c r="G656">
        <f>IF(ISBLANK('Data Input'!E656),"",'Data Input'!E656)</f>
        <v>29</v>
      </c>
      <c r="H656" t="str">
        <f>IF(ISBLANK('Data Input'!F656),"",'Data Input'!F656)</f>
        <v>bb - Black</v>
      </c>
      <c r="I656" t="str">
        <f>IF(ISBLANK('Data Input'!G656),"",'Data Input'!G656)</f>
        <v>Caesarean</v>
      </c>
      <c r="J656" t="str">
        <f>IF(ISBLANK('Data Input'!I656),"",'Data Input'!I656)</f>
        <v>8=09=18 0713</v>
      </c>
      <c r="K656" t="str">
        <f>IF(ISBLANK('Data Input'!J656),"",'Data Input'!J656)</f>
        <v>bb - Ibuprofen</v>
      </c>
      <c r="L656">
        <f>IF(ISBLANK('Data Input'!K656),"",'Data Input'!K656)</f>
        <v>800</v>
      </c>
      <c r="M656">
        <f>IF(ISBLANK('Data Input'!L656),"",'Data Input'!L656)</f>
        <v>10</v>
      </c>
      <c r="N656">
        <f>IF(ISBLANK('Data Input'!M656),"",'Data Input'!M656)</f>
        <v>10</v>
      </c>
      <c r="O656" t="str">
        <f>IF(ISBLANK('Data Input'!N656),"",'Data Input'!N656)</f>
        <v/>
      </c>
      <c r="P656" t="str">
        <f>IF(ISBLANK('Data Input'!O656),"",'Data Input'!O656)</f>
        <v/>
      </c>
      <c r="Q656" t="str">
        <f>IF(ISBLANK('Data Input'!P656),"",'Data Input'!P656)</f>
        <v/>
      </c>
      <c r="R656" t="b">
        <f>IF(ISBLANK('Data Input'!Q656),"",'Data Input'!Q656)</f>
        <v>1</v>
      </c>
      <c r="T656" s="2">
        <f t="shared" si="42"/>
        <v>43319</v>
      </c>
      <c r="U656" s="12">
        <f t="shared" si="43"/>
        <v>0.33055555555555555</v>
      </c>
      <c r="V656" s="2">
        <f t="shared" si="44"/>
        <v>43322</v>
      </c>
      <c r="W656" s="12">
        <f t="shared" si="45"/>
        <v>0.48402777777777778</v>
      </c>
    </row>
    <row r="657" spans="1:23">
      <c r="A657">
        <f>IF(ISBLANK('Data Input'!A657),"",'Data Input'!A657)</f>
        <v>163</v>
      </c>
      <c r="B657" t="str">
        <f>IF(ISBLANK('Data Input'!B657),"",'Data Input'!B657)</f>
        <v>RT003</v>
      </c>
      <c r="C657" t="str">
        <f>IF(ISBLANK('Data Input'!C657),"",'Data Input'!C657)</f>
        <v>8/07/18 0756</v>
      </c>
      <c r="E657" t="str">
        <f>IF(ISBLANK('Data Input'!D657),"",'Data Input'!D657)</f>
        <v>08/10/18 1137</v>
      </c>
      <c r="G657">
        <f>IF(ISBLANK('Data Input'!E657),"",'Data Input'!E657)</f>
        <v>29</v>
      </c>
      <c r="H657" t="str">
        <f>IF(ISBLANK('Data Input'!F657),"",'Data Input'!F657)</f>
        <v>bb - Black</v>
      </c>
      <c r="I657" t="str">
        <f>IF(ISBLANK('Data Input'!G657),"",'Data Input'!G657)</f>
        <v>Caesarean</v>
      </c>
      <c r="J657" t="str">
        <f>IF(ISBLANK('Data Input'!I657),"",'Data Input'!I657)</f>
        <v>8=09=18 0713</v>
      </c>
      <c r="K657" t="str">
        <f>IF(ISBLANK('Data Input'!J657),"",'Data Input'!J657)</f>
        <v>rr - Percocet</v>
      </c>
      <c r="L657">
        <f>IF(ISBLANK('Data Input'!K657),"",'Data Input'!K657)</f>
        <v>1</v>
      </c>
      <c r="M657">
        <f>IF(ISBLANK('Data Input'!L657),"",'Data Input'!L657)</f>
        <v>10</v>
      </c>
      <c r="N657">
        <f>IF(ISBLANK('Data Input'!M657),"",'Data Input'!M657)</f>
        <v>10</v>
      </c>
      <c r="O657" t="str">
        <f>IF(ISBLANK('Data Input'!N657),"",'Data Input'!N657)</f>
        <v/>
      </c>
      <c r="P657" t="str">
        <f>IF(ISBLANK('Data Input'!O657),"",'Data Input'!O657)</f>
        <v/>
      </c>
      <c r="Q657" t="str">
        <f>IF(ISBLANK('Data Input'!P657),"",'Data Input'!P657)</f>
        <v/>
      </c>
      <c r="R657" t="b">
        <f>IF(ISBLANK('Data Input'!Q657),"",'Data Input'!Q657)</f>
        <v>1</v>
      </c>
      <c r="T657" s="2">
        <f t="shared" si="42"/>
        <v>43319</v>
      </c>
      <c r="U657" s="12">
        <f t="shared" si="43"/>
        <v>0.33055555555555555</v>
      </c>
      <c r="V657" s="2">
        <f t="shared" si="44"/>
        <v>43322</v>
      </c>
      <c r="W657" s="12">
        <f t="shared" si="45"/>
        <v>0.48402777777777778</v>
      </c>
    </row>
    <row r="658" spans="1:23">
      <c r="A658">
        <f>IF(ISBLANK('Data Input'!A658),"",'Data Input'!A658)</f>
        <v>163</v>
      </c>
      <c r="B658" t="str">
        <f>IF(ISBLANK('Data Input'!B658),"",'Data Input'!B658)</f>
        <v>RT003</v>
      </c>
      <c r="C658" t="str">
        <f>IF(ISBLANK('Data Input'!C658),"",'Data Input'!C658)</f>
        <v>8/07/18 0756</v>
      </c>
      <c r="E658" t="str">
        <f>IF(ISBLANK('Data Input'!D658),"",'Data Input'!D658)</f>
        <v>08/10/18 1137</v>
      </c>
      <c r="G658">
        <f>IF(ISBLANK('Data Input'!E658),"",'Data Input'!E658)</f>
        <v>29</v>
      </c>
      <c r="H658" t="str">
        <f>IF(ISBLANK('Data Input'!F658),"",'Data Input'!F658)</f>
        <v>bb - Black</v>
      </c>
      <c r="I658" t="str">
        <f>IF(ISBLANK('Data Input'!G658),"",'Data Input'!G658)</f>
        <v>Caesarean</v>
      </c>
      <c r="J658" t="str">
        <f>IF(ISBLANK('Data Input'!I658),"",'Data Input'!I658)</f>
        <v>8=09=18 0716</v>
      </c>
      <c r="K658" t="str">
        <f>IF(ISBLANK('Data Input'!J658),"",'Data Input'!J658)</f>
        <v>rr - Percocet</v>
      </c>
      <c r="L658">
        <f>IF(ISBLANK('Data Input'!K658),"",'Data Input'!K658)</f>
        <v>1</v>
      </c>
      <c r="M658">
        <f>IF(ISBLANK('Data Input'!L658),"",'Data Input'!L658)</f>
        <v>10</v>
      </c>
      <c r="N658">
        <f>IF(ISBLANK('Data Input'!M658),"",'Data Input'!M658)</f>
        <v>2</v>
      </c>
      <c r="O658" t="str">
        <f>IF(ISBLANK('Data Input'!N658),"",'Data Input'!N658)</f>
        <v/>
      </c>
      <c r="P658" t="str">
        <f>IF(ISBLANK('Data Input'!O658),"",'Data Input'!O658)</f>
        <v/>
      </c>
      <c r="Q658" t="str">
        <f>IF(ISBLANK('Data Input'!P658),"",'Data Input'!P658)</f>
        <v/>
      </c>
      <c r="R658" t="b">
        <f>IF(ISBLANK('Data Input'!Q658),"",'Data Input'!Q658)</f>
        <v>1</v>
      </c>
      <c r="T658" s="2">
        <f t="shared" si="42"/>
        <v>43319</v>
      </c>
      <c r="U658" s="12">
        <f t="shared" si="43"/>
        <v>0.33055555555555555</v>
      </c>
      <c r="V658" s="2">
        <f t="shared" si="44"/>
        <v>43322</v>
      </c>
      <c r="W658" s="12">
        <f t="shared" si="45"/>
        <v>0.48402777777777778</v>
      </c>
    </row>
    <row r="659" spans="1:23">
      <c r="A659">
        <f>IF(ISBLANK('Data Input'!A659),"",'Data Input'!A659)</f>
        <v>163</v>
      </c>
      <c r="B659" t="str">
        <f>IF(ISBLANK('Data Input'!B659),"",'Data Input'!B659)</f>
        <v>RT003</v>
      </c>
      <c r="C659" t="str">
        <f>IF(ISBLANK('Data Input'!C659),"",'Data Input'!C659)</f>
        <v>8/07/18 0756</v>
      </c>
      <c r="E659" t="str">
        <f>IF(ISBLANK('Data Input'!D659),"",'Data Input'!D659)</f>
        <v>08/10/18 1137</v>
      </c>
      <c r="G659">
        <f>IF(ISBLANK('Data Input'!E659),"",'Data Input'!E659)</f>
        <v>29</v>
      </c>
      <c r="H659" t="str">
        <f>IF(ISBLANK('Data Input'!F659),"",'Data Input'!F659)</f>
        <v>bb - Black</v>
      </c>
      <c r="I659" t="str">
        <f>IF(ISBLANK('Data Input'!G659),"",'Data Input'!G659)</f>
        <v>Caesarean</v>
      </c>
      <c r="J659" t="str">
        <f>IF(ISBLANK('Data Input'!I659),"",'Data Input'!I659)</f>
        <v>8=09=18 1314</v>
      </c>
      <c r="K659" t="str">
        <f>IF(ISBLANK('Data Input'!J659),"",'Data Input'!J659)</f>
        <v>bb - Ibuprofen</v>
      </c>
      <c r="L659">
        <f>IF(ISBLANK('Data Input'!K659),"",'Data Input'!K659)</f>
        <v>800</v>
      </c>
      <c r="M659">
        <f>IF(ISBLANK('Data Input'!L659),"",'Data Input'!L659)</f>
        <v>5</v>
      </c>
      <c r="N659">
        <f>IF(ISBLANK('Data Input'!M659),"",'Data Input'!M659)</f>
        <v>2</v>
      </c>
      <c r="O659" t="str">
        <f>IF(ISBLANK('Data Input'!N659),"",'Data Input'!N659)</f>
        <v/>
      </c>
      <c r="P659" t="str">
        <f>IF(ISBLANK('Data Input'!O659),"",'Data Input'!O659)</f>
        <v/>
      </c>
      <c r="Q659" t="str">
        <f>IF(ISBLANK('Data Input'!P659),"",'Data Input'!P659)</f>
        <v/>
      </c>
      <c r="R659" t="b">
        <f>IF(ISBLANK('Data Input'!Q659),"",'Data Input'!Q659)</f>
        <v>1</v>
      </c>
      <c r="T659" s="2">
        <f t="shared" si="42"/>
        <v>43319</v>
      </c>
      <c r="U659" s="12">
        <f t="shared" si="43"/>
        <v>0.33055555555555555</v>
      </c>
      <c r="V659" s="2">
        <f t="shared" si="44"/>
        <v>43322</v>
      </c>
      <c r="W659" s="12">
        <f t="shared" si="45"/>
        <v>0.48402777777777778</v>
      </c>
    </row>
    <row r="660" spans="1:23">
      <c r="A660">
        <f>IF(ISBLANK('Data Input'!A660),"",'Data Input'!A660)</f>
        <v>163</v>
      </c>
      <c r="B660" t="str">
        <f>IF(ISBLANK('Data Input'!B660),"",'Data Input'!B660)</f>
        <v>RT003</v>
      </c>
      <c r="C660" t="str">
        <f>IF(ISBLANK('Data Input'!C660),"",'Data Input'!C660)</f>
        <v>8/07/18 0756</v>
      </c>
      <c r="E660" t="str">
        <f>IF(ISBLANK('Data Input'!D660),"",'Data Input'!D660)</f>
        <v>08/10/18 1137</v>
      </c>
      <c r="G660">
        <f>IF(ISBLANK('Data Input'!E660),"",'Data Input'!E660)</f>
        <v>29</v>
      </c>
      <c r="H660" t="str">
        <f>IF(ISBLANK('Data Input'!F660),"",'Data Input'!F660)</f>
        <v>bb - Black</v>
      </c>
      <c r="I660" t="str">
        <f>IF(ISBLANK('Data Input'!G660),"",'Data Input'!G660)</f>
        <v>Caesarean</v>
      </c>
      <c r="J660" t="str">
        <f>IF(ISBLANK('Data Input'!I660),"",'Data Input'!I660)</f>
        <v>8=09=18 1314</v>
      </c>
      <c r="K660" t="str">
        <f>IF(ISBLANK('Data Input'!J660),"",'Data Input'!J660)</f>
        <v>rr - Percocet</v>
      </c>
      <c r="L660">
        <f>IF(ISBLANK('Data Input'!K660),"",'Data Input'!K660)</f>
        <v>1</v>
      </c>
      <c r="M660">
        <f>IF(ISBLANK('Data Input'!L660),"",'Data Input'!L660)</f>
        <v>5</v>
      </c>
      <c r="N660">
        <f>IF(ISBLANK('Data Input'!M660),"",'Data Input'!M660)</f>
        <v>2</v>
      </c>
      <c r="O660" t="str">
        <f>IF(ISBLANK('Data Input'!N660),"",'Data Input'!N660)</f>
        <v/>
      </c>
      <c r="P660" t="str">
        <f>IF(ISBLANK('Data Input'!O660),"",'Data Input'!O660)</f>
        <v/>
      </c>
      <c r="Q660" t="str">
        <f>IF(ISBLANK('Data Input'!P660),"",'Data Input'!P660)</f>
        <v/>
      </c>
      <c r="R660" t="b">
        <f>IF(ISBLANK('Data Input'!Q660),"",'Data Input'!Q660)</f>
        <v>1</v>
      </c>
      <c r="T660" s="2">
        <f t="shared" si="42"/>
        <v>43319</v>
      </c>
      <c r="U660" s="12">
        <f t="shared" si="43"/>
        <v>0.33055555555555555</v>
      </c>
      <c r="V660" s="2">
        <f t="shared" si="44"/>
        <v>43322</v>
      </c>
      <c r="W660" s="12">
        <f t="shared" si="45"/>
        <v>0.48402777777777778</v>
      </c>
    </row>
    <row r="661" spans="1:23">
      <c r="A661">
        <f>IF(ISBLANK('Data Input'!A661),"",'Data Input'!A661)</f>
        <v>163</v>
      </c>
      <c r="B661" t="str">
        <f>IF(ISBLANK('Data Input'!B661),"",'Data Input'!B661)</f>
        <v>RT003</v>
      </c>
      <c r="C661" t="str">
        <f>IF(ISBLANK('Data Input'!C661),"",'Data Input'!C661)</f>
        <v>8/07/18 0756</v>
      </c>
      <c r="E661" t="str">
        <f>IF(ISBLANK('Data Input'!D661),"",'Data Input'!D661)</f>
        <v>08/10/18 1137</v>
      </c>
      <c r="G661">
        <f>IF(ISBLANK('Data Input'!E661),"",'Data Input'!E661)</f>
        <v>29</v>
      </c>
      <c r="H661" t="str">
        <f>IF(ISBLANK('Data Input'!F661),"",'Data Input'!F661)</f>
        <v>bb - Black</v>
      </c>
      <c r="I661" t="str">
        <f>IF(ISBLANK('Data Input'!G661),"",'Data Input'!G661)</f>
        <v>Caesarean</v>
      </c>
      <c r="J661" t="str">
        <f>IF(ISBLANK('Data Input'!I661),"",'Data Input'!I661)</f>
        <v>8=09=18 2140</v>
      </c>
      <c r="K661" t="str">
        <f>IF(ISBLANK('Data Input'!J661),"",'Data Input'!J661)</f>
        <v>bb - Ibuprofen</v>
      </c>
      <c r="L661">
        <f>IF(ISBLANK('Data Input'!K661),"",'Data Input'!K661)</f>
        <v>800</v>
      </c>
      <c r="M661">
        <f>IF(ISBLANK('Data Input'!L661),"",'Data Input'!L661)</f>
        <v>7</v>
      </c>
      <c r="N661">
        <f>IF(ISBLANK('Data Input'!M661),"",'Data Input'!M661)</f>
        <v>0</v>
      </c>
      <c r="O661" t="str">
        <f>IF(ISBLANK('Data Input'!N661),"",'Data Input'!N661)</f>
        <v/>
      </c>
      <c r="P661" t="str">
        <f>IF(ISBLANK('Data Input'!O661),"",'Data Input'!O661)</f>
        <v/>
      </c>
      <c r="Q661" t="str">
        <f>IF(ISBLANK('Data Input'!P661),"",'Data Input'!P661)</f>
        <v/>
      </c>
      <c r="R661" t="b">
        <f>IF(ISBLANK('Data Input'!Q661),"",'Data Input'!Q661)</f>
        <v>1</v>
      </c>
      <c r="T661" s="2">
        <f t="shared" si="42"/>
        <v>43319</v>
      </c>
      <c r="U661" s="12">
        <f t="shared" si="43"/>
        <v>0.33055555555555555</v>
      </c>
      <c r="V661" s="2">
        <f t="shared" si="44"/>
        <v>43322</v>
      </c>
      <c r="W661" s="12">
        <f t="shared" si="45"/>
        <v>0.48402777777777778</v>
      </c>
    </row>
    <row r="662" spans="1:23">
      <c r="A662">
        <f>IF(ISBLANK('Data Input'!A662),"",'Data Input'!A662)</f>
        <v>163</v>
      </c>
      <c r="B662" t="str">
        <f>IF(ISBLANK('Data Input'!B662),"",'Data Input'!B662)</f>
        <v>RT003</v>
      </c>
      <c r="C662" t="str">
        <f>IF(ISBLANK('Data Input'!C662),"",'Data Input'!C662)</f>
        <v>8/07/18 0756</v>
      </c>
      <c r="E662" t="str">
        <f>IF(ISBLANK('Data Input'!D662),"",'Data Input'!D662)</f>
        <v>08/10/18 1137</v>
      </c>
      <c r="G662">
        <f>IF(ISBLANK('Data Input'!E662),"",'Data Input'!E662)</f>
        <v>29</v>
      </c>
      <c r="H662" t="str">
        <f>IF(ISBLANK('Data Input'!F662),"",'Data Input'!F662)</f>
        <v>bb - Black</v>
      </c>
      <c r="I662" t="str">
        <f>IF(ISBLANK('Data Input'!G662),"",'Data Input'!G662)</f>
        <v>Caesarean</v>
      </c>
      <c r="J662" t="str">
        <f>IF(ISBLANK('Data Input'!I662),"",'Data Input'!I662)</f>
        <v>8=09=18 2140</v>
      </c>
      <c r="K662" t="str">
        <f>IF(ISBLANK('Data Input'!J662),"",'Data Input'!J662)</f>
        <v>rr - Percocet</v>
      </c>
      <c r="L662">
        <f>IF(ISBLANK('Data Input'!K662),"",'Data Input'!K662)</f>
        <v>1</v>
      </c>
      <c r="M662">
        <f>IF(ISBLANK('Data Input'!L662),"",'Data Input'!L662)</f>
        <v>7</v>
      </c>
      <c r="N662">
        <f>IF(ISBLANK('Data Input'!M662),"",'Data Input'!M662)</f>
        <v>0</v>
      </c>
      <c r="O662" t="str">
        <f>IF(ISBLANK('Data Input'!N662),"",'Data Input'!N662)</f>
        <v/>
      </c>
      <c r="P662" t="str">
        <f>IF(ISBLANK('Data Input'!O662),"",'Data Input'!O662)</f>
        <v/>
      </c>
      <c r="Q662" t="str">
        <f>IF(ISBLANK('Data Input'!P662),"",'Data Input'!P662)</f>
        <v/>
      </c>
      <c r="R662" t="b">
        <f>IF(ISBLANK('Data Input'!Q662),"",'Data Input'!Q662)</f>
        <v>1</v>
      </c>
      <c r="T662" s="2">
        <f t="shared" si="42"/>
        <v>43319</v>
      </c>
      <c r="U662" s="12">
        <f t="shared" si="43"/>
        <v>0.33055555555555555</v>
      </c>
      <c r="V662" s="2">
        <f t="shared" si="44"/>
        <v>43322</v>
      </c>
      <c r="W662" s="12">
        <f t="shared" si="45"/>
        <v>0.48402777777777778</v>
      </c>
    </row>
    <row r="663" spans="1:23">
      <c r="A663">
        <f>IF(ISBLANK('Data Input'!A663),"",'Data Input'!A663)</f>
        <v>163</v>
      </c>
      <c r="B663" t="str">
        <f>IF(ISBLANK('Data Input'!B663),"",'Data Input'!B663)</f>
        <v>RT003</v>
      </c>
      <c r="C663" t="str">
        <f>IF(ISBLANK('Data Input'!C663),"",'Data Input'!C663)</f>
        <v>8/07/18 0756</v>
      </c>
      <c r="E663" t="str">
        <f>IF(ISBLANK('Data Input'!D663),"",'Data Input'!D663)</f>
        <v>08/10/18 1137</v>
      </c>
      <c r="G663">
        <f>IF(ISBLANK('Data Input'!E663),"",'Data Input'!E663)</f>
        <v>29</v>
      </c>
      <c r="H663" t="str">
        <f>IF(ISBLANK('Data Input'!F663),"",'Data Input'!F663)</f>
        <v>bb - Black</v>
      </c>
      <c r="I663" t="str">
        <f>IF(ISBLANK('Data Input'!G663),"",'Data Input'!G663)</f>
        <v>Caesarean</v>
      </c>
      <c r="J663" t="str">
        <f>IF(ISBLANK('Data Input'!I663),"",'Data Input'!I663)</f>
        <v>8=09=18 0504</v>
      </c>
      <c r="K663" t="str">
        <f>IF(ISBLANK('Data Input'!J663),"",'Data Input'!J663)</f>
        <v>bb - Ibuprofen</v>
      </c>
      <c r="L663">
        <f>IF(ISBLANK('Data Input'!K663),"",'Data Input'!K663)</f>
        <v>800</v>
      </c>
      <c r="M663">
        <f>IF(ISBLANK('Data Input'!L663),"",'Data Input'!L663)</f>
        <v>7</v>
      </c>
      <c r="N663">
        <f>IF(ISBLANK('Data Input'!M663),"",'Data Input'!M663)</f>
        <v>2</v>
      </c>
      <c r="O663" t="str">
        <f>IF(ISBLANK('Data Input'!N663),"",'Data Input'!N663)</f>
        <v/>
      </c>
      <c r="P663" t="str">
        <f>IF(ISBLANK('Data Input'!O663),"",'Data Input'!O663)</f>
        <v/>
      </c>
      <c r="Q663" t="str">
        <f>IF(ISBLANK('Data Input'!P663),"",'Data Input'!P663)</f>
        <v/>
      </c>
      <c r="R663" t="b">
        <f>IF(ISBLANK('Data Input'!Q663),"",'Data Input'!Q663)</f>
        <v>1</v>
      </c>
      <c r="T663" s="2">
        <f t="shared" si="42"/>
        <v>43319</v>
      </c>
      <c r="U663" s="12">
        <f t="shared" si="43"/>
        <v>0.33055555555555555</v>
      </c>
      <c r="V663" s="2">
        <f t="shared" si="44"/>
        <v>43322</v>
      </c>
      <c r="W663" s="12">
        <f t="shared" si="45"/>
        <v>0.48402777777777778</v>
      </c>
    </row>
    <row r="664" spans="1:23">
      <c r="A664">
        <f>IF(ISBLANK('Data Input'!A664),"",'Data Input'!A664)</f>
        <v>163</v>
      </c>
      <c r="B664" t="str">
        <f>IF(ISBLANK('Data Input'!B664),"",'Data Input'!B664)</f>
        <v>RT003</v>
      </c>
      <c r="C664" t="str">
        <f>IF(ISBLANK('Data Input'!C664),"",'Data Input'!C664)</f>
        <v>8/07/18 0756</v>
      </c>
      <c r="E664" t="str">
        <f>IF(ISBLANK('Data Input'!D664),"",'Data Input'!D664)</f>
        <v>08/10/18 1137</v>
      </c>
      <c r="G664">
        <f>IF(ISBLANK('Data Input'!E664),"",'Data Input'!E664)</f>
        <v>29</v>
      </c>
      <c r="H664" t="str">
        <f>IF(ISBLANK('Data Input'!F664),"",'Data Input'!F664)</f>
        <v>bb - Black</v>
      </c>
      <c r="I664" t="str">
        <f>IF(ISBLANK('Data Input'!G664),"",'Data Input'!G664)</f>
        <v>Caesarean</v>
      </c>
      <c r="J664" t="str">
        <f>IF(ISBLANK('Data Input'!I664),"",'Data Input'!I664)</f>
        <v>8=09=18 0504</v>
      </c>
      <c r="K664" t="str">
        <f>IF(ISBLANK('Data Input'!J664),"",'Data Input'!J664)</f>
        <v>rr - Percocet</v>
      </c>
      <c r="L664">
        <f>IF(ISBLANK('Data Input'!K664),"",'Data Input'!K664)</f>
        <v>1</v>
      </c>
      <c r="M664">
        <f>IF(ISBLANK('Data Input'!L664),"",'Data Input'!L664)</f>
        <v>7</v>
      </c>
      <c r="N664">
        <f>IF(ISBLANK('Data Input'!M664),"",'Data Input'!M664)</f>
        <v>2</v>
      </c>
      <c r="O664" t="str">
        <f>IF(ISBLANK('Data Input'!N664),"",'Data Input'!N664)</f>
        <v/>
      </c>
      <c r="P664" t="str">
        <f>IF(ISBLANK('Data Input'!O664),"",'Data Input'!O664)</f>
        <v/>
      </c>
      <c r="Q664" t="str">
        <f>IF(ISBLANK('Data Input'!P664),"",'Data Input'!P664)</f>
        <v/>
      </c>
      <c r="R664" t="b">
        <f>IF(ISBLANK('Data Input'!Q664),"",'Data Input'!Q664)</f>
        <v>1</v>
      </c>
      <c r="T664" s="2">
        <f t="shared" si="42"/>
        <v>43319</v>
      </c>
      <c r="U664" s="12">
        <f t="shared" si="43"/>
        <v>0.33055555555555555</v>
      </c>
      <c r="V664" s="2">
        <f t="shared" si="44"/>
        <v>43322</v>
      </c>
      <c r="W664" s="12">
        <f t="shared" si="45"/>
        <v>0.48402777777777778</v>
      </c>
    </row>
    <row r="665" spans="1:23">
      <c r="A665">
        <f>IF(ISBLANK('Data Input'!A665),"",'Data Input'!A665)</f>
        <v>163</v>
      </c>
      <c r="B665" t="str">
        <f>IF(ISBLANK('Data Input'!B665),"",'Data Input'!B665)</f>
        <v>RT003</v>
      </c>
      <c r="C665" t="str">
        <f>IF(ISBLANK('Data Input'!C665),"",'Data Input'!C665)</f>
        <v>8/07/18 0756</v>
      </c>
      <c r="E665" t="str">
        <f>IF(ISBLANK('Data Input'!D665),"",'Data Input'!D665)</f>
        <v>08/10/18 1137</v>
      </c>
      <c r="G665">
        <f>IF(ISBLANK('Data Input'!E665),"",'Data Input'!E665)</f>
        <v>29</v>
      </c>
      <c r="H665" t="str">
        <f>IF(ISBLANK('Data Input'!F665),"",'Data Input'!F665)</f>
        <v>bb - Black</v>
      </c>
      <c r="I665" t="str">
        <f>IF(ISBLANK('Data Input'!G665),"",'Data Input'!G665)</f>
        <v>Caesarean</v>
      </c>
      <c r="J665" t="str">
        <f>IF(ISBLANK('Data Input'!I665),"",'Data Input'!I665)</f>
        <v>8=10=18 1137</v>
      </c>
      <c r="K665" t="str">
        <f>IF(ISBLANK('Data Input'!J665),"",'Data Input'!J665)</f>
        <v>bb - Ibuprofen</v>
      </c>
      <c r="L665">
        <f>IF(ISBLANK('Data Input'!K665),"",'Data Input'!K665)</f>
        <v>800</v>
      </c>
      <c r="M665">
        <f>IF(ISBLANK('Data Input'!L665),"",'Data Input'!L665)</f>
        <v>5</v>
      </c>
      <c r="N665">
        <f>IF(ISBLANK('Data Input'!M665),"",'Data Input'!M665)</f>
        <v>0</v>
      </c>
      <c r="O665" t="str">
        <f>IF(ISBLANK('Data Input'!N665),"",'Data Input'!N665)</f>
        <v/>
      </c>
      <c r="P665" t="str">
        <f>IF(ISBLANK('Data Input'!O665),"",'Data Input'!O665)</f>
        <v/>
      </c>
      <c r="Q665" t="str">
        <f>IF(ISBLANK('Data Input'!P665),"",'Data Input'!P665)</f>
        <v/>
      </c>
      <c r="R665" t="b">
        <f>IF(ISBLANK('Data Input'!Q665),"",'Data Input'!Q665)</f>
        <v>1</v>
      </c>
      <c r="T665" s="2">
        <f t="shared" si="42"/>
        <v>43319</v>
      </c>
      <c r="U665" s="12">
        <f t="shared" si="43"/>
        <v>0.33055555555555555</v>
      </c>
      <c r="V665" s="2">
        <f t="shared" si="44"/>
        <v>43322</v>
      </c>
      <c r="W665" s="12">
        <f t="shared" si="45"/>
        <v>0.48402777777777778</v>
      </c>
    </row>
    <row r="666" spans="1:23">
      <c r="A666">
        <f>IF(ISBLANK('Data Input'!A666),"",'Data Input'!A666)</f>
        <v>163</v>
      </c>
      <c r="B666" t="str">
        <f>IF(ISBLANK('Data Input'!B666),"",'Data Input'!B666)</f>
        <v>RT003</v>
      </c>
      <c r="C666" t="str">
        <f>IF(ISBLANK('Data Input'!C666),"",'Data Input'!C666)</f>
        <v>8/07/18 0756</v>
      </c>
      <c r="E666" t="str">
        <f>IF(ISBLANK('Data Input'!D666),"",'Data Input'!D666)</f>
        <v>08/10/18 1137</v>
      </c>
      <c r="G666">
        <f>IF(ISBLANK('Data Input'!E666),"",'Data Input'!E666)</f>
        <v>29</v>
      </c>
      <c r="H666" t="str">
        <f>IF(ISBLANK('Data Input'!F666),"",'Data Input'!F666)</f>
        <v>bb - Black</v>
      </c>
      <c r="I666" t="str">
        <f>IF(ISBLANK('Data Input'!G666),"",'Data Input'!G666)</f>
        <v>Caesarean</v>
      </c>
      <c r="J666" t="str">
        <f>IF(ISBLANK('Data Input'!I666),"",'Data Input'!I666)</f>
        <v>8=10=18 1137</v>
      </c>
      <c r="K666" t="str">
        <f>IF(ISBLANK('Data Input'!J666),"",'Data Input'!J666)</f>
        <v>rr - Percocet</v>
      </c>
      <c r="L666">
        <f>IF(ISBLANK('Data Input'!K666),"",'Data Input'!K666)</f>
        <v>1</v>
      </c>
      <c r="M666">
        <f>IF(ISBLANK('Data Input'!L666),"",'Data Input'!L666)</f>
        <v>5</v>
      </c>
      <c r="N666">
        <f>IF(ISBLANK('Data Input'!M666),"",'Data Input'!M666)</f>
        <v>0</v>
      </c>
      <c r="O666" t="str">
        <f>IF(ISBLANK('Data Input'!N666),"",'Data Input'!N666)</f>
        <v/>
      </c>
      <c r="P666" t="str">
        <f>IF(ISBLANK('Data Input'!O666),"",'Data Input'!O666)</f>
        <v/>
      </c>
      <c r="Q666" t="str">
        <f>IF(ISBLANK('Data Input'!P666),"",'Data Input'!P666)</f>
        <v/>
      </c>
      <c r="R666" t="b">
        <f>IF(ISBLANK('Data Input'!Q666),"",'Data Input'!Q666)</f>
        <v>1</v>
      </c>
      <c r="T666" s="2">
        <f t="shared" si="42"/>
        <v>43319</v>
      </c>
      <c r="U666" s="12">
        <f t="shared" si="43"/>
        <v>0.33055555555555555</v>
      </c>
      <c r="V666" s="2">
        <f t="shared" si="44"/>
        <v>43322</v>
      </c>
      <c r="W666" s="12">
        <f t="shared" si="45"/>
        <v>0.48402777777777778</v>
      </c>
    </row>
    <row r="667" spans="1:23">
      <c r="A667">
        <f>IF(ISBLANK('Data Input'!A667),"",'Data Input'!A667)</f>
        <v>164</v>
      </c>
      <c r="B667" t="str">
        <f>IF(ISBLANK('Data Input'!B667),"",'Data Input'!B667)</f>
        <v>AH004</v>
      </c>
      <c r="C667" t="str">
        <f>IF(ISBLANK('Data Input'!C667),"",'Data Input'!C667)</f>
        <v>8/13/18 0035</v>
      </c>
      <c r="E667" t="str">
        <f>IF(ISBLANK('Data Input'!D667),"",'Data Input'!D667)</f>
        <v>8/15/18 0831</v>
      </c>
      <c r="G667">
        <f>IF(ISBLANK('Data Input'!E667),"",'Data Input'!E667)</f>
        <v>27</v>
      </c>
      <c r="H667" t="str">
        <f>IF(ISBLANK('Data Input'!F667),"",'Data Input'!F667)</f>
        <v>bb - Black</v>
      </c>
      <c r="I667" t="str">
        <f>IF(ISBLANK('Data Input'!G667),"",'Data Input'!G667)</f>
        <v>Caesarean</v>
      </c>
      <c r="J667" t="str">
        <f>IF(ISBLANK('Data Input'!I667),"",'Data Input'!I667)</f>
        <v>8=13=18 0652</v>
      </c>
      <c r="K667" t="str">
        <f>IF(ISBLANK('Data Input'!J667),"",'Data Input'!J667)</f>
        <v>tr - Toradol</v>
      </c>
      <c r="L667">
        <f>IF(ISBLANK('Data Input'!K667),"",'Data Input'!K667)</f>
        <v>30</v>
      </c>
      <c r="M667">
        <f>IF(ISBLANK('Data Input'!L667),"",'Data Input'!L667)</f>
        <v>9</v>
      </c>
      <c r="N667">
        <f>IF(ISBLANK('Data Input'!M667),"",'Data Input'!M667)</f>
        <v>9</v>
      </c>
      <c r="O667" t="str">
        <f>IF(ISBLANK('Data Input'!N667),"",'Data Input'!N667)</f>
        <v/>
      </c>
      <c r="P667" t="str">
        <f>IF(ISBLANK('Data Input'!O667),"",'Data Input'!O667)</f>
        <v/>
      </c>
      <c r="Q667" t="str">
        <f>IF(ISBLANK('Data Input'!P667),"",'Data Input'!P667)</f>
        <v>Mom hyped p^(_) TT session very talkative + relaxed</v>
      </c>
      <c r="R667" t="b">
        <f>IF(ISBLANK('Data Input'!Q667),"",'Data Input'!Q667)</f>
        <v>0</v>
      </c>
      <c r="T667" s="2">
        <f t="shared" si="42"/>
        <v>43325</v>
      </c>
      <c r="U667" s="12">
        <f t="shared" si="43"/>
        <v>2.4305555555555556E-2</v>
      </c>
      <c r="V667" s="2">
        <f t="shared" si="44"/>
        <v>43327</v>
      </c>
      <c r="W667" s="12">
        <f t="shared" si="45"/>
        <v>0.35486111111111113</v>
      </c>
    </row>
    <row r="668" spans="1:23">
      <c r="A668">
        <f>IF(ISBLANK('Data Input'!A668),"",'Data Input'!A668)</f>
        <v>164</v>
      </c>
      <c r="B668" t="str">
        <f>IF(ISBLANK('Data Input'!B668),"",'Data Input'!B668)</f>
        <v>AH004</v>
      </c>
      <c r="C668" t="str">
        <f>IF(ISBLANK('Data Input'!C668),"",'Data Input'!C668)</f>
        <v>8/13/18 0035</v>
      </c>
      <c r="E668" t="str">
        <f>IF(ISBLANK('Data Input'!D668),"",'Data Input'!D668)</f>
        <v>8/15/18 0831</v>
      </c>
      <c r="G668">
        <f>IF(ISBLANK('Data Input'!E668),"",'Data Input'!E668)</f>
        <v>27</v>
      </c>
      <c r="H668" t="str">
        <f>IF(ISBLANK('Data Input'!F668),"",'Data Input'!F668)</f>
        <v>bb - Black</v>
      </c>
      <c r="I668" t="str">
        <f>IF(ISBLANK('Data Input'!G668),"",'Data Input'!G668)</f>
        <v>Caesarean</v>
      </c>
      <c r="J668" t="str">
        <f>IF(ISBLANK('Data Input'!I669),"",'Data Input'!I669)</f>
        <v>8=13=18 0731</v>
      </c>
      <c r="K668" t="str">
        <f>IF(ISBLANK('Data Input'!J668),"",'Data Input'!J668)</f>
        <v>rr - Percocet</v>
      </c>
      <c r="L668">
        <f>IF(ISBLANK('Data Input'!K668),"",'Data Input'!K668)</f>
        <v>1</v>
      </c>
      <c r="M668">
        <f>IF(ISBLANK('Data Input'!L668),"",'Data Input'!L668)</f>
        <v>9</v>
      </c>
      <c r="N668">
        <f>IF(ISBLANK('Data Input'!M668),"",'Data Input'!M668)</f>
        <v>9</v>
      </c>
      <c r="O668" t="str">
        <f>IF(ISBLANK('Data Input'!N668),"",'Data Input'!N668)</f>
        <v/>
      </c>
      <c r="P668" t="str">
        <f>IF(ISBLANK('Data Input'!O668),"",'Data Input'!O668)</f>
        <v/>
      </c>
      <c r="Q668" t="str">
        <f>IF(ISBLANK('Data Input'!P668),"",'Data Input'!P668)</f>
        <v>Mom hyped p^(_) TT session very talkative + relaxed</v>
      </c>
      <c r="R668" t="b">
        <f>IF(ISBLANK('Data Input'!Q668),"",'Data Input'!Q668)</f>
        <v>0</v>
      </c>
      <c r="T668" s="2">
        <f t="shared" si="42"/>
        <v>43325</v>
      </c>
      <c r="U668" s="12">
        <f t="shared" si="43"/>
        <v>2.4305555555555556E-2</v>
      </c>
      <c r="V668" s="2">
        <f t="shared" si="44"/>
        <v>43327</v>
      </c>
      <c r="W668" s="12">
        <f t="shared" si="45"/>
        <v>0.35486111111111113</v>
      </c>
    </row>
    <row r="669" spans="1:23">
      <c r="A669">
        <f>IF(ISBLANK('Data Input'!A669),"",'Data Input'!A669)</f>
        <v>164</v>
      </c>
      <c r="B669" t="str">
        <f>IF(ISBLANK('Data Input'!B669),"",'Data Input'!B669)</f>
        <v>AH004</v>
      </c>
      <c r="C669" t="str">
        <f>IF(ISBLANK('Data Input'!C669),"",'Data Input'!C669)</f>
        <v>8/13/18 0035</v>
      </c>
      <c r="E669" t="str">
        <f>IF(ISBLANK('Data Input'!D669),"",'Data Input'!D669)</f>
        <v>8/15/18 0831</v>
      </c>
      <c r="G669">
        <f>IF(ISBLANK('Data Input'!E669),"",'Data Input'!E669)</f>
        <v>27</v>
      </c>
      <c r="H669" t="str">
        <f>IF(ISBLANK('Data Input'!F669),"",'Data Input'!F669)</f>
        <v>bb - Black</v>
      </c>
      <c r="I669" t="str">
        <f>IF(ISBLANK('Data Input'!G669),"",'Data Input'!G669)</f>
        <v>Caesarean</v>
      </c>
      <c r="J669" t="e">
        <f>IF(ISBLANK('Data Input'!#REF!),"",'Data Input'!#REF!)</f>
        <v>#REF!</v>
      </c>
      <c r="K669" t="str">
        <f>IF(ISBLANK('Data Input'!J669),"",'Data Input'!J669)</f>
        <v>rr - Percocet</v>
      </c>
      <c r="L669">
        <f>IF(ISBLANK('Data Input'!K669),"",'Data Input'!K669)</f>
        <v>1</v>
      </c>
      <c r="M669">
        <f>IF(ISBLANK('Data Input'!L669),"",'Data Input'!L669)</f>
        <v>9</v>
      </c>
      <c r="N669">
        <f>IF(ISBLANK('Data Input'!M669),"",'Data Input'!M669)</f>
        <v>5</v>
      </c>
      <c r="O669" t="str">
        <f>IF(ISBLANK('Data Input'!N669),"",'Data Input'!N669)</f>
        <v/>
      </c>
      <c r="P669" t="str">
        <f>IF(ISBLANK('Data Input'!O669),"",'Data Input'!O669)</f>
        <v/>
      </c>
      <c r="Q669" t="str">
        <f>IF(ISBLANK('Data Input'!P669),"",'Data Input'!P669)</f>
        <v>Mom hyped p^(_) TT session very talkative + relaxed</v>
      </c>
      <c r="R669" t="b">
        <f>IF(ISBLANK('Data Input'!Q669),"",'Data Input'!Q669)</f>
        <v>0</v>
      </c>
      <c r="T669" s="2">
        <f t="shared" si="42"/>
        <v>43325</v>
      </c>
      <c r="U669" s="12">
        <f t="shared" si="43"/>
        <v>2.4305555555555556E-2</v>
      </c>
      <c r="V669" s="2">
        <f t="shared" si="44"/>
        <v>43327</v>
      </c>
      <c r="W669" s="12">
        <f t="shared" si="45"/>
        <v>0.35486111111111113</v>
      </c>
    </row>
    <row r="670" spans="1:23">
      <c r="A670">
        <f>IF(ISBLANK('Data Input'!A670),"",'Data Input'!A670)</f>
        <v>164</v>
      </c>
      <c r="B670" t="str">
        <f>IF(ISBLANK('Data Input'!B670),"",'Data Input'!B670)</f>
        <v>AH004</v>
      </c>
      <c r="C670" t="str">
        <f>IF(ISBLANK('Data Input'!C670),"",'Data Input'!C670)</f>
        <v>8/13/18 0035</v>
      </c>
      <c r="E670" t="str">
        <f>IF(ISBLANK('Data Input'!D670),"",'Data Input'!D670)</f>
        <v>8/15/18 0831</v>
      </c>
      <c r="G670">
        <f>IF(ISBLANK('Data Input'!E670),"",'Data Input'!E670)</f>
        <v>27</v>
      </c>
      <c r="H670" t="str">
        <f>IF(ISBLANK('Data Input'!F670),"",'Data Input'!F670)</f>
        <v>bb - Black</v>
      </c>
      <c r="I670" t="str">
        <f>IF(ISBLANK('Data Input'!G670),"",'Data Input'!G670)</f>
        <v>Caesarean</v>
      </c>
      <c r="J670" t="str">
        <f>IF(ISBLANK('Data Input'!I670),"",'Data Input'!I670)</f>
        <v>8=13=18 1127</v>
      </c>
      <c r="K670" t="str">
        <f>IF(ISBLANK('Data Input'!J670),"",'Data Input'!J670)</f>
        <v>rr - Percocet</v>
      </c>
      <c r="L670">
        <f>IF(ISBLANK('Data Input'!K670),"",'Data Input'!K670)</f>
        <v>2</v>
      </c>
      <c r="M670">
        <f>IF(ISBLANK('Data Input'!L670),"",'Data Input'!L670)</f>
        <v>5</v>
      </c>
      <c r="N670">
        <f>IF(ISBLANK('Data Input'!M670),"",'Data Input'!M670)</f>
        <v>2</v>
      </c>
      <c r="O670" t="str">
        <f>IF(ISBLANK('Data Input'!N670),"",'Data Input'!N670)</f>
        <v/>
      </c>
      <c r="P670" t="str">
        <f>IF(ISBLANK('Data Input'!O670),"",'Data Input'!O670)</f>
        <v/>
      </c>
      <c r="Q670" t="str">
        <f>IF(ISBLANK('Data Input'!P670),"",'Data Input'!P670)</f>
        <v>Mom hyped p^(_) TT session very talkative + relaxed</v>
      </c>
      <c r="R670" t="b">
        <f>IF(ISBLANK('Data Input'!Q670),"",'Data Input'!Q670)</f>
        <v>0</v>
      </c>
      <c r="T670" s="2">
        <f t="shared" si="42"/>
        <v>43325</v>
      </c>
      <c r="U670" s="12">
        <f t="shared" si="43"/>
        <v>2.4305555555555556E-2</v>
      </c>
      <c r="V670" s="2">
        <f t="shared" si="44"/>
        <v>43327</v>
      </c>
      <c r="W670" s="12">
        <f t="shared" si="45"/>
        <v>0.35486111111111113</v>
      </c>
    </row>
    <row r="671" spans="1:23">
      <c r="A671">
        <f>IF(ISBLANK('Data Input'!A671),"",'Data Input'!A671)</f>
        <v>164</v>
      </c>
      <c r="B671" t="str">
        <f>IF(ISBLANK('Data Input'!B671),"",'Data Input'!B671)</f>
        <v>AH004</v>
      </c>
      <c r="C671" t="str">
        <f>IF(ISBLANK('Data Input'!C671),"",'Data Input'!C671)</f>
        <v>8/13/18 0035</v>
      </c>
      <c r="E671" t="str">
        <f>IF(ISBLANK('Data Input'!D671),"",'Data Input'!D671)</f>
        <v>8/15/18 0831</v>
      </c>
      <c r="G671">
        <f>IF(ISBLANK('Data Input'!E671),"",'Data Input'!E671)</f>
        <v>27</v>
      </c>
      <c r="H671" t="str">
        <f>IF(ISBLANK('Data Input'!F671),"",'Data Input'!F671)</f>
        <v>bb - Black</v>
      </c>
      <c r="I671" t="str">
        <f>IF(ISBLANK('Data Input'!G671),"",'Data Input'!G671)</f>
        <v>Caesarean</v>
      </c>
      <c r="J671" t="str">
        <f>IF(ISBLANK('Data Input'!I671),"",'Data Input'!I671)</f>
        <v>8=13=18 1301</v>
      </c>
      <c r="K671" t="str">
        <f>IF(ISBLANK('Data Input'!J671),"",'Data Input'!J671)</f>
        <v>tr - Toradol</v>
      </c>
      <c r="L671">
        <f>IF(ISBLANK('Data Input'!K671),"",'Data Input'!K671)</f>
        <v>30</v>
      </c>
      <c r="M671">
        <f>IF(ISBLANK('Data Input'!L671),"",'Data Input'!L671)</f>
        <v>2</v>
      </c>
      <c r="N671">
        <f>IF(ISBLANK('Data Input'!M671),"",'Data Input'!M671)</f>
        <v>2</v>
      </c>
      <c r="O671" t="str">
        <f>IF(ISBLANK('Data Input'!N671),"",'Data Input'!N671)</f>
        <v/>
      </c>
      <c r="P671" t="str">
        <f>IF(ISBLANK('Data Input'!O671),"",'Data Input'!O671)</f>
        <v/>
      </c>
      <c r="Q671" t="str">
        <f>IF(ISBLANK('Data Input'!P671),"",'Data Input'!P671)</f>
        <v>Mom hyped p^(_) TT session very talkative + relaxed</v>
      </c>
      <c r="R671" t="b">
        <f>IF(ISBLANK('Data Input'!Q671),"",'Data Input'!Q671)</f>
        <v>0</v>
      </c>
      <c r="T671" s="2">
        <f t="shared" si="42"/>
        <v>43325</v>
      </c>
      <c r="U671" s="12">
        <f t="shared" si="43"/>
        <v>2.4305555555555556E-2</v>
      </c>
      <c r="V671" s="2">
        <f t="shared" si="44"/>
        <v>43327</v>
      </c>
      <c r="W671" s="12">
        <f t="shared" si="45"/>
        <v>0.35486111111111113</v>
      </c>
    </row>
    <row r="672" spans="1:23">
      <c r="A672">
        <f>IF(ISBLANK('Data Input'!A672),"",'Data Input'!A672)</f>
        <v>164</v>
      </c>
      <c r="B672" t="str">
        <f>IF(ISBLANK('Data Input'!B672),"",'Data Input'!B672)</f>
        <v>AH004</v>
      </c>
      <c r="C672" t="str">
        <f>IF(ISBLANK('Data Input'!C672),"",'Data Input'!C672)</f>
        <v>8/13/18 0035</v>
      </c>
      <c r="E672" t="str">
        <f>IF(ISBLANK('Data Input'!D672),"",'Data Input'!D672)</f>
        <v>8/15/18 0831</v>
      </c>
      <c r="G672">
        <f>IF(ISBLANK('Data Input'!E672),"",'Data Input'!E672)</f>
        <v>27</v>
      </c>
      <c r="H672" t="str">
        <f>IF(ISBLANK('Data Input'!F672),"",'Data Input'!F672)</f>
        <v>bb - Black</v>
      </c>
      <c r="I672" t="str">
        <f>IF(ISBLANK('Data Input'!G672),"",'Data Input'!G672)</f>
        <v>Caesarean</v>
      </c>
      <c r="J672" t="str">
        <f>IF(ISBLANK('Data Input'!I672),"",'Data Input'!I672)</f>
        <v>8=13=18 1526</v>
      </c>
      <c r="K672" t="str">
        <f>IF(ISBLANK('Data Input'!J672),"",'Data Input'!J672)</f>
        <v>rr - Percocet</v>
      </c>
      <c r="L672">
        <f>IF(ISBLANK('Data Input'!K672),"",'Data Input'!K672)</f>
        <v>1</v>
      </c>
      <c r="M672">
        <f>IF(ISBLANK('Data Input'!L672),"",'Data Input'!L672)</f>
        <v>2</v>
      </c>
      <c r="N672">
        <f>IF(ISBLANK('Data Input'!M672),"",'Data Input'!M672)</f>
        <v>2</v>
      </c>
      <c r="O672" t="str">
        <f>IF(ISBLANK('Data Input'!N672),"",'Data Input'!N672)</f>
        <v/>
      </c>
      <c r="P672" t="str">
        <f>IF(ISBLANK('Data Input'!O672),"",'Data Input'!O672)</f>
        <v/>
      </c>
      <c r="Q672" t="str">
        <f>IF(ISBLANK('Data Input'!P672),"",'Data Input'!P672)</f>
        <v>Mom hyped p^(_) TT session very talkative + relaxed</v>
      </c>
      <c r="R672" t="b">
        <f>IF(ISBLANK('Data Input'!Q672),"",'Data Input'!Q672)</f>
        <v>0</v>
      </c>
      <c r="T672" s="2">
        <f t="shared" si="42"/>
        <v>43325</v>
      </c>
      <c r="U672" s="12">
        <f t="shared" si="43"/>
        <v>2.4305555555555556E-2</v>
      </c>
      <c r="V672" s="2">
        <f t="shared" si="44"/>
        <v>43327</v>
      </c>
      <c r="W672" s="12">
        <f t="shared" si="45"/>
        <v>0.35486111111111113</v>
      </c>
    </row>
    <row r="673" spans="1:23">
      <c r="A673">
        <f>IF(ISBLANK('Data Input'!A673),"",'Data Input'!A673)</f>
        <v>164</v>
      </c>
      <c r="B673" t="str">
        <f>IF(ISBLANK('Data Input'!B673),"",'Data Input'!B673)</f>
        <v>AH004</v>
      </c>
      <c r="C673" t="str">
        <f>IF(ISBLANK('Data Input'!C673),"",'Data Input'!C673)</f>
        <v>8/13/18 0035</v>
      </c>
      <c r="E673" t="str">
        <f>IF(ISBLANK('Data Input'!D673),"",'Data Input'!D673)</f>
        <v>8/15/18 0831</v>
      </c>
      <c r="G673">
        <f>IF(ISBLANK('Data Input'!E673),"",'Data Input'!E673)</f>
        <v>27</v>
      </c>
      <c r="H673" t="str">
        <f>IF(ISBLANK('Data Input'!F673),"",'Data Input'!F673)</f>
        <v>bb - Black</v>
      </c>
      <c r="I673" t="str">
        <f>IF(ISBLANK('Data Input'!G673),"",'Data Input'!G673)</f>
        <v>Caesarean</v>
      </c>
      <c r="J673" t="str">
        <f>IF(ISBLANK('Data Input'!I673),"",'Data Input'!I673)</f>
        <v>8=13=18 1900</v>
      </c>
      <c r="K673" t="str">
        <f>IF(ISBLANK('Data Input'!J673),"",'Data Input'!J673)</f>
        <v>tr - Toradol</v>
      </c>
      <c r="L673">
        <f>IF(ISBLANK('Data Input'!K673),"",'Data Input'!K673)</f>
        <v>30</v>
      </c>
      <c r="M673">
        <f>IF(ISBLANK('Data Input'!L673),"",'Data Input'!L673)</f>
        <v>2</v>
      </c>
      <c r="N673">
        <f>IF(ISBLANK('Data Input'!M673),"",'Data Input'!M673)</f>
        <v>0</v>
      </c>
      <c r="O673" t="str">
        <f>IF(ISBLANK('Data Input'!N673),"",'Data Input'!N673)</f>
        <v/>
      </c>
      <c r="P673" t="str">
        <f>IF(ISBLANK('Data Input'!O673),"",'Data Input'!O673)</f>
        <v/>
      </c>
      <c r="Q673" t="str">
        <f>IF(ISBLANK('Data Input'!P673),"",'Data Input'!P673)</f>
        <v>Mom hyped p^(_) TT session very talkative + relaxed</v>
      </c>
      <c r="R673" t="b">
        <f>IF(ISBLANK('Data Input'!Q673),"",'Data Input'!Q673)</f>
        <v>0</v>
      </c>
      <c r="T673" s="2">
        <f t="shared" si="42"/>
        <v>43325</v>
      </c>
      <c r="U673" s="12">
        <f t="shared" si="43"/>
        <v>2.4305555555555556E-2</v>
      </c>
      <c r="V673" s="2">
        <f t="shared" si="44"/>
        <v>43327</v>
      </c>
      <c r="W673" s="12">
        <f t="shared" si="45"/>
        <v>0.35486111111111113</v>
      </c>
    </row>
    <row r="674" spans="1:23">
      <c r="A674">
        <f>IF(ISBLANK('Data Input'!A674),"",'Data Input'!A674)</f>
        <v>164</v>
      </c>
      <c r="B674" t="str">
        <f>IF(ISBLANK('Data Input'!B674),"",'Data Input'!B674)</f>
        <v>AH004</v>
      </c>
      <c r="C674" t="str">
        <f>IF(ISBLANK('Data Input'!C674),"",'Data Input'!C674)</f>
        <v>8/13/18 0035</v>
      </c>
      <c r="E674" t="str">
        <f>IF(ISBLANK('Data Input'!D674),"",'Data Input'!D674)</f>
        <v>8/15/18 0831</v>
      </c>
      <c r="G674">
        <f>IF(ISBLANK('Data Input'!E674),"",'Data Input'!E674)</f>
        <v>27</v>
      </c>
      <c r="H674" t="str">
        <f>IF(ISBLANK('Data Input'!F674),"",'Data Input'!F674)</f>
        <v>bb - Black</v>
      </c>
      <c r="I674" t="str">
        <f>IF(ISBLANK('Data Input'!G674),"",'Data Input'!G674)</f>
        <v>Caesarean</v>
      </c>
      <c r="J674" t="str">
        <f>IF(ISBLANK('Data Input'!I674),"",'Data Input'!I674)</f>
        <v>8=13=18 1900</v>
      </c>
      <c r="K674" t="str">
        <f>IF(ISBLANK('Data Input'!J674),"",'Data Input'!J674)</f>
        <v>rr - Percocet</v>
      </c>
      <c r="L674">
        <f>IF(ISBLANK('Data Input'!K674),"",'Data Input'!K674)</f>
        <v>1</v>
      </c>
      <c r="M674">
        <f>IF(ISBLANK('Data Input'!L674),"",'Data Input'!L674)</f>
        <v>2</v>
      </c>
      <c r="N674">
        <f>IF(ISBLANK('Data Input'!M674),"",'Data Input'!M674)</f>
        <v>0</v>
      </c>
      <c r="O674" t="str">
        <f>IF(ISBLANK('Data Input'!N674),"",'Data Input'!N674)</f>
        <v/>
      </c>
      <c r="P674" t="str">
        <f>IF(ISBLANK('Data Input'!O674),"",'Data Input'!O674)</f>
        <v/>
      </c>
      <c r="Q674" t="str">
        <f>IF(ISBLANK('Data Input'!P674),"",'Data Input'!P674)</f>
        <v>Mom hyped p^(_) TT session very talkative + relaxed</v>
      </c>
      <c r="R674" t="b">
        <f>IF(ISBLANK('Data Input'!Q674),"",'Data Input'!Q674)</f>
        <v>0</v>
      </c>
      <c r="T674" s="2">
        <f t="shared" si="42"/>
        <v>43325</v>
      </c>
      <c r="U674" s="12">
        <f t="shared" si="43"/>
        <v>2.4305555555555556E-2</v>
      </c>
      <c r="V674" s="2">
        <f t="shared" si="44"/>
        <v>43327</v>
      </c>
      <c r="W674" s="12">
        <f t="shared" si="45"/>
        <v>0.35486111111111113</v>
      </c>
    </row>
    <row r="675" spans="1:23">
      <c r="A675">
        <f>IF(ISBLANK('Data Input'!A675),"",'Data Input'!A675)</f>
        <v>164</v>
      </c>
      <c r="B675" t="str">
        <f>IF(ISBLANK('Data Input'!B675),"",'Data Input'!B675)</f>
        <v>AH004</v>
      </c>
      <c r="C675" t="str">
        <f>IF(ISBLANK('Data Input'!C675),"",'Data Input'!C675)</f>
        <v>8/13/18 0035</v>
      </c>
      <c r="E675" t="str">
        <f>IF(ISBLANK('Data Input'!D675),"",'Data Input'!D675)</f>
        <v>8/15/18 0831</v>
      </c>
      <c r="G675">
        <f>IF(ISBLANK('Data Input'!E675),"",'Data Input'!E675)</f>
        <v>27</v>
      </c>
      <c r="H675" t="str">
        <f>IF(ISBLANK('Data Input'!F675),"",'Data Input'!F675)</f>
        <v>bb - Black</v>
      </c>
      <c r="I675" t="str">
        <f>IF(ISBLANK('Data Input'!G675),"",'Data Input'!G675)</f>
        <v>Caesarean</v>
      </c>
      <c r="J675" t="str">
        <f>IF(ISBLANK('Data Input'!I675),"",'Data Input'!I675)</f>
        <v>8=14=18 0215</v>
      </c>
      <c r="K675" t="str">
        <f>IF(ISBLANK('Data Input'!J675),"",'Data Input'!J675)</f>
        <v>tr - Toradol</v>
      </c>
      <c r="L675">
        <f>IF(ISBLANK('Data Input'!K675),"",'Data Input'!K675)</f>
        <v>30</v>
      </c>
      <c r="M675">
        <f>IF(ISBLANK('Data Input'!L675),"",'Data Input'!L675)</f>
        <v>8</v>
      </c>
      <c r="N675">
        <f>IF(ISBLANK('Data Input'!M675),"",'Data Input'!M675)</f>
        <v>3</v>
      </c>
      <c r="O675" t="str">
        <f>IF(ISBLANK('Data Input'!N675),"",'Data Input'!N675)</f>
        <v/>
      </c>
      <c r="P675" t="str">
        <f>IF(ISBLANK('Data Input'!O675),"",'Data Input'!O675)</f>
        <v/>
      </c>
      <c r="Q675" t="str">
        <f>IF(ISBLANK('Data Input'!P675),"",'Data Input'!P675)</f>
        <v>Mom hyped p^(_) TT session very talkative + relaxed</v>
      </c>
      <c r="R675" t="b">
        <f>IF(ISBLANK('Data Input'!Q675),"",'Data Input'!Q675)</f>
        <v>0</v>
      </c>
      <c r="T675" s="2">
        <f t="shared" si="42"/>
        <v>43325</v>
      </c>
      <c r="U675" s="12">
        <f t="shared" si="43"/>
        <v>2.4305555555555556E-2</v>
      </c>
      <c r="V675" s="2">
        <f t="shared" si="44"/>
        <v>43327</v>
      </c>
      <c r="W675" s="12">
        <f t="shared" si="45"/>
        <v>0.35486111111111113</v>
      </c>
    </row>
    <row r="676" spans="1:23">
      <c r="A676">
        <f>IF(ISBLANK('Data Input'!A676),"",'Data Input'!A676)</f>
        <v>164</v>
      </c>
      <c r="B676" t="str">
        <f>IF(ISBLANK('Data Input'!B676),"",'Data Input'!B676)</f>
        <v>AH004</v>
      </c>
      <c r="C676" t="str">
        <f>IF(ISBLANK('Data Input'!C676),"",'Data Input'!C676)</f>
        <v>8/13/18 0035</v>
      </c>
      <c r="E676" t="str">
        <f>IF(ISBLANK('Data Input'!D676),"",'Data Input'!D676)</f>
        <v>8/15/18 0831</v>
      </c>
      <c r="G676">
        <f>IF(ISBLANK('Data Input'!E676),"",'Data Input'!E676)</f>
        <v>27</v>
      </c>
      <c r="H676" t="str">
        <f>IF(ISBLANK('Data Input'!F676),"",'Data Input'!F676)</f>
        <v>bb - Black</v>
      </c>
      <c r="I676" t="str">
        <f>IF(ISBLANK('Data Input'!G676),"",'Data Input'!G676)</f>
        <v>Caesarean</v>
      </c>
      <c r="J676" t="str">
        <f>IF(ISBLANK('Data Input'!I676),"",'Data Input'!I676)</f>
        <v>8=14=18 0215</v>
      </c>
      <c r="K676" t="str">
        <f>IF(ISBLANK('Data Input'!J676),"",'Data Input'!J676)</f>
        <v>rr - Percocet</v>
      </c>
      <c r="L676">
        <f>IF(ISBLANK('Data Input'!K676),"",'Data Input'!K676)</f>
        <v>1</v>
      </c>
      <c r="M676">
        <f>IF(ISBLANK('Data Input'!L676),"",'Data Input'!L676)</f>
        <v>8</v>
      </c>
      <c r="N676">
        <f>IF(ISBLANK('Data Input'!M676),"",'Data Input'!M676)</f>
        <v>3</v>
      </c>
      <c r="O676" t="str">
        <f>IF(ISBLANK('Data Input'!N676),"",'Data Input'!N676)</f>
        <v/>
      </c>
      <c r="P676" t="str">
        <f>IF(ISBLANK('Data Input'!O676),"",'Data Input'!O676)</f>
        <v/>
      </c>
      <c r="Q676" t="str">
        <f>IF(ISBLANK('Data Input'!P676),"",'Data Input'!P676)</f>
        <v>Mom hyped p^(_) TT session very talkative + relaxed</v>
      </c>
      <c r="R676" t="b">
        <f>IF(ISBLANK('Data Input'!Q676),"",'Data Input'!Q676)</f>
        <v>0</v>
      </c>
      <c r="T676" s="2">
        <f t="shared" si="42"/>
        <v>43325</v>
      </c>
      <c r="U676" s="12">
        <f t="shared" si="43"/>
        <v>2.4305555555555556E-2</v>
      </c>
      <c r="V676" s="2">
        <f t="shared" si="44"/>
        <v>43327</v>
      </c>
      <c r="W676" s="12">
        <f t="shared" si="45"/>
        <v>0.35486111111111113</v>
      </c>
    </row>
    <row r="677" spans="1:23">
      <c r="A677">
        <f>IF(ISBLANK('Data Input'!A677),"",'Data Input'!A677)</f>
        <v>164</v>
      </c>
      <c r="B677" t="str">
        <f>IF(ISBLANK('Data Input'!B677),"",'Data Input'!B677)</f>
        <v>AH004</v>
      </c>
      <c r="C677" t="str">
        <f>IF(ISBLANK('Data Input'!C677),"",'Data Input'!C677)</f>
        <v>8/13/18 0035</v>
      </c>
      <c r="E677" t="str">
        <f>IF(ISBLANK('Data Input'!D677),"",'Data Input'!D677)</f>
        <v>8/15/18 0831</v>
      </c>
      <c r="G677">
        <f>IF(ISBLANK('Data Input'!E677),"",'Data Input'!E677)</f>
        <v>27</v>
      </c>
      <c r="H677" t="str">
        <f>IF(ISBLANK('Data Input'!F677),"",'Data Input'!F677)</f>
        <v>bb - Black</v>
      </c>
      <c r="I677" t="str">
        <f>IF(ISBLANK('Data Input'!G677),"",'Data Input'!G677)</f>
        <v>Caesarean</v>
      </c>
      <c r="J677" t="str">
        <f>IF(ISBLANK('Data Input'!I677),"",'Data Input'!I677)</f>
        <v>8=14=18 0859</v>
      </c>
      <c r="K677" t="str">
        <f>IF(ISBLANK('Data Input'!J677),"",'Data Input'!J677)</f>
        <v>tr - Toradol</v>
      </c>
      <c r="L677">
        <f>IF(ISBLANK('Data Input'!K677),"",'Data Input'!K677)</f>
        <v>30</v>
      </c>
      <c r="M677">
        <f>IF(ISBLANK('Data Input'!L677),"",'Data Input'!L677)</f>
        <v>5</v>
      </c>
      <c r="N677">
        <f>IF(ISBLANK('Data Input'!M677),"",'Data Input'!M677)</f>
        <v>2</v>
      </c>
      <c r="O677" t="str">
        <f>IF(ISBLANK('Data Input'!N677),"",'Data Input'!N677)</f>
        <v/>
      </c>
      <c r="P677" t="str">
        <f>IF(ISBLANK('Data Input'!O677),"",'Data Input'!O677)</f>
        <v/>
      </c>
      <c r="Q677" t="str">
        <f>IF(ISBLANK('Data Input'!P677),"",'Data Input'!P677)</f>
        <v>Mom hyped p^(_) TT session very talkative + relaxed</v>
      </c>
      <c r="R677" t="b">
        <f>IF(ISBLANK('Data Input'!Q677),"",'Data Input'!Q677)</f>
        <v>0</v>
      </c>
      <c r="T677" s="2">
        <f t="shared" si="42"/>
        <v>43325</v>
      </c>
      <c r="U677" s="12">
        <f t="shared" si="43"/>
        <v>2.4305555555555556E-2</v>
      </c>
      <c r="V677" s="2">
        <f t="shared" si="44"/>
        <v>43327</v>
      </c>
      <c r="W677" s="12">
        <f t="shared" si="45"/>
        <v>0.35486111111111113</v>
      </c>
    </row>
    <row r="678" spans="1:23">
      <c r="A678">
        <f>IF(ISBLANK('Data Input'!A678),"",'Data Input'!A678)</f>
        <v>164</v>
      </c>
      <c r="B678" t="str">
        <f>IF(ISBLANK('Data Input'!B678),"",'Data Input'!B678)</f>
        <v>AH004</v>
      </c>
      <c r="C678" t="str">
        <f>IF(ISBLANK('Data Input'!C678),"",'Data Input'!C678)</f>
        <v>8/13/18 0035</v>
      </c>
      <c r="E678" t="str">
        <f>IF(ISBLANK('Data Input'!D678),"",'Data Input'!D678)</f>
        <v>8/15/18 0831</v>
      </c>
      <c r="G678">
        <f>IF(ISBLANK('Data Input'!E678),"",'Data Input'!E678)</f>
        <v>27</v>
      </c>
      <c r="H678" t="str">
        <f>IF(ISBLANK('Data Input'!F678),"",'Data Input'!F678)</f>
        <v>bb - Black</v>
      </c>
      <c r="I678" t="str">
        <f>IF(ISBLANK('Data Input'!G678),"",'Data Input'!G678)</f>
        <v>Caesarean</v>
      </c>
      <c r="J678" t="str">
        <f>IF(ISBLANK('Data Input'!I678),"",'Data Input'!I678)</f>
        <v>8=14=18 0859</v>
      </c>
      <c r="K678" t="str">
        <f>IF(ISBLANK('Data Input'!J678),"",'Data Input'!J678)</f>
        <v>rr - Percocet</v>
      </c>
      <c r="L678">
        <f>IF(ISBLANK('Data Input'!K678),"",'Data Input'!K678)</f>
        <v>1</v>
      </c>
      <c r="M678">
        <f>IF(ISBLANK('Data Input'!L678),"",'Data Input'!L678)</f>
        <v>5</v>
      </c>
      <c r="N678">
        <f>IF(ISBLANK('Data Input'!M678),"",'Data Input'!M678)</f>
        <v>2</v>
      </c>
      <c r="O678" t="str">
        <f>IF(ISBLANK('Data Input'!N678),"",'Data Input'!N678)</f>
        <v/>
      </c>
      <c r="P678" t="str">
        <f>IF(ISBLANK('Data Input'!O678),"",'Data Input'!O678)</f>
        <v/>
      </c>
      <c r="Q678" t="str">
        <f>IF(ISBLANK('Data Input'!P678),"",'Data Input'!P678)</f>
        <v>Mom hyped p^(_) TT session very talkative + relaxed</v>
      </c>
      <c r="R678" t="b">
        <f>IF(ISBLANK('Data Input'!Q678),"",'Data Input'!Q678)</f>
        <v>0</v>
      </c>
      <c r="T678" s="2">
        <f t="shared" si="42"/>
        <v>43325</v>
      </c>
      <c r="U678" s="12">
        <f t="shared" si="43"/>
        <v>2.4305555555555556E-2</v>
      </c>
      <c r="V678" s="2">
        <f t="shared" si="44"/>
        <v>43327</v>
      </c>
      <c r="W678" s="12">
        <f t="shared" si="45"/>
        <v>0.35486111111111113</v>
      </c>
    </row>
    <row r="679" spans="1:23">
      <c r="A679">
        <f>IF(ISBLANK('Data Input'!A679),"",'Data Input'!A679)</f>
        <v>164</v>
      </c>
      <c r="B679" t="str">
        <f>IF(ISBLANK('Data Input'!B679),"",'Data Input'!B679)</f>
        <v>AH004</v>
      </c>
      <c r="C679" t="str">
        <f>IF(ISBLANK('Data Input'!C679),"",'Data Input'!C679)</f>
        <v>8/13/18 0035</v>
      </c>
      <c r="E679" t="str">
        <f>IF(ISBLANK('Data Input'!D679),"",'Data Input'!D679)</f>
        <v>8/15/18 0831</v>
      </c>
      <c r="G679">
        <f>IF(ISBLANK('Data Input'!E679),"",'Data Input'!E679)</f>
        <v>27</v>
      </c>
      <c r="H679" t="str">
        <f>IF(ISBLANK('Data Input'!F679),"",'Data Input'!F679)</f>
        <v>bb - Black</v>
      </c>
      <c r="I679" t="str">
        <f>IF(ISBLANK('Data Input'!G679),"",'Data Input'!G679)</f>
        <v>Caesarean</v>
      </c>
      <c r="J679" t="str">
        <f>IF(ISBLANK('Data Input'!I679),"",'Data Input'!I679)</f>
        <v>8=14=18 1006</v>
      </c>
      <c r="K679" t="str">
        <f>IF(ISBLANK('Data Input'!J679),"",'Data Input'!J679)</f>
        <v>rr - Percocet</v>
      </c>
      <c r="L679">
        <f>IF(ISBLANK('Data Input'!K679),"",'Data Input'!K679)</f>
        <v>1</v>
      </c>
      <c r="M679" t="str">
        <f>IF(ISBLANK('Data Input'!L679),"",'Data Input'!L679)</f>
        <v>dd - Missing Data</v>
      </c>
      <c r="N679" t="str">
        <f>IF(ISBLANK('Data Input'!M679),"",'Data Input'!M679)</f>
        <v>dd - Missing Data</v>
      </c>
      <c r="O679" t="str">
        <f>IF(ISBLANK('Data Input'!N679),"",'Data Input'!N679)</f>
        <v/>
      </c>
      <c r="P679" t="str">
        <f>IF(ISBLANK('Data Input'!O679),"",'Data Input'!O679)</f>
        <v/>
      </c>
      <c r="Q679" t="str">
        <f>IF(ISBLANK('Data Input'!P679),"",'Data Input'!P679)</f>
        <v>Mom hyped p^(_) TT session very talkative + relaxed</v>
      </c>
      <c r="R679" t="b">
        <f>IF(ISBLANK('Data Input'!Q679),"",'Data Input'!Q679)</f>
        <v>0</v>
      </c>
      <c r="T679" s="2">
        <f t="shared" si="42"/>
        <v>43325</v>
      </c>
      <c r="U679" s="12">
        <f t="shared" si="43"/>
        <v>2.4305555555555556E-2</v>
      </c>
      <c r="V679" s="2">
        <f t="shared" si="44"/>
        <v>43327</v>
      </c>
      <c r="W679" s="12">
        <f t="shared" si="45"/>
        <v>0.35486111111111113</v>
      </c>
    </row>
    <row r="680" spans="1:23">
      <c r="A680">
        <f>IF(ISBLANK('Data Input'!A680),"",'Data Input'!A680)</f>
        <v>164</v>
      </c>
      <c r="B680" t="str">
        <f>IF(ISBLANK('Data Input'!B680),"",'Data Input'!B680)</f>
        <v>AH004</v>
      </c>
      <c r="C680" t="str">
        <f>IF(ISBLANK('Data Input'!C680),"",'Data Input'!C680)</f>
        <v>8/13/18 0035</v>
      </c>
      <c r="E680" t="str">
        <f>IF(ISBLANK('Data Input'!D680),"",'Data Input'!D680)</f>
        <v>8/15/18 0831</v>
      </c>
      <c r="G680">
        <f>IF(ISBLANK('Data Input'!E680),"",'Data Input'!E680)</f>
        <v>27</v>
      </c>
      <c r="H680" t="str">
        <f>IF(ISBLANK('Data Input'!F680),"",'Data Input'!F680)</f>
        <v>bb - Black</v>
      </c>
      <c r="I680" t="str">
        <f>IF(ISBLANK('Data Input'!G680),"",'Data Input'!G680)</f>
        <v>Caesarean</v>
      </c>
      <c r="J680" t="str">
        <f>IF(ISBLANK('Data Input'!I680),"",'Data Input'!I680)</f>
        <v>8=14=18 1436</v>
      </c>
      <c r="K680" t="str">
        <f>IF(ISBLANK('Data Input'!J680),"",'Data Input'!J680)</f>
        <v>tr - Toradol</v>
      </c>
      <c r="L680">
        <f>IF(ISBLANK('Data Input'!K680),"",'Data Input'!K680)</f>
        <v>30</v>
      </c>
      <c r="M680">
        <f>IF(ISBLANK('Data Input'!L680),"",'Data Input'!L680)</f>
        <v>5</v>
      </c>
      <c r="N680">
        <f>IF(ISBLANK('Data Input'!M680),"",'Data Input'!M680)</f>
        <v>2</v>
      </c>
      <c r="O680" t="str">
        <f>IF(ISBLANK('Data Input'!N680),"",'Data Input'!N680)</f>
        <v/>
      </c>
      <c r="P680" t="str">
        <f>IF(ISBLANK('Data Input'!O680),"",'Data Input'!O680)</f>
        <v/>
      </c>
      <c r="Q680" t="str">
        <f>IF(ISBLANK('Data Input'!P680),"",'Data Input'!P680)</f>
        <v>Mom hyped p^(_) TT session very talkative + relaxed</v>
      </c>
      <c r="R680" t="b">
        <f>IF(ISBLANK('Data Input'!Q680),"",'Data Input'!Q680)</f>
        <v>0</v>
      </c>
      <c r="T680" s="2">
        <f t="shared" si="42"/>
        <v>43325</v>
      </c>
      <c r="U680" s="12">
        <f t="shared" si="43"/>
        <v>2.4305555555555556E-2</v>
      </c>
      <c r="V680" s="2">
        <f t="shared" si="44"/>
        <v>43327</v>
      </c>
      <c r="W680" s="12">
        <f t="shared" si="45"/>
        <v>0.35486111111111113</v>
      </c>
    </row>
    <row r="681" spans="1:23">
      <c r="A681">
        <f>IF(ISBLANK('Data Input'!A681),"",'Data Input'!A681)</f>
        <v>164</v>
      </c>
      <c r="B681" t="str">
        <f>IF(ISBLANK('Data Input'!B681),"",'Data Input'!B681)</f>
        <v>AH004</v>
      </c>
      <c r="C681" t="str">
        <f>IF(ISBLANK('Data Input'!C681),"",'Data Input'!C681)</f>
        <v>8/13/18 0035</v>
      </c>
      <c r="E681" t="str">
        <f>IF(ISBLANK('Data Input'!D681),"",'Data Input'!D681)</f>
        <v>8/15/18 0831</v>
      </c>
      <c r="G681">
        <f>IF(ISBLANK('Data Input'!E681),"",'Data Input'!E681)</f>
        <v>27</v>
      </c>
      <c r="H681" t="str">
        <f>IF(ISBLANK('Data Input'!F681),"",'Data Input'!F681)</f>
        <v>bb - Black</v>
      </c>
      <c r="I681" t="str">
        <f>IF(ISBLANK('Data Input'!G681),"",'Data Input'!G681)</f>
        <v>Caesarean</v>
      </c>
      <c r="J681" t="str">
        <f>IF(ISBLANK('Data Input'!I681),"",'Data Input'!I681)</f>
        <v>8=14=18 1436</v>
      </c>
      <c r="K681" t="str">
        <f>IF(ISBLANK('Data Input'!J681),"",'Data Input'!J681)</f>
        <v>rr - Percocet</v>
      </c>
      <c r="L681">
        <f>IF(ISBLANK('Data Input'!K681),"",'Data Input'!K681)</f>
        <v>1</v>
      </c>
      <c r="M681">
        <f>IF(ISBLANK('Data Input'!L681),"",'Data Input'!L681)</f>
        <v>5</v>
      </c>
      <c r="N681">
        <f>IF(ISBLANK('Data Input'!M681),"",'Data Input'!M681)</f>
        <v>2</v>
      </c>
      <c r="O681" t="str">
        <f>IF(ISBLANK('Data Input'!N681),"",'Data Input'!N681)</f>
        <v/>
      </c>
      <c r="P681" t="str">
        <f>IF(ISBLANK('Data Input'!O681),"",'Data Input'!O681)</f>
        <v/>
      </c>
      <c r="Q681" t="str">
        <f>IF(ISBLANK('Data Input'!P681),"",'Data Input'!P681)</f>
        <v>Mom hyped p^(_) TT session very talkative + relaxed</v>
      </c>
      <c r="R681" t="b">
        <f>IF(ISBLANK('Data Input'!Q681),"",'Data Input'!Q681)</f>
        <v>0</v>
      </c>
      <c r="T681" s="2">
        <f t="shared" si="42"/>
        <v>43325</v>
      </c>
      <c r="U681" s="12">
        <f t="shared" si="43"/>
        <v>2.4305555555555556E-2</v>
      </c>
      <c r="V681" s="2">
        <f t="shared" si="44"/>
        <v>43327</v>
      </c>
      <c r="W681" s="12">
        <f t="shared" si="45"/>
        <v>0.35486111111111113</v>
      </c>
    </row>
    <row r="682" spans="1:23">
      <c r="A682">
        <f>IF(ISBLANK('Data Input'!A682),"",'Data Input'!A682)</f>
        <v>164</v>
      </c>
      <c r="B682" t="str">
        <f>IF(ISBLANK('Data Input'!B682),"",'Data Input'!B682)</f>
        <v>AH004</v>
      </c>
      <c r="C682" t="str">
        <f>IF(ISBLANK('Data Input'!C682),"",'Data Input'!C682)</f>
        <v>8/13/18 0035</v>
      </c>
      <c r="E682" t="str">
        <f>IF(ISBLANK('Data Input'!D682),"",'Data Input'!D682)</f>
        <v>8/15/18 0831</v>
      </c>
      <c r="G682">
        <f>IF(ISBLANK('Data Input'!E682),"",'Data Input'!E682)</f>
        <v>27</v>
      </c>
      <c r="H682" t="str">
        <f>IF(ISBLANK('Data Input'!F682),"",'Data Input'!F682)</f>
        <v>bb - Black</v>
      </c>
      <c r="I682" t="str">
        <f>IF(ISBLANK('Data Input'!G682),"",'Data Input'!G682)</f>
        <v>Caesarean</v>
      </c>
      <c r="J682" t="str">
        <f>IF(ISBLANK('Data Input'!I682),"",'Data Input'!I682)</f>
        <v>8=14=18 2039</v>
      </c>
      <c r="K682" t="str">
        <f>IF(ISBLANK('Data Input'!J682),"",'Data Input'!J682)</f>
        <v>bb - Ibuprofen</v>
      </c>
      <c r="L682">
        <f>IF(ISBLANK('Data Input'!K682),"",'Data Input'!K682)</f>
        <v>800</v>
      </c>
      <c r="M682">
        <f>IF(ISBLANK('Data Input'!L682),"",'Data Input'!L682)</f>
        <v>6</v>
      </c>
      <c r="N682">
        <f>IF(ISBLANK('Data Input'!M682),"",'Data Input'!M682)</f>
        <v>2</v>
      </c>
      <c r="O682" t="str">
        <f>IF(ISBLANK('Data Input'!N682),"",'Data Input'!N682)</f>
        <v/>
      </c>
      <c r="P682" t="str">
        <f>IF(ISBLANK('Data Input'!O682),"",'Data Input'!O682)</f>
        <v/>
      </c>
      <c r="Q682" t="str">
        <f>IF(ISBLANK('Data Input'!P682),"",'Data Input'!P682)</f>
        <v>Mom hyped p^(_) TT session very talkative + relaxed</v>
      </c>
      <c r="R682" t="b">
        <f>IF(ISBLANK('Data Input'!Q682),"",'Data Input'!Q682)</f>
        <v>0</v>
      </c>
      <c r="T682" s="2">
        <f t="shared" si="42"/>
        <v>43325</v>
      </c>
      <c r="U682" s="12">
        <f t="shared" si="43"/>
        <v>2.4305555555555556E-2</v>
      </c>
      <c r="V682" s="2">
        <f t="shared" si="44"/>
        <v>43327</v>
      </c>
      <c r="W682" s="12">
        <f t="shared" si="45"/>
        <v>0.35486111111111113</v>
      </c>
    </row>
    <row r="683" spans="1:23">
      <c r="A683">
        <f>IF(ISBLANK('Data Input'!A683),"",'Data Input'!A683)</f>
        <v>164</v>
      </c>
      <c r="B683" t="str">
        <f>IF(ISBLANK('Data Input'!B683),"",'Data Input'!B683)</f>
        <v>AH004</v>
      </c>
      <c r="C683" t="str">
        <f>IF(ISBLANK('Data Input'!C683),"",'Data Input'!C683)</f>
        <v>8/13/18 0035</v>
      </c>
      <c r="E683" t="str">
        <f>IF(ISBLANK('Data Input'!D683),"",'Data Input'!D683)</f>
        <v>8/15/18 0831</v>
      </c>
      <c r="G683">
        <f>IF(ISBLANK('Data Input'!E683),"",'Data Input'!E683)</f>
        <v>27</v>
      </c>
      <c r="H683" t="str">
        <f>IF(ISBLANK('Data Input'!F683),"",'Data Input'!F683)</f>
        <v>bb - Black</v>
      </c>
      <c r="I683" t="str">
        <f>IF(ISBLANK('Data Input'!G683),"",'Data Input'!G683)</f>
        <v>Caesarean</v>
      </c>
      <c r="J683" t="str">
        <f>IF(ISBLANK('Data Input'!I683),"",'Data Input'!I683)</f>
        <v>8=14=18 2039</v>
      </c>
      <c r="K683" t="str">
        <f>IF(ISBLANK('Data Input'!J683),"",'Data Input'!J683)</f>
        <v>rr - Percocet</v>
      </c>
      <c r="L683">
        <f>IF(ISBLANK('Data Input'!K683),"",'Data Input'!K683)</f>
        <v>1</v>
      </c>
      <c r="M683">
        <f>IF(ISBLANK('Data Input'!L683),"",'Data Input'!L683)</f>
        <v>6</v>
      </c>
      <c r="N683">
        <f>IF(ISBLANK('Data Input'!M683),"",'Data Input'!M683)</f>
        <v>2</v>
      </c>
      <c r="O683" t="str">
        <f>IF(ISBLANK('Data Input'!N683),"",'Data Input'!N683)</f>
        <v/>
      </c>
      <c r="P683" t="str">
        <f>IF(ISBLANK('Data Input'!O683),"",'Data Input'!O683)</f>
        <v/>
      </c>
      <c r="Q683" t="str">
        <f>IF(ISBLANK('Data Input'!P683),"",'Data Input'!P683)</f>
        <v>Mom hyped p^(_) TT session very talkative + relaxed</v>
      </c>
      <c r="R683" t="b">
        <f>IF(ISBLANK('Data Input'!Q683),"",'Data Input'!Q683)</f>
        <v>0</v>
      </c>
      <c r="T683" s="2">
        <f t="shared" si="42"/>
        <v>43325</v>
      </c>
      <c r="U683" s="12">
        <f t="shared" si="43"/>
        <v>2.4305555555555556E-2</v>
      </c>
      <c r="V683" s="2">
        <f t="shared" si="44"/>
        <v>43327</v>
      </c>
      <c r="W683" s="12">
        <f t="shared" si="45"/>
        <v>0.35486111111111113</v>
      </c>
    </row>
    <row r="684" spans="1:23">
      <c r="A684">
        <f>IF(ISBLANK('Data Input'!A684),"",'Data Input'!A684)</f>
        <v>164</v>
      </c>
      <c r="B684" t="str">
        <f>IF(ISBLANK('Data Input'!B684),"",'Data Input'!B684)</f>
        <v>AH004</v>
      </c>
      <c r="C684" t="str">
        <f>IF(ISBLANK('Data Input'!C684),"",'Data Input'!C684)</f>
        <v>8/13/18 0035</v>
      </c>
      <c r="E684" t="str">
        <f>IF(ISBLANK('Data Input'!D684),"",'Data Input'!D684)</f>
        <v>8/15/18 0831</v>
      </c>
      <c r="G684">
        <f>IF(ISBLANK('Data Input'!E684),"",'Data Input'!E684)</f>
        <v>27</v>
      </c>
      <c r="H684" t="str">
        <f>IF(ISBLANK('Data Input'!F684),"",'Data Input'!F684)</f>
        <v>bb - Black</v>
      </c>
      <c r="I684" t="str">
        <f>IF(ISBLANK('Data Input'!G684),"",'Data Input'!G684)</f>
        <v>Caesarean</v>
      </c>
      <c r="J684" t="str">
        <f>IF(ISBLANK('Data Input'!I684),"",'Data Input'!I684)</f>
        <v>8=15=18 0244</v>
      </c>
      <c r="K684" t="str">
        <f>IF(ISBLANK('Data Input'!J684),"",'Data Input'!J684)</f>
        <v>bb - Ibuprofen</v>
      </c>
      <c r="L684">
        <f>IF(ISBLANK('Data Input'!K684),"",'Data Input'!K684)</f>
        <v>800</v>
      </c>
      <c r="M684">
        <f>IF(ISBLANK('Data Input'!L684),"",'Data Input'!L684)</f>
        <v>6</v>
      </c>
      <c r="N684">
        <f>IF(ISBLANK('Data Input'!M684),"",'Data Input'!M684)</f>
        <v>2</v>
      </c>
      <c r="O684" t="str">
        <f>IF(ISBLANK('Data Input'!N684),"",'Data Input'!N684)</f>
        <v/>
      </c>
      <c r="P684" t="str">
        <f>IF(ISBLANK('Data Input'!O684),"",'Data Input'!O684)</f>
        <v/>
      </c>
      <c r="Q684" t="str">
        <f>IF(ISBLANK('Data Input'!P684),"",'Data Input'!P684)</f>
        <v>Mom hyped p^(_) TT session very talkative + relaxed</v>
      </c>
      <c r="R684" t="b">
        <f>IF(ISBLANK('Data Input'!Q684),"",'Data Input'!Q684)</f>
        <v>0</v>
      </c>
      <c r="T684" s="2">
        <f t="shared" si="42"/>
        <v>43325</v>
      </c>
      <c r="U684" s="12">
        <f t="shared" si="43"/>
        <v>2.4305555555555556E-2</v>
      </c>
      <c r="V684" s="2">
        <f t="shared" si="44"/>
        <v>43327</v>
      </c>
      <c r="W684" s="12">
        <f t="shared" si="45"/>
        <v>0.35486111111111113</v>
      </c>
    </row>
    <row r="685" spans="1:23">
      <c r="A685">
        <f>IF(ISBLANK('Data Input'!A685),"",'Data Input'!A685)</f>
        <v>164</v>
      </c>
      <c r="B685" t="str">
        <f>IF(ISBLANK('Data Input'!B685),"",'Data Input'!B685)</f>
        <v>AH004</v>
      </c>
      <c r="C685" t="str">
        <f>IF(ISBLANK('Data Input'!C685),"",'Data Input'!C685)</f>
        <v>8/13/18 0035</v>
      </c>
      <c r="E685" t="str">
        <f>IF(ISBLANK('Data Input'!D685),"",'Data Input'!D685)</f>
        <v>8/15/18 0831</v>
      </c>
      <c r="G685">
        <f>IF(ISBLANK('Data Input'!E685),"",'Data Input'!E685)</f>
        <v>27</v>
      </c>
      <c r="H685" t="str">
        <f>IF(ISBLANK('Data Input'!F685),"",'Data Input'!F685)</f>
        <v>bb - Black</v>
      </c>
      <c r="I685" t="str">
        <f>IF(ISBLANK('Data Input'!G685),"",'Data Input'!G685)</f>
        <v>Caesarean</v>
      </c>
      <c r="J685" t="str">
        <f>IF(ISBLANK('Data Input'!I685),"",'Data Input'!I685)</f>
        <v>8=15=18 0244</v>
      </c>
      <c r="K685" t="str">
        <f>IF(ISBLANK('Data Input'!J685),"",'Data Input'!J685)</f>
        <v>rr - Percocet</v>
      </c>
      <c r="L685">
        <f>IF(ISBLANK('Data Input'!K685),"",'Data Input'!K685)</f>
        <v>1</v>
      </c>
      <c r="M685">
        <f>IF(ISBLANK('Data Input'!L685),"",'Data Input'!L685)</f>
        <v>6</v>
      </c>
      <c r="N685">
        <f>IF(ISBLANK('Data Input'!M685),"",'Data Input'!M685)</f>
        <v>2</v>
      </c>
      <c r="O685" t="str">
        <f>IF(ISBLANK('Data Input'!N685),"",'Data Input'!N685)</f>
        <v/>
      </c>
      <c r="P685" t="str">
        <f>IF(ISBLANK('Data Input'!O685),"",'Data Input'!O685)</f>
        <v/>
      </c>
      <c r="Q685" t="str">
        <f>IF(ISBLANK('Data Input'!P685),"",'Data Input'!P685)</f>
        <v>Mom hyped p^(_) TT session very talkative + relaxed</v>
      </c>
      <c r="R685" t="b">
        <f>IF(ISBLANK('Data Input'!Q685),"",'Data Input'!Q685)</f>
        <v>0</v>
      </c>
      <c r="T685" s="2">
        <f t="shared" si="42"/>
        <v>43325</v>
      </c>
      <c r="U685" s="12">
        <f t="shared" si="43"/>
        <v>2.4305555555555556E-2</v>
      </c>
      <c r="V685" s="2">
        <f t="shared" si="44"/>
        <v>43327</v>
      </c>
      <c r="W685" s="12">
        <f t="shared" si="45"/>
        <v>0.35486111111111113</v>
      </c>
    </row>
    <row r="686" spans="1:23">
      <c r="A686">
        <f>IF(ISBLANK('Data Input'!A686),"",'Data Input'!A686)</f>
        <v>164</v>
      </c>
      <c r="B686" t="str">
        <f>IF(ISBLANK('Data Input'!B686),"",'Data Input'!B686)</f>
        <v>AH004</v>
      </c>
      <c r="C686" t="str">
        <f>IF(ISBLANK('Data Input'!C686),"",'Data Input'!C686)</f>
        <v>8/13/18 0035</v>
      </c>
      <c r="E686" t="str">
        <f>IF(ISBLANK('Data Input'!D686),"",'Data Input'!D686)</f>
        <v>8/15/18 0831</v>
      </c>
      <c r="G686">
        <f>IF(ISBLANK('Data Input'!E686),"",'Data Input'!E686)</f>
        <v>27</v>
      </c>
      <c r="H686" t="str">
        <f>IF(ISBLANK('Data Input'!F686),"",'Data Input'!F686)</f>
        <v>bb - Black</v>
      </c>
      <c r="I686" t="str">
        <f>IF(ISBLANK('Data Input'!G686),"",'Data Input'!G686)</f>
        <v>Caesarean</v>
      </c>
      <c r="J686" t="str">
        <f>IF(ISBLANK('Data Input'!I686),"",'Data Input'!I686)</f>
        <v>8=15=18 0831</v>
      </c>
      <c r="K686" t="str">
        <f>IF(ISBLANK('Data Input'!J686),"",'Data Input'!J686)</f>
        <v>bb - Ibuprofen</v>
      </c>
      <c r="L686">
        <f>IF(ISBLANK('Data Input'!K686),"",'Data Input'!K686)</f>
        <v>800</v>
      </c>
      <c r="M686">
        <f>IF(ISBLANK('Data Input'!L686),"",'Data Input'!L686)</f>
        <v>6</v>
      </c>
      <c r="N686">
        <f>IF(ISBLANK('Data Input'!M686),"",'Data Input'!M686)</f>
        <v>0</v>
      </c>
      <c r="O686" t="str">
        <f>IF(ISBLANK('Data Input'!N686),"",'Data Input'!N686)</f>
        <v/>
      </c>
      <c r="P686" t="str">
        <f>IF(ISBLANK('Data Input'!O686),"",'Data Input'!O686)</f>
        <v/>
      </c>
      <c r="Q686" t="str">
        <f>IF(ISBLANK('Data Input'!P686),"",'Data Input'!P686)</f>
        <v>Mom hyped p^(_) TT session very talkative + relaxed</v>
      </c>
      <c r="R686" t="b">
        <f>IF(ISBLANK('Data Input'!Q686),"",'Data Input'!Q686)</f>
        <v>0</v>
      </c>
      <c r="T686" s="2">
        <f t="shared" si="42"/>
        <v>43325</v>
      </c>
      <c r="U686" s="12">
        <f t="shared" si="43"/>
        <v>2.4305555555555556E-2</v>
      </c>
      <c r="V686" s="2">
        <f t="shared" si="44"/>
        <v>43327</v>
      </c>
      <c r="W686" s="12">
        <f t="shared" si="45"/>
        <v>0.35486111111111113</v>
      </c>
    </row>
    <row r="687" spans="1:23">
      <c r="A687">
        <f>IF(ISBLANK('Data Input'!A687),"",'Data Input'!A687)</f>
        <v>164</v>
      </c>
      <c r="B687" t="str">
        <f>IF(ISBLANK('Data Input'!B687),"",'Data Input'!B687)</f>
        <v>AH004</v>
      </c>
      <c r="C687" t="str">
        <f>IF(ISBLANK('Data Input'!C687),"",'Data Input'!C687)</f>
        <v>8/13/18 0035</v>
      </c>
      <c r="E687" t="str">
        <f>IF(ISBLANK('Data Input'!D687),"",'Data Input'!D687)</f>
        <v>8/15/18 0831</v>
      </c>
      <c r="G687">
        <f>IF(ISBLANK('Data Input'!E687),"",'Data Input'!E687)</f>
        <v>27</v>
      </c>
      <c r="H687" t="str">
        <f>IF(ISBLANK('Data Input'!F687),"",'Data Input'!F687)</f>
        <v>bb - Black</v>
      </c>
      <c r="I687" t="str">
        <f>IF(ISBLANK('Data Input'!G687),"",'Data Input'!G687)</f>
        <v>Caesarean</v>
      </c>
      <c r="J687" t="str">
        <f>IF(ISBLANK('Data Input'!I687),"",'Data Input'!I687)</f>
        <v>8=15=18 0831</v>
      </c>
      <c r="K687" t="str">
        <f>IF(ISBLANK('Data Input'!J687),"",'Data Input'!J687)</f>
        <v>rr - Percocet</v>
      </c>
      <c r="L687">
        <f>IF(ISBLANK('Data Input'!K687),"",'Data Input'!K687)</f>
        <v>1</v>
      </c>
      <c r="M687">
        <f>IF(ISBLANK('Data Input'!L687),"",'Data Input'!L687)</f>
        <v>6</v>
      </c>
      <c r="N687">
        <f>IF(ISBLANK('Data Input'!M687),"",'Data Input'!M687)</f>
        <v>0</v>
      </c>
      <c r="O687" t="str">
        <f>IF(ISBLANK('Data Input'!N687),"",'Data Input'!N687)</f>
        <v/>
      </c>
      <c r="P687" t="str">
        <f>IF(ISBLANK('Data Input'!O687),"",'Data Input'!O687)</f>
        <v/>
      </c>
      <c r="Q687" t="str">
        <f>IF(ISBLANK('Data Input'!P687),"",'Data Input'!P687)</f>
        <v>Mom hyped p^(_) TT session very talkative + relaxed</v>
      </c>
      <c r="R687" t="b">
        <f>IF(ISBLANK('Data Input'!Q687),"",'Data Input'!Q687)</f>
        <v>0</v>
      </c>
      <c r="T687" s="2">
        <f t="shared" si="42"/>
        <v>43325</v>
      </c>
      <c r="U687" s="12">
        <f t="shared" si="43"/>
        <v>2.4305555555555556E-2</v>
      </c>
      <c r="V687" s="2">
        <f t="shared" si="44"/>
        <v>43327</v>
      </c>
      <c r="W687" s="12">
        <f t="shared" si="45"/>
        <v>0.35486111111111113</v>
      </c>
    </row>
    <row r="688" spans="1:23">
      <c r="A688">
        <f>IF(ISBLANK('Data Input'!A688),"",'Data Input'!A688)</f>
        <v>165</v>
      </c>
      <c r="B688" t="str">
        <f>IF(ISBLANK('Data Input'!B688),"",'Data Input'!B688)</f>
        <v>JQ005</v>
      </c>
      <c r="C688" t="str">
        <f>IF(ISBLANK('Data Input'!C688),"",'Data Input'!C688)</f>
        <v>8/07/18 1550</v>
      </c>
      <c r="E688" t="str">
        <f>IF(ISBLANK('Data Input'!D688),"",'Data Input'!D688)</f>
        <v>8/09/18 1313</v>
      </c>
      <c r="G688">
        <f>IF(ISBLANK('Data Input'!E688),"",'Data Input'!E688)</f>
        <v>27</v>
      </c>
      <c r="H688" t="str">
        <f>IF(ISBLANK('Data Input'!F688),"",'Data Input'!F688)</f>
        <v>Hispanic</v>
      </c>
      <c r="I688" t="str">
        <f>IF(ISBLANK('Data Input'!G688),"",'Data Input'!G688)</f>
        <v>Caesarean</v>
      </c>
      <c r="J688" t="str">
        <f>IF(ISBLANK('Data Input'!I688),"",'Data Input'!I688)</f>
        <v>8=07=18 1810</v>
      </c>
      <c r="K688" t="str">
        <f>IF(ISBLANK('Data Input'!J688),"",'Data Input'!J688)</f>
        <v>tr - Toradol</v>
      </c>
      <c r="L688">
        <f>IF(ISBLANK('Data Input'!K688),"",'Data Input'!K688)</f>
        <v>30</v>
      </c>
      <c r="M688">
        <f>IF(ISBLANK('Data Input'!L688),"",'Data Input'!L688)</f>
        <v>1</v>
      </c>
      <c r="N688">
        <f>IF(ISBLANK('Data Input'!M688),"",'Data Input'!M688)</f>
        <v>0</v>
      </c>
      <c r="O688" t="str">
        <f>IF(ISBLANK('Data Input'!N688),"",'Data Input'!N688)</f>
        <v/>
      </c>
      <c r="P688" t="str">
        <f>IF(ISBLANK('Data Input'!O688),"",'Data Input'!O688)</f>
        <v/>
      </c>
      <c r="Q688" t="str">
        <f>IF(ISBLANK('Data Input'!P688),"",'Data Input'!P688)</f>
        <v>Breast-feeding feel more relaxed twins</v>
      </c>
      <c r="R688" t="b">
        <f>IF(ISBLANK('Data Input'!Q688),"",'Data Input'!Q688)</f>
        <v>1</v>
      </c>
      <c r="T688" s="2">
        <f t="shared" si="42"/>
        <v>43319</v>
      </c>
      <c r="U688" s="12">
        <f t="shared" si="43"/>
        <v>0.65972222222222221</v>
      </c>
      <c r="V688" s="2">
        <f t="shared" si="44"/>
        <v>43321</v>
      </c>
      <c r="W688" s="12">
        <f t="shared" si="45"/>
        <v>0.55069444444444449</v>
      </c>
    </row>
    <row r="689" spans="1:23">
      <c r="A689">
        <f>IF(ISBLANK('Data Input'!A689),"",'Data Input'!A689)</f>
        <v>165</v>
      </c>
      <c r="B689" t="str">
        <f>IF(ISBLANK('Data Input'!B689),"",'Data Input'!B689)</f>
        <v>JQ005</v>
      </c>
      <c r="C689" t="str">
        <f>IF(ISBLANK('Data Input'!C689),"",'Data Input'!C689)</f>
        <v>8/07/18 1550</v>
      </c>
      <c r="E689" t="str">
        <f>IF(ISBLANK('Data Input'!D689),"",'Data Input'!D689)</f>
        <v>8/09/18 1313</v>
      </c>
      <c r="G689">
        <f>IF(ISBLANK('Data Input'!E689),"",'Data Input'!E689)</f>
        <v>27</v>
      </c>
      <c r="H689" t="str">
        <f>IF(ISBLANK('Data Input'!F689),"",'Data Input'!F689)</f>
        <v>Hispanic</v>
      </c>
      <c r="I689" t="str">
        <f>IF(ISBLANK('Data Input'!G689),"",'Data Input'!G689)</f>
        <v>Caesarean</v>
      </c>
      <c r="J689" t="str">
        <f>IF(ISBLANK('Data Input'!I689),"",'Data Input'!I689)</f>
        <v>8=08=18 0604</v>
      </c>
      <c r="K689" t="str">
        <f>IF(ISBLANK('Data Input'!J689),"",'Data Input'!J689)</f>
        <v>tr - Toradol</v>
      </c>
      <c r="L689">
        <f>IF(ISBLANK('Data Input'!K689),"",'Data Input'!K689)</f>
        <v>30</v>
      </c>
      <c r="M689">
        <f>IF(ISBLANK('Data Input'!L689),"",'Data Input'!L689)</f>
        <v>1</v>
      </c>
      <c r="N689">
        <f>IF(ISBLANK('Data Input'!M689),"",'Data Input'!M689)</f>
        <v>1</v>
      </c>
      <c r="O689" t="str">
        <f>IF(ISBLANK('Data Input'!N689),"",'Data Input'!N689)</f>
        <v/>
      </c>
      <c r="P689" t="str">
        <f>IF(ISBLANK('Data Input'!O689),"",'Data Input'!O689)</f>
        <v/>
      </c>
      <c r="Q689" t="str">
        <f>IF(ISBLANK('Data Input'!P689),"",'Data Input'!P689)</f>
        <v>Breast-feeding feel more relaxed twins</v>
      </c>
      <c r="R689" t="b">
        <f>IF(ISBLANK('Data Input'!Q689),"",'Data Input'!Q689)</f>
        <v>1</v>
      </c>
      <c r="T689" s="2">
        <f t="shared" si="42"/>
        <v>43319</v>
      </c>
      <c r="U689" s="12">
        <f t="shared" si="43"/>
        <v>0.65972222222222221</v>
      </c>
      <c r="V689" s="2">
        <f t="shared" si="44"/>
        <v>43321</v>
      </c>
      <c r="W689" s="12">
        <f t="shared" si="45"/>
        <v>0.55069444444444449</v>
      </c>
    </row>
    <row r="690" spans="1:23">
      <c r="A690">
        <f>IF(ISBLANK('Data Input'!A690),"",'Data Input'!A690)</f>
        <v>165</v>
      </c>
      <c r="B690" t="str">
        <f>IF(ISBLANK('Data Input'!B690),"",'Data Input'!B690)</f>
        <v>JQ005</v>
      </c>
      <c r="C690" t="str">
        <f>IF(ISBLANK('Data Input'!C690),"",'Data Input'!C690)</f>
        <v>8/07/18 1550</v>
      </c>
      <c r="E690" t="str">
        <f>IF(ISBLANK('Data Input'!D690),"",'Data Input'!D690)</f>
        <v>8/09/18 1313</v>
      </c>
      <c r="G690">
        <f>IF(ISBLANK('Data Input'!E690),"",'Data Input'!E690)</f>
        <v>27</v>
      </c>
      <c r="H690" t="str">
        <f>IF(ISBLANK('Data Input'!F690),"",'Data Input'!F690)</f>
        <v>Hispanic</v>
      </c>
      <c r="I690" t="str">
        <f>IF(ISBLANK('Data Input'!G690),"",'Data Input'!G690)</f>
        <v>Caesarean</v>
      </c>
      <c r="J690" t="str">
        <f>IF(ISBLANK('Data Input'!I690),"",'Data Input'!I690)</f>
        <v>8=08=18 1234</v>
      </c>
      <c r="K690" t="str">
        <f>IF(ISBLANK('Data Input'!J690),"",'Data Input'!J690)</f>
        <v>tr - Toradol</v>
      </c>
      <c r="L690">
        <f>IF(ISBLANK('Data Input'!K690),"",'Data Input'!K690)</f>
        <v>30</v>
      </c>
      <c r="M690">
        <f>IF(ISBLANK('Data Input'!L690),"",'Data Input'!L690)</f>
        <v>2</v>
      </c>
      <c r="N690">
        <f>IF(ISBLANK('Data Input'!M690),"",'Data Input'!M690)</f>
        <v>1</v>
      </c>
      <c r="O690" t="str">
        <f>IF(ISBLANK('Data Input'!N690),"",'Data Input'!N690)</f>
        <v/>
      </c>
      <c r="P690" t="str">
        <f>IF(ISBLANK('Data Input'!O690),"",'Data Input'!O690)</f>
        <v/>
      </c>
      <c r="Q690" t="str">
        <f>IF(ISBLANK('Data Input'!P690),"",'Data Input'!P690)</f>
        <v>Breast-feeding feel more relaxed twins</v>
      </c>
      <c r="R690" t="b">
        <f>IF(ISBLANK('Data Input'!Q690),"",'Data Input'!Q690)</f>
        <v>1</v>
      </c>
      <c r="T690" s="2">
        <f t="shared" si="42"/>
        <v>43319</v>
      </c>
      <c r="U690" s="12">
        <f t="shared" si="43"/>
        <v>0.65972222222222221</v>
      </c>
      <c r="V690" s="2">
        <f t="shared" si="44"/>
        <v>43321</v>
      </c>
      <c r="W690" s="12">
        <f t="shared" si="45"/>
        <v>0.55069444444444449</v>
      </c>
    </row>
    <row r="691" spans="1:23">
      <c r="A691">
        <f>IF(ISBLANK('Data Input'!A691),"",'Data Input'!A691)</f>
        <v>165</v>
      </c>
      <c r="B691" t="str">
        <f>IF(ISBLANK('Data Input'!B691),"",'Data Input'!B691)</f>
        <v>JQ005</v>
      </c>
      <c r="C691" t="str">
        <f>IF(ISBLANK('Data Input'!C691),"",'Data Input'!C691)</f>
        <v>8/07/18 1550</v>
      </c>
      <c r="E691" t="str">
        <f>IF(ISBLANK('Data Input'!D691),"",'Data Input'!D691)</f>
        <v>8/09/18 1313</v>
      </c>
      <c r="G691">
        <f>IF(ISBLANK('Data Input'!E691),"",'Data Input'!E691)</f>
        <v>27</v>
      </c>
      <c r="H691" t="str">
        <f>IF(ISBLANK('Data Input'!F691),"",'Data Input'!F691)</f>
        <v>Hispanic</v>
      </c>
      <c r="I691" t="str">
        <f>IF(ISBLANK('Data Input'!G691),"",'Data Input'!G691)</f>
        <v>Caesarean</v>
      </c>
      <c r="J691" t="str">
        <f>IF(ISBLANK('Data Input'!I691),"",'Data Input'!I691)</f>
        <v>8=08=18 1804</v>
      </c>
      <c r="K691" t="str">
        <f>IF(ISBLANK('Data Input'!J691),"",'Data Input'!J691)</f>
        <v>tr - Toradol</v>
      </c>
      <c r="L691">
        <f>IF(ISBLANK('Data Input'!K691),"",'Data Input'!K691)</f>
        <v>30</v>
      </c>
      <c r="M691">
        <f>IF(ISBLANK('Data Input'!L691),"",'Data Input'!L691)</f>
        <v>4</v>
      </c>
      <c r="N691">
        <f>IF(ISBLANK('Data Input'!M691),"",'Data Input'!M691)</f>
        <v>0</v>
      </c>
      <c r="O691" t="str">
        <f>IF(ISBLANK('Data Input'!N691),"",'Data Input'!N691)</f>
        <v/>
      </c>
      <c r="P691" t="str">
        <f>IF(ISBLANK('Data Input'!O691),"",'Data Input'!O691)</f>
        <v/>
      </c>
      <c r="Q691" t="str">
        <f>IF(ISBLANK('Data Input'!P691),"",'Data Input'!P691)</f>
        <v>Breast-feeding feel more relaxed twins</v>
      </c>
      <c r="R691" t="b">
        <f>IF(ISBLANK('Data Input'!Q691),"",'Data Input'!Q691)</f>
        <v>1</v>
      </c>
      <c r="T691" s="2">
        <f t="shared" si="42"/>
        <v>43319</v>
      </c>
      <c r="U691" s="12">
        <f t="shared" si="43"/>
        <v>0.65972222222222221</v>
      </c>
      <c r="V691" s="2">
        <f t="shared" si="44"/>
        <v>43321</v>
      </c>
      <c r="W691" s="12">
        <f t="shared" si="45"/>
        <v>0.55069444444444449</v>
      </c>
    </row>
    <row r="692" spans="1:23">
      <c r="A692">
        <f>IF(ISBLANK('Data Input'!A692),"",'Data Input'!A692)</f>
        <v>165</v>
      </c>
      <c r="B692" t="str">
        <f>IF(ISBLANK('Data Input'!B692),"",'Data Input'!B692)</f>
        <v>JQ005</v>
      </c>
      <c r="C692" t="str">
        <f>IF(ISBLANK('Data Input'!C692),"",'Data Input'!C692)</f>
        <v>8/07/18 1550</v>
      </c>
      <c r="E692" t="str">
        <f>IF(ISBLANK('Data Input'!D692),"",'Data Input'!D692)</f>
        <v>8/09/18 1313</v>
      </c>
      <c r="G692">
        <f>IF(ISBLANK('Data Input'!E692),"",'Data Input'!E692)</f>
        <v>27</v>
      </c>
      <c r="H692" t="str">
        <f>IF(ISBLANK('Data Input'!F692),"",'Data Input'!F692)</f>
        <v>Hispanic</v>
      </c>
      <c r="I692" t="str">
        <f>IF(ISBLANK('Data Input'!G692),"",'Data Input'!G692)</f>
        <v>Caesarean</v>
      </c>
      <c r="J692" t="str">
        <f>IF(ISBLANK('Data Input'!I692),"",'Data Input'!I692)</f>
        <v>8=08=18 2204</v>
      </c>
      <c r="K692" t="str">
        <f>IF(ISBLANK('Data Input'!J692),"",'Data Input'!J692)</f>
        <v>rr - Percocet</v>
      </c>
      <c r="L692">
        <f>IF(ISBLANK('Data Input'!K692),"",'Data Input'!K692)</f>
        <v>2</v>
      </c>
      <c r="M692">
        <f>IF(ISBLANK('Data Input'!L692),"",'Data Input'!L692)</f>
        <v>4</v>
      </c>
      <c r="N692">
        <f>IF(ISBLANK('Data Input'!M692),"",'Data Input'!M692)</f>
        <v>0</v>
      </c>
      <c r="O692" t="str">
        <f>IF(ISBLANK('Data Input'!N692),"",'Data Input'!N692)</f>
        <v/>
      </c>
      <c r="P692" t="str">
        <f>IF(ISBLANK('Data Input'!O692),"",'Data Input'!O692)</f>
        <v/>
      </c>
      <c r="Q692" t="str">
        <f>IF(ISBLANK('Data Input'!P692),"",'Data Input'!P692)</f>
        <v>Breast-feeding feel more relaxed twins</v>
      </c>
      <c r="R692" t="b">
        <f>IF(ISBLANK('Data Input'!Q692),"",'Data Input'!Q692)</f>
        <v>1</v>
      </c>
      <c r="T692" s="2">
        <f t="shared" si="42"/>
        <v>43319</v>
      </c>
      <c r="U692" s="12">
        <f t="shared" si="43"/>
        <v>0.65972222222222221</v>
      </c>
      <c r="V692" s="2">
        <f t="shared" si="44"/>
        <v>43321</v>
      </c>
      <c r="W692" s="12">
        <f t="shared" si="45"/>
        <v>0.55069444444444449</v>
      </c>
    </row>
    <row r="693" spans="1:23">
      <c r="A693">
        <f>IF(ISBLANK('Data Input'!A693),"",'Data Input'!A693)</f>
        <v>165</v>
      </c>
      <c r="B693" t="str">
        <f>IF(ISBLANK('Data Input'!B693),"",'Data Input'!B693)</f>
        <v>JQ005</v>
      </c>
      <c r="C693" t="str">
        <f>IF(ISBLANK('Data Input'!C693),"",'Data Input'!C693)</f>
        <v>8/07/18 1550</v>
      </c>
      <c r="E693" t="str">
        <f>IF(ISBLANK('Data Input'!D693),"",'Data Input'!D693)</f>
        <v>8/09/18 1313</v>
      </c>
      <c r="G693">
        <f>IF(ISBLANK('Data Input'!E693),"",'Data Input'!E693)</f>
        <v>27</v>
      </c>
      <c r="H693" t="str">
        <f>IF(ISBLANK('Data Input'!F693),"",'Data Input'!F693)</f>
        <v>Hispanic</v>
      </c>
      <c r="I693" t="str">
        <f>IF(ISBLANK('Data Input'!G693),"",'Data Input'!G693)</f>
        <v>Caesarean</v>
      </c>
      <c r="J693" t="str">
        <f>IF(ISBLANK('Data Input'!I693),"",'Data Input'!I693)</f>
        <v>8=09=18 0002</v>
      </c>
      <c r="K693" t="str">
        <f>IF(ISBLANK('Data Input'!J693),"",'Data Input'!J693)</f>
        <v>tr - Toradol</v>
      </c>
      <c r="L693">
        <f>IF(ISBLANK('Data Input'!K693),"",'Data Input'!K693)</f>
        <v>30</v>
      </c>
      <c r="M693">
        <f>IF(ISBLANK('Data Input'!L693),"",'Data Input'!L693)</f>
        <v>3</v>
      </c>
      <c r="N693">
        <f>IF(ISBLANK('Data Input'!M693),"",'Data Input'!M693)</f>
        <v>0</v>
      </c>
      <c r="O693" t="str">
        <f>IF(ISBLANK('Data Input'!N693),"",'Data Input'!N693)</f>
        <v/>
      </c>
      <c r="P693" t="str">
        <f>IF(ISBLANK('Data Input'!O693),"",'Data Input'!O693)</f>
        <v/>
      </c>
      <c r="Q693" t="str">
        <f>IF(ISBLANK('Data Input'!P693),"",'Data Input'!P693)</f>
        <v>Breast-feeding feel more relaxed twins</v>
      </c>
      <c r="R693" t="b">
        <f>IF(ISBLANK('Data Input'!Q693),"",'Data Input'!Q693)</f>
        <v>1</v>
      </c>
      <c r="T693" s="2">
        <f t="shared" si="42"/>
        <v>43319</v>
      </c>
      <c r="U693" s="12">
        <f t="shared" si="43"/>
        <v>0.65972222222222221</v>
      </c>
      <c r="V693" s="2">
        <f t="shared" si="44"/>
        <v>43321</v>
      </c>
      <c r="W693" s="12">
        <f t="shared" si="45"/>
        <v>0.55069444444444449</v>
      </c>
    </row>
    <row r="694" spans="1:23">
      <c r="A694">
        <f>IF(ISBLANK('Data Input'!A694),"",'Data Input'!A694)</f>
        <v>165</v>
      </c>
      <c r="B694" t="str">
        <f>IF(ISBLANK('Data Input'!B694),"",'Data Input'!B694)</f>
        <v>JQ005</v>
      </c>
      <c r="C694" t="str">
        <f>IF(ISBLANK('Data Input'!C694),"",'Data Input'!C694)</f>
        <v>8/07/18 1550</v>
      </c>
      <c r="E694" t="str">
        <f>IF(ISBLANK('Data Input'!D694),"",'Data Input'!D694)</f>
        <v>8/09/18 1313</v>
      </c>
      <c r="G694">
        <f>IF(ISBLANK('Data Input'!E694),"",'Data Input'!E694)</f>
        <v>27</v>
      </c>
      <c r="H694" t="str">
        <f>IF(ISBLANK('Data Input'!F694),"",'Data Input'!F694)</f>
        <v>Hispanic</v>
      </c>
      <c r="I694" t="str">
        <f>IF(ISBLANK('Data Input'!G694),"",'Data Input'!G694)</f>
        <v>Caesarean</v>
      </c>
      <c r="J694" t="str">
        <f>IF(ISBLANK('Data Input'!I694),"",'Data Input'!I694)</f>
        <v>8=08=18 0500</v>
      </c>
      <c r="K694" t="str">
        <f>IF(ISBLANK('Data Input'!J694),"",'Data Input'!J694)</f>
        <v>bb - Ibuprofen</v>
      </c>
      <c r="L694">
        <f>IF(ISBLANK('Data Input'!K694),"",'Data Input'!K694)</f>
        <v>800</v>
      </c>
      <c r="M694">
        <f>IF(ISBLANK('Data Input'!L694),"",'Data Input'!L694)</f>
        <v>6</v>
      </c>
      <c r="N694">
        <f>IF(ISBLANK('Data Input'!M694),"",'Data Input'!M694)</f>
        <v>0</v>
      </c>
      <c r="O694" t="str">
        <f>IF(ISBLANK('Data Input'!N694),"",'Data Input'!N694)</f>
        <v/>
      </c>
      <c r="P694" t="str">
        <f>IF(ISBLANK('Data Input'!O694),"",'Data Input'!O694)</f>
        <v/>
      </c>
      <c r="Q694" t="str">
        <f>IF(ISBLANK('Data Input'!P694),"",'Data Input'!P694)</f>
        <v>Breast-feeding feel more relaxed twins</v>
      </c>
      <c r="R694" t="b">
        <f>IF(ISBLANK('Data Input'!Q694),"",'Data Input'!Q694)</f>
        <v>1</v>
      </c>
      <c r="T694" s="2">
        <f t="shared" si="42"/>
        <v>43319</v>
      </c>
      <c r="U694" s="12">
        <f t="shared" si="43"/>
        <v>0.65972222222222221</v>
      </c>
      <c r="V694" s="2">
        <f t="shared" si="44"/>
        <v>43321</v>
      </c>
      <c r="W694" s="12">
        <f t="shared" si="45"/>
        <v>0.55069444444444449</v>
      </c>
    </row>
    <row r="695" spans="1:23">
      <c r="A695">
        <f>IF(ISBLANK('Data Input'!A695),"",'Data Input'!A695)</f>
        <v>165</v>
      </c>
      <c r="B695" t="str">
        <f>IF(ISBLANK('Data Input'!B695),"",'Data Input'!B695)</f>
        <v>JQ005</v>
      </c>
      <c r="C695" t="str">
        <f>IF(ISBLANK('Data Input'!C695),"",'Data Input'!C695)</f>
        <v>8/07/18 1550</v>
      </c>
      <c r="E695" t="str">
        <f>IF(ISBLANK('Data Input'!D695),"",'Data Input'!D695)</f>
        <v>8/09/18 1313</v>
      </c>
      <c r="G695">
        <f>IF(ISBLANK('Data Input'!E695),"",'Data Input'!E695)</f>
        <v>27</v>
      </c>
      <c r="H695" t="str">
        <f>IF(ISBLANK('Data Input'!F695),"",'Data Input'!F695)</f>
        <v>Hispanic</v>
      </c>
      <c r="I695" t="str">
        <f>IF(ISBLANK('Data Input'!G695),"",'Data Input'!G695)</f>
        <v>Caesarean</v>
      </c>
      <c r="J695" t="str">
        <f>IF(ISBLANK('Data Input'!I695),"",'Data Input'!I695)</f>
        <v>8=08=18 0500</v>
      </c>
      <c r="K695" t="str">
        <f>IF(ISBLANK('Data Input'!J695),"",'Data Input'!J695)</f>
        <v>rr - Percocet</v>
      </c>
      <c r="L695">
        <f>IF(ISBLANK('Data Input'!K695),"",'Data Input'!K695)</f>
        <v>2</v>
      </c>
      <c r="M695">
        <f>IF(ISBLANK('Data Input'!L695),"",'Data Input'!L695)</f>
        <v>6</v>
      </c>
      <c r="N695">
        <f>IF(ISBLANK('Data Input'!M695),"",'Data Input'!M695)</f>
        <v>0</v>
      </c>
      <c r="O695" t="str">
        <f>IF(ISBLANK('Data Input'!N695),"",'Data Input'!N695)</f>
        <v/>
      </c>
      <c r="P695" t="str">
        <f>IF(ISBLANK('Data Input'!O695),"",'Data Input'!O695)</f>
        <v/>
      </c>
      <c r="Q695" t="str">
        <f>IF(ISBLANK('Data Input'!P695),"",'Data Input'!P695)</f>
        <v>Breast-feeding feel more relaxed twins</v>
      </c>
      <c r="R695" t="b">
        <f>IF(ISBLANK('Data Input'!Q695),"",'Data Input'!Q695)</f>
        <v>1</v>
      </c>
      <c r="T695" s="2">
        <f t="shared" si="42"/>
        <v>43319</v>
      </c>
      <c r="U695" s="12">
        <f t="shared" si="43"/>
        <v>0.65972222222222221</v>
      </c>
      <c r="V695" s="2">
        <f t="shared" si="44"/>
        <v>43321</v>
      </c>
      <c r="W695" s="12">
        <f t="shared" si="45"/>
        <v>0.55069444444444449</v>
      </c>
    </row>
    <row r="696" spans="1:23">
      <c r="A696">
        <f>IF(ISBLANK('Data Input'!A696),"",'Data Input'!A696)</f>
        <v>165</v>
      </c>
      <c r="B696" t="str">
        <f>IF(ISBLANK('Data Input'!B696),"",'Data Input'!B696)</f>
        <v>JQ005</v>
      </c>
      <c r="C696" t="str">
        <f>IF(ISBLANK('Data Input'!C696),"",'Data Input'!C696)</f>
        <v>8/07/18 1550</v>
      </c>
      <c r="E696" t="str">
        <f>IF(ISBLANK('Data Input'!D696),"",'Data Input'!D696)</f>
        <v>8/09/18 1313</v>
      </c>
      <c r="G696">
        <f>IF(ISBLANK('Data Input'!E696),"",'Data Input'!E696)</f>
        <v>27</v>
      </c>
      <c r="H696" t="str">
        <f>IF(ISBLANK('Data Input'!F696),"",'Data Input'!F696)</f>
        <v>Hispanic</v>
      </c>
      <c r="I696" t="str">
        <f>IF(ISBLANK('Data Input'!G696),"",'Data Input'!G696)</f>
        <v>Caesarean</v>
      </c>
      <c r="J696" t="str">
        <f>IF(ISBLANK('Data Input'!I696),"",'Data Input'!I696)</f>
        <v>8=09=18 1110</v>
      </c>
      <c r="K696" t="str">
        <f>IF(ISBLANK('Data Input'!J696),"",'Data Input'!J696)</f>
        <v>bb - Ibuprofen</v>
      </c>
      <c r="L696">
        <f>IF(ISBLANK('Data Input'!K696),"",'Data Input'!K696)</f>
        <v>800</v>
      </c>
      <c r="M696">
        <f>IF(ISBLANK('Data Input'!L696),"",'Data Input'!L696)</f>
        <v>4</v>
      </c>
      <c r="N696">
        <f>IF(ISBLANK('Data Input'!M696),"",'Data Input'!M696)</f>
        <v>2</v>
      </c>
      <c r="O696" t="str">
        <f>IF(ISBLANK('Data Input'!N696),"",'Data Input'!N696)</f>
        <v/>
      </c>
      <c r="P696" t="str">
        <f>IF(ISBLANK('Data Input'!O696),"",'Data Input'!O696)</f>
        <v/>
      </c>
      <c r="Q696" t="str">
        <f>IF(ISBLANK('Data Input'!P696),"",'Data Input'!P696)</f>
        <v>Breast-feeding feel more relaxed twins</v>
      </c>
      <c r="R696" t="b">
        <f>IF(ISBLANK('Data Input'!Q696),"",'Data Input'!Q696)</f>
        <v>1</v>
      </c>
      <c r="T696" s="2">
        <f t="shared" si="42"/>
        <v>43319</v>
      </c>
      <c r="U696" s="12">
        <f t="shared" si="43"/>
        <v>0.65972222222222221</v>
      </c>
      <c r="V696" s="2">
        <f t="shared" si="44"/>
        <v>43321</v>
      </c>
      <c r="W696" s="12">
        <f t="shared" si="45"/>
        <v>0.55069444444444449</v>
      </c>
    </row>
    <row r="697" spans="1:23">
      <c r="A697">
        <f>IF(ISBLANK('Data Input'!A697),"",'Data Input'!A697)</f>
        <v>165</v>
      </c>
      <c r="B697" t="str">
        <f>IF(ISBLANK('Data Input'!B697),"",'Data Input'!B697)</f>
        <v>JQ005</v>
      </c>
      <c r="C697" t="str">
        <f>IF(ISBLANK('Data Input'!C697),"",'Data Input'!C697)</f>
        <v>8/07/18 1550</v>
      </c>
      <c r="E697" t="str">
        <f>IF(ISBLANK('Data Input'!D697),"",'Data Input'!D697)</f>
        <v>8/09/18 1313</v>
      </c>
      <c r="G697">
        <f>IF(ISBLANK('Data Input'!E697),"",'Data Input'!E697)</f>
        <v>27</v>
      </c>
      <c r="H697" t="str">
        <f>IF(ISBLANK('Data Input'!F697),"",'Data Input'!F697)</f>
        <v>Hispanic</v>
      </c>
      <c r="I697" t="str">
        <f>IF(ISBLANK('Data Input'!G697),"",'Data Input'!G697)</f>
        <v>Caesarean</v>
      </c>
      <c r="J697" t="str">
        <f>IF(ISBLANK('Data Input'!I697),"",'Data Input'!I697)</f>
        <v>8=09=18 1313</v>
      </c>
      <c r="K697" t="str">
        <f>IF(ISBLANK('Data Input'!J697),"",'Data Input'!J697)</f>
        <v>rr - Percocet</v>
      </c>
      <c r="L697">
        <f>IF(ISBLANK('Data Input'!K697),"",'Data Input'!K697)</f>
        <v>1</v>
      </c>
      <c r="M697">
        <f>IF(ISBLANK('Data Input'!L697),"",'Data Input'!L697)</f>
        <v>6</v>
      </c>
      <c r="N697">
        <f>IF(ISBLANK('Data Input'!M697),"",'Data Input'!M697)</f>
        <v>0</v>
      </c>
      <c r="O697" t="str">
        <f>IF(ISBLANK('Data Input'!N697),"",'Data Input'!N697)</f>
        <v/>
      </c>
      <c r="P697" t="str">
        <f>IF(ISBLANK('Data Input'!O697),"",'Data Input'!O697)</f>
        <v/>
      </c>
      <c r="Q697" t="str">
        <f>IF(ISBLANK('Data Input'!P697),"",'Data Input'!P697)</f>
        <v>Breast-feeding feel more relaxed twins</v>
      </c>
      <c r="R697" t="b">
        <f>IF(ISBLANK('Data Input'!Q697),"",'Data Input'!Q697)</f>
        <v>1</v>
      </c>
      <c r="T697" s="2">
        <f t="shared" si="42"/>
        <v>43319</v>
      </c>
      <c r="U697" s="12">
        <f t="shared" si="43"/>
        <v>0.65972222222222221</v>
      </c>
      <c r="V697" s="2">
        <f t="shared" si="44"/>
        <v>43321</v>
      </c>
      <c r="W697" s="12">
        <f t="shared" si="45"/>
        <v>0.55069444444444449</v>
      </c>
    </row>
    <row r="698" spans="1:23">
      <c r="A698">
        <f>IF(ISBLANK('Data Input'!A698),"",'Data Input'!A698)</f>
        <v>166</v>
      </c>
      <c r="B698" t="str">
        <f>IF(ISBLANK('Data Input'!B698),"",'Data Input'!B698)</f>
        <v>LH006</v>
      </c>
      <c r="C698" t="str">
        <f>IF(ISBLANK('Data Input'!C698),"",'Data Input'!C698)</f>
        <v>8/05/18 0750</v>
      </c>
      <c r="E698" t="str">
        <f>IF(ISBLANK('Data Input'!D698),"",'Data Input'!D698)</f>
        <v>8/07/18 1243</v>
      </c>
      <c r="G698">
        <f>IF(ISBLANK('Data Input'!E698),"",'Data Input'!E698)</f>
        <v>36</v>
      </c>
      <c r="H698" t="str">
        <f>IF(ISBLANK('Data Input'!F698),"",'Data Input'!F698)</f>
        <v>bb - Black</v>
      </c>
      <c r="I698" t="str">
        <f>IF(ISBLANK('Data Input'!G698),"",'Data Input'!G698)</f>
        <v>Caesarean</v>
      </c>
      <c r="J698" t="str">
        <f>IF(ISBLANK('Data Input'!I698),"",'Data Input'!I698)</f>
        <v>8=05=18 0847</v>
      </c>
      <c r="K698" t="str">
        <f>IF(ISBLANK('Data Input'!J698),"",'Data Input'!J698)</f>
        <v>te - Tylenol</v>
      </c>
      <c r="L698">
        <f>IF(ISBLANK('Data Input'!K698),"",'Data Input'!K698)</f>
        <v>1000</v>
      </c>
      <c r="M698">
        <f>IF(ISBLANK('Data Input'!L698),"",'Data Input'!L698)</f>
        <v>4</v>
      </c>
      <c r="N698">
        <f>IF(ISBLANK('Data Input'!M698),"",'Data Input'!M698)</f>
        <v>0</v>
      </c>
      <c r="O698" t="str">
        <f>IF(ISBLANK('Data Input'!N698),"",'Data Input'!N698)</f>
        <v/>
      </c>
      <c r="P698" t="str">
        <f>IF(ISBLANK('Data Input'!O698),"",'Data Input'!O698)</f>
        <v/>
      </c>
      <c r="Q698" t="str">
        <f>IF(ISBLANK('Data Input'!P698),"",'Data Input'!P698)</f>
        <v/>
      </c>
      <c r="R698" t="b">
        <f>IF(ISBLANK('Data Input'!Q698),"",'Data Input'!Q698)</f>
        <v>0</v>
      </c>
      <c r="T698" s="2">
        <f t="shared" si="42"/>
        <v>43317</v>
      </c>
      <c r="U698" s="12">
        <f t="shared" si="43"/>
        <v>0.3263888888888889</v>
      </c>
      <c r="V698" s="2">
        <f t="shared" si="44"/>
        <v>43319</v>
      </c>
      <c r="W698" s="12">
        <f t="shared" si="45"/>
        <v>0.52986111111111112</v>
      </c>
    </row>
    <row r="699" spans="1:23">
      <c r="A699">
        <f>IF(ISBLANK('Data Input'!A699),"",'Data Input'!A699)</f>
        <v>166</v>
      </c>
      <c r="B699" t="str">
        <f>IF(ISBLANK('Data Input'!B699),"",'Data Input'!B699)</f>
        <v>LH006</v>
      </c>
      <c r="C699" t="str">
        <f>IF(ISBLANK('Data Input'!C699),"",'Data Input'!C699)</f>
        <v>8/05/18 0750</v>
      </c>
      <c r="E699" t="str">
        <f>IF(ISBLANK('Data Input'!D699),"",'Data Input'!D699)</f>
        <v>8/07/18 1243</v>
      </c>
      <c r="G699">
        <f>IF(ISBLANK('Data Input'!E699),"",'Data Input'!E699)</f>
        <v>36</v>
      </c>
      <c r="H699" t="str">
        <f>IF(ISBLANK('Data Input'!F699),"",'Data Input'!F699)</f>
        <v>bb - Black</v>
      </c>
      <c r="I699" t="str">
        <f>IF(ISBLANK('Data Input'!G699),"",'Data Input'!G699)</f>
        <v>Caesarean</v>
      </c>
      <c r="J699" t="str">
        <f>IF(ISBLANK('Data Input'!I699),"",'Data Input'!I699)</f>
        <v>8=05=18 1124</v>
      </c>
      <c r="K699" t="str">
        <f>IF(ISBLANK('Data Input'!J699),"",'Data Input'!J699)</f>
        <v>tr - Toradol</v>
      </c>
      <c r="L699">
        <f>IF(ISBLANK('Data Input'!K699),"",'Data Input'!K699)</f>
        <v>30</v>
      </c>
      <c r="M699">
        <f>IF(ISBLANK('Data Input'!L699),"",'Data Input'!L699)</f>
        <v>8</v>
      </c>
      <c r="N699">
        <f>IF(ISBLANK('Data Input'!M699),"",'Data Input'!M699)</f>
        <v>2</v>
      </c>
      <c r="O699" t="str">
        <f>IF(ISBLANK('Data Input'!N699),"",'Data Input'!N699)</f>
        <v/>
      </c>
      <c r="P699" t="str">
        <f>IF(ISBLANK('Data Input'!O699),"",'Data Input'!O699)</f>
        <v/>
      </c>
      <c r="Q699" t="str">
        <f>IF(ISBLANK('Data Input'!P699),"",'Data Input'!P699)</f>
        <v/>
      </c>
      <c r="R699" t="b">
        <f>IF(ISBLANK('Data Input'!Q699),"",'Data Input'!Q699)</f>
        <v>0</v>
      </c>
      <c r="T699" s="2">
        <f t="shared" si="42"/>
        <v>43317</v>
      </c>
      <c r="U699" s="12">
        <f t="shared" si="43"/>
        <v>0.3263888888888889</v>
      </c>
      <c r="V699" s="2">
        <f t="shared" si="44"/>
        <v>43319</v>
      </c>
      <c r="W699" s="12">
        <f t="shared" si="45"/>
        <v>0.52986111111111112</v>
      </c>
    </row>
    <row r="700" spans="1:23">
      <c r="A700">
        <f>IF(ISBLANK('Data Input'!A700),"",'Data Input'!A700)</f>
        <v>166</v>
      </c>
      <c r="B700" t="str">
        <f>IF(ISBLANK('Data Input'!B700),"",'Data Input'!B700)</f>
        <v>LH006</v>
      </c>
      <c r="C700" t="str">
        <f>IF(ISBLANK('Data Input'!C700),"",'Data Input'!C700)</f>
        <v>8/05/18 0750</v>
      </c>
      <c r="E700" t="str">
        <f>IF(ISBLANK('Data Input'!D700),"",'Data Input'!D700)</f>
        <v>8/07/18 1243</v>
      </c>
      <c r="G700">
        <f>IF(ISBLANK('Data Input'!E700),"",'Data Input'!E700)</f>
        <v>36</v>
      </c>
      <c r="H700" t="str">
        <f>IF(ISBLANK('Data Input'!F700),"",'Data Input'!F700)</f>
        <v>bb - Black</v>
      </c>
      <c r="I700" t="str">
        <f>IF(ISBLANK('Data Input'!G700),"",'Data Input'!G700)</f>
        <v>Caesarean</v>
      </c>
      <c r="J700" t="str">
        <f>IF(ISBLANK('Data Input'!I700),"",'Data Input'!I700)</f>
        <v>8=05=18 1818</v>
      </c>
      <c r="K700" t="str">
        <f>IF(ISBLANK('Data Input'!J700),"",'Data Input'!J700)</f>
        <v>tr - Toradol</v>
      </c>
      <c r="L700">
        <f>IF(ISBLANK('Data Input'!K700),"",'Data Input'!K700)</f>
        <v>30</v>
      </c>
      <c r="M700">
        <f>IF(ISBLANK('Data Input'!L700),"",'Data Input'!L700)</f>
        <v>7</v>
      </c>
      <c r="N700">
        <f>IF(ISBLANK('Data Input'!M700),"",'Data Input'!M700)</f>
        <v>3</v>
      </c>
      <c r="O700" t="str">
        <f>IF(ISBLANK('Data Input'!N700),"",'Data Input'!N700)</f>
        <v/>
      </c>
      <c r="P700" t="str">
        <f>IF(ISBLANK('Data Input'!O700),"",'Data Input'!O700)</f>
        <v/>
      </c>
      <c r="Q700" t="str">
        <f>IF(ISBLANK('Data Input'!P700),"",'Data Input'!P700)</f>
        <v/>
      </c>
      <c r="R700" t="b">
        <f>IF(ISBLANK('Data Input'!Q700),"",'Data Input'!Q700)</f>
        <v>0</v>
      </c>
      <c r="T700" s="2">
        <f t="shared" si="42"/>
        <v>43317</v>
      </c>
      <c r="U700" s="12">
        <f t="shared" si="43"/>
        <v>0.3263888888888889</v>
      </c>
      <c r="V700" s="2">
        <f t="shared" si="44"/>
        <v>43319</v>
      </c>
      <c r="W700" s="12">
        <f t="shared" si="45"/>
        <v>0.52986111111111112</v>
      </c>
    </row>
    <row r="701" spans="1:23">
      <c r="A701">
        <f>IF(ISBLANK('Data Input'!A701),"",'Data Input'!A701)</f>
        <v>166</v>
      </c>
      <c r="B701" t="str">
        <f>IF(ISBLANK('Data Input'!B701),"",'Data Input'!B701)</f>
        <v>LH006</v>
      </c>
      <c r="C701" t="str">
        <f>IF(ISBLANK('Data Input'!C701),"",'Data Input'!C701)</f>
        <v>8/05/18 0750</v>
      </c>
      <c r="E701" t="str">
        <f>IF(ISBLANK('Data Input'!D701),"",'Data Input'!D701)</f>
        <v>8/07/18 1243</v>
      </c>
      <c r="G701">
        <f>IF(ISBLANK('Data Input'!E701),"",'Data Input'!E701)</f>
        <v>36</v>
      </c>
      <c r="H701" t="str">
        <f>IF(ISBLANK('Data Input'!F701),"",'Data Input'!F701)</f>
        <v>bb - Black</v>
      </c>
      <c r="I701" t="str">
        <f>IF(ISBLANK('Data Input'!G701),"",'Data Input'!G701)</f>
        <v>Caesarean</v>
      </c>
      <c r="J701" t="str">
        <f>IF(ISBLANK('Data Input'!I701),"",'Data Input'!I701)</f>
        <v>8=05=18 2201</v>
      </c>
      <c r="K701" t="str">
        <f>IF(ISBLANK('Data Input'!J701),"",'Data Input'!J701)</f>
        <v>tt</v>
      </c>
      <c r="L701">
        <f>IF(ISBLANK('Data Input'!K701),"",'Data Input'!K701)</f>
        <v>650</v>
      </c>
      <c r="M701">
        <f>IF(ISBLANK('Data Input'!L701),"",'Data Input'!L701)</f>
        <v>6</v>
      </c>
      <c r="N701">
        <f>IF(ISBLANK('Data Input'!M701),"",'Data Input'!M701)</f>
        <v>5</v>
      </c>
      <c r="O701" t="str">
        <f>IF(ISBLANK('Data Input'!N701),"",'Data Input'!N701)</f>
        <v/>
      </c>
      <c r="P701" t="str">
        <f>IF(ISBLANK('Data Input'!O701),"",'Data Input'!O701)</f>
        <v/>
      </c>
      <c r="Q701" t="str">
        <f>IF(ISBLANK('Data Input'!P701),"",'Data Input'!P701)</f>
        <v/>
      </c>
      <c r="R701" t="b">
        <f>IF(ISBLANK('Data Input'!Q701),"",'Data Input'!Q701)</f>
        <v>0</v>
      </c>
      <c r="T701" s="2">
        <f t="shared" si="42"/>
        <v>43317</v>
      </c>
      <c r="U701" s="12">
        <f t="shared" si="43"/>
        <v>0.3263888888888889</v>
      </c>
      <c r="V701" s="2">
        <f t="shared" si="44"/>
        <v>43319</v>
      </c>
      <c r="W701" s="12">
        <f t="shared" si="45"/>
        <v>0.52986111111111112</v>
      </c>
    </row>
    <row r="702" spans="1:23">
      <c r="A702">
        <f>IF(ISBLANK('Data Input'!A702),"",'Data Input'!A702)</f>
        <v>166</v>
      </c>
      <c r="B702" t="str">
        <f>IF(ISBLANK('Data Input'!B702),"",'Data Input'!B702)</f>
        <v>LH006</v>
      </c>
      <c r="C702" t="str">
        <f>IF(ISBLANK('Data Input'!C702),"",'Data Input'!C702)</f>
        <v>8/05/18 0750</v>
      </c>
      <c r="E702" t="str">
        <f>IF(ISBLANK('Data Input'!D702),"",'Data Input'!D702)</f>
        <v>8/07/18 1243</v>
      </c>
      <c r="G702">
        <f>IF(ISBLANK('Data Input'!E702),"",'Data Input'!E702)</f>
        <v>36</v>
      </c>
      <c r="H702" t="str">
        <f>IF(ISBLANK('Data Input'!F702),"",'Data Input'!F702)</f>
        <v>bb - Black</v>
      </c>
      <c r="I702" t="str">
        <f>IF(ISBLANK('Data Input'!G702),"",'Data Input'!G702)</f>
        <v>Caesarean</v>
      </c>
      <c r="J702" t="str">
        <f>IF(ISBLANK('Data Input'!I702),"",'Data Input'!I702)</f>
        <v>8=06=18 0007</v>
      </c>
      <c r="K702" t="str">
        <f>IF(ISBLANK('Data Input'!J702),"",'Data Input'!J702)</f>
        <v>tr - Toradol</v>
      </c>
      <c r="L702">
        <f>IF(ISBLANK('Data Input'!K702),"",'Data Input'!K702)</f>
        <v>30</v>
      </c>
      <c r="M702">
        <f>IF(ISBLANK('Data Input'!L702),"",'Data Input'!L702)</f>
        <v>6</v>
      </c>
      <c r="N702">
        <f>IF(ISBLANK('Data Input'!M702),"",'Data Input'!M702)</f>
        <v>3</v>
      </c>
      <c r="O702" t="str">
        <f>IF(ISBLANK('Data Input'!N702),"",'Data Input'!N702)</f>
        <v/>
      </c>
      <c r="P702" t="str">
        <f>IF(ISBLANK('Data Input'!O702),"",'Data Input'!O702)</f>
        <v/>
      </c>
      <c r="Q702" t="str">
        <f>IF(ISBLANK('Data Input'!P702),"",'Data Input'!P702)</f>
        <v/>
      </c>
      <c r="R702" t="b">
        <f>IF(ISBLANK('Data Input'!Q702),"",'Data Input'!Q702)</f>
        <v>0</v>
      </c>
      <c r="T702" s="2">
        <f t="shared" si="42"/>
        <v>43317</v>
      </c>
      <c r="U702" s="12">
        <f t="shared" si="43"/>
        <v>0.3263888888888889</v>
      </c>
      <c r="V702" s="2">
        <f t="shared" si="44"/>
        <v>43319</v>
      </c>
      <c r="W702" s="12">
        <f t="shared" si="45"/>
        <v>0.52986111111111112</v>
      </c>
    </row>
    <row r="703" spans="1:23">
      <c r="A703">
        <f>IF(ISBLANK('Data Input'!A703),"",'Data Input'!A703)</f>
        <v>166</v>
      </c>
      <c r="B703" t="str">
        <f>IF(ISBLANK('Data Input'!B703),"",'Data Input'!B703)</f>
        <v>LH006</v>
      </c>
      <c r="C703" t="str">
        <f>IF(ISBLANK('Data Input'!C703),"",'Data Input'!C703)</f>
        <v>8/05/18 0750</v>
      </c>
      <c r="E703" t="str">
        <f>IF(ISBLANK('Data Input'!D703),"",'Data Input'!D703)</f>
        <v>8/07/18 1243</v>
      </c>
      <c r="G703">
        <f>IF(ISBLANK('Data Input'!E703),"",'Data Input'!E703)</f>
        <v>36</v>
      </c>
      <c r="H703" t="str">
        <f>IF(ISBLANK('Data Input'!F703),"",'Data Input'!F703)</f>
        <v>bb - Black</v>
      </c>
      <c r="I703" t="str">
        <f>IF(ISBLANK('Data Input'!G703),"",'Data Input'!G703)</f>
        <v>Caesarean</v>
      </c>
      <c r="J703" t="str">
        <f>IF(ISBLANK('Data Input'!I703),"",'Data Input'!I703)</f>
        <v>8=06=18 0530</v>
      </c>
      <c r="K703" t="str">
        <f>IF(ISBLANK('Data Input'!J703),"",'Data Input'!J703)</f>
        <v>rr - Percocet</v>
      </c>
      <c r="L703">
        <f>IF(ISBLANK('Data Input'!K703),"",'Data Input'!K703)</f>
        <v>1</v>
      </c>
      <c r="M703">
        <f>IF(ISBLANK('Data Input'!L703),"",'Data Input'!L703)</f>
        <v>7</v>
      </c>
      <c r="N703">
        <f>IF(ISBLANK('Data Input'!M703),"",'Data Input'!M703)</f>
        <v>6</v>
      </c>
      <c r="O703" t="str">
        <f>IF(ISBLANK('Data Input'!N703),"",'Data Input'!N703)</f>
        <v/>
      </c>
      <c r="P703" t="str">
        <f>IF(ISBLANK('Data Input'!O703),"",'Data Input'!O703)</f>
        <v/>
      </c>
      <c r="Q703" t="str">
        <f>IF(ISBLANK('Data Input'!P703),"",'Data Input'!P703)</f>
        <v/>
      </c>
      <c r="R703" t="b">
        <f>IF(ISBLANK('Data Input'!Q703),"",'Data Input'!Q703)</f>
        <v>0</v>
      </c>
      <c r="T703" s="2">
        <f t="shared" si="42"/>
        <v>43317</v>
      </c>
      <c r="U703" s="12">
        <f t="shared" si="43"/>
        <v>0.3263888888888889</v>
      </c>
      <c r="V703" s="2">
        <f t="shared" si="44"/>
        <v>43319</v>
      </c>
      <c r="W703" s="12">
        <f t="shared" si="45"/>
        <v>0.52986111111111112</v>
      </c>
    </row>
    <row r="704" spans="1:23">
      <c r="A704">
        <f>IF(ISBLANK('Data Input'!A704),"",'Data Input'!A704)</f>
        <v>166</v>
      </c>
      <c r="B704" t="str">
        <f>IF(ISBLANK('Data Input'!B704),"",'Data Input'!B704)</f>
        <v>LH006</v>
      </c>
      <c r="C704" t="str">
        <f>IF(ISBLANK('Data Input'!C704),"",'Data Input'!C704)</f>
        <v>8/05/18 0750</v>
      </c>
      <c r="E704" t="str">
        <f>IF(ISBLANK('Data Input'!D704),"",'Data Input'!D704)</f>
        <v>8/07/18 1243</v>
      </c>
      <c r="G704">
        <f>IF(ISBLANK('Data Input'!E704),"",'Data Input'!E704)</f>
        <v>36</v>
      </c>
      <c r="H704" t="str">
        <f>IF(ISBLANK('Data Input'!F704),"",'Data Input'!F704)</f>
        <v>bb - Black</v>
      </c>
      <c r="I704" t="str">
        <f>IF(ISBLANK('Data Input'!G704),"",'Data Input'!G704)</f>
        <v>Caesarean</v>
      </c>
      <c r="J704" t="str">
        <f>IF(ISBLANK('Data Input'!I704),"",'Data Input'!I704)</f>
        <v>8=06=18 0617</v>
      </c>
      <c r="K704" t="str">
        <f>IF(ISBLANK('Data Input'!J704),"",'Data Input'!J704)</f>
        <v>tr - Toradol</v>
      </c>
      <c r="L704">
        <f>IF(ISBLANK('Data Input'!K704),"",'Data Input'!K704)</f>
        <v>30</v>
      </c>
      <c r="M704">
        <f>IF(ISBLANK('Data Input'!L704),"",'Data Input'!L704)</f>
        <v>6</v>
      </c>
      <c r="N704">
        <f>IF(ISBLANK('Data Input'!M704),"",'Data Input'!M704)</f>
        <v>4</v>
      </c>
      <c r="O704" t="str">
        <f>IF(ISBLANK('Data Input'!N704),"",'Data Input'!N704)</f>
        <v/>
      </c>
      <c r="P704" t="str">
        <f>IF(ISBLANK('Data Input'!O704),"",'Data Input'!O704)</f>
        <v/>
      </c>
      <c r="Q704" t="str">
        <f>IF(ISBLANK('Data Input'!P704),"",'Data Input'!P704)</f>
        <v/>
      </c>
      <c r="R704" t="b">
        <f>IF(ISBLANK('Data Input'!Q704),"",'Data Input'!Q704)</f>
        <v>0</v>
      </c>
      <c r="T704" s="2">
        <f t="shared" si="42"/>
        <v>43317</v>
      </c>
      <c r="U704" s="12">
        <f t="shared" si="43"/>
        <v>0.3263888888888889</v>
      </c>
      <c r="V704" s="2">
        <f t="shared" si="44"/>
        <v>43319</v>
      </c>
      <c r="W704" s="12">
        <f t="shared" si="45"/>
        <v>0.52986111111111112</v>
      </c>
    </row>
    <row r="705" spans="1:23">
      <c r="A705">
        <f>IF(ISBLANK('Data Input'!A705),"",'Data Input'!A705)</f>
        <v>166</v>
      </c>
      <c r="B705" t="str">
        <f>IF(ISBLANK('Data Input'!B705),"",'Data Input'!B705)</f>
        <v>LH006</v>
      </c>
      <c r="C705" t="str">
        <f>IF(ISBLANK('Data Input'!C705),"",'Data Input'!C705)</f>
        <v>8/05/18 0750</v>
      </c>
      <c r="E705" t="str">
        <f>IF(ISBLANK('Data Input'!D705),"",'Data Input'!D705)</f>
        <v>8/07/18 1243</v>
      </c>
      <c r="G705">
        <f>IF(ISBLANK('Data Input'!E705),"",'Data Input'!E705)</f>
        <v>36</v>
      </c>
      <c r="H705" t="str">
        <f>IF(ISBLANK('Data Input'!F705),"",'Data Input'!F705)</f>
        <v>bb - Black</v>
      </c>
      <c r="I705" t="str">
        <f>IF(ISBLANK('Data Input'!G705),"",'Data Input'!G705)</f>
        <v>Caesarean</v>
      </c>
      <c r="J705" t="str">
        <f>IF(ISBLANK('Data Input'!I705),"",'Data Input'!I705)</f>
        <v>8=06=18 0917</v>
      </c>
      <c r="K705" t="str">
        <f>IF(ISBLANK('Data Input'!J705),"",'Data Input'!J705)</f>
        <v>rr - Percocet</v>
      </c>
      <c r="L705">
        <f>IF(ISBLANK('Data Input'!K705),"",'Data Input'!K705)</f>
        <v>1</v>
      </c>
      <c r="M705">
        <f>IF(ISBLANK('Data Input'!L705),"",'Data Input'!L705)</f>
        <v>6</v>
      </c>
      <c r="N705">
        <f>IF(ISBLANK('Data Input'!M705),"",'Data Input'!M705)</f>
        <v>4</v>
      </c>
      <c r="O705" t="str">
        <f>IF(ISBLANK('Data Input'!N705),"",'Data Input'!N705)</f>
        <v/>
      </c>
      <c r="P705" t="str">
        <f>IF(ISBLANK('Data Input'!O705),"",'Data Input'!O705)</f>
        <v/>
      </c>
      <c r="Q705" t="str">
        <f>IF(ISBLANK('Data Input'!P705),"",'Data Input'!P705)</f>
        <v/>
      </c>
      <c r="R705" t="b">
        <f>IF(ISBLANK('Data Input'!Q705),"",'Data Input'!Q705)</f>
        <v>0</v>
      </c>
      <c r="T705" s="2">
        <f t="shared" si="42"/>
        <v>43317</v>
      </c>
      <c r="U705" s="12">
        <f t="shared" si="43"/>
        <v>0.3263888888888889</v>
      </c>
      <c r="V705" s="2">
        <f t="shared" si="44"/>
        <v>43319</v>
      </c>
      <c r="W705" s="12">
        <f t="shared" si="45"/>
        <v>0.52986111111111112</v>
      </c>
    </row>
    <row r="706" spans="1:23">
      <c r="A706">
        <f>IF(ISBLANK('Data Input'!A706),"",'Data Input'!A706)</f>
        <v>166</v>
      </c>
      <c r="B706" t="str">
        <f>IF(ISBLANK('Data Input'!B706),"",'Data Input'!B706)</f>
        <v>LH006</v>
      </c>
      <c r="C706" t="str">
        <f>IF(ISBLANK('Data Input'!C706),"",'Data Input'!C706)</f>
        <v>8/05/18 0750</v>
      </c>
      <c r="E706" t="str">
        <f>IF(ISBLANK('Data Input'!D706),"",'Data Input'!D706)</f>
        <v>8/07/18 1243</v>
      </c>
      <c r="G706">
        <f>IF(ISBLANK('Data Input'!E706),"",'Data Input'!E706)</f>
        <v>36</v>
      </c>
      <c r="H706" t="str">
        <f>IF(ISBLANK('Data Input'!F706),"",'Data Input'!F706)</f>
        <v>bb - Black</v>
      </c>
      <c r="I706" t="str">
        <f>IF(ISBLANK('Data Input'!G706),"",'Data Input'!G706)</f>
        <v>Caesarean</v>
      </c>
      <c r="J706" t="str">
        <f>IF(ISBLANK('Data Input'!I706),"",'Data Input'!I706)</f>
        <v>8=06=18 1258</v>
      </c>
      <c r="K706" t="str">
        <f>IF(ISBLANK('Data Input'!J706),"",'Data Input'!J706)</f>
        <v>bb - Ibuprofen</v>
      </c>
      <c r="L706">
        <f>IF(ISBLANK('Data Input'!K706),"",'Data Input'!K706)</f>
        <v>800</v>
      </c>
      <c r="M706">
        <f>IF(ISBLANK('Data Input'!L706),"",'Data Input'!L706)</f>
        <v>9</v>
      </c>
      <c r="N706">
        <f>IF(ISBLANK('Data Input'!M706),"",'Data Input'!M706)</f>
        <v>4</v>
      </c>
      <c r="O706" t="str">
        <f>IF(ISBLANK('Data Input'!N706),"",'Data Input'!N706)</f>
        <v/>
      </c>
      <c r="P706" t="str">
        <f>IF(ISBLANK('Data Input'!O706),"",'Data Input'!O706)</f>
        <v/>
      </c>
      <c r="Q706" t="str">
        <f>IF(ISBLANK('Data Input'!P706),"",'Data Input'!P706)</f>
        <v/>
      </c>
      <c r="R706" t="b">
        <f>IF(ISBLANK('Data Input'!Q706),"",'Data Input'!Q706)</f>
        <v>0</v>
      </c>
      <c r="T706" s="2">
        <f t="shared" si="42"/>
        <v>43317</v>
      </c>
      <c r="U706" s="12">
        <f t="shared" si="43"/>
        <v>0.3263888888888889</v>
      </c>
      <c r="V706" s="2">
        <f t="shared" si="44"/>
        <v>43319</v>
      </c>
      <c r="W706" s="12">
        <f t="shared" si="45"/>
        <v>0.52986111111111112</v>
      </c>
    </row>
    <row r="707" spans="1:23">
      <c r="A707">
        <f>IF(ISBLANK('Data Input'!A707),"",'Data Input'!A707)</f>
        <v>166</v>
      </c>
      <c r="B707" t="str">
        <f>IF(ISBLANK('Data Input'!B707),"",'Data Input'!B707)</f>
        <v>LH006</v>
      </c>
      <c r="C707" t="str">
        <f>IF(ISBLANK('Data Input'!C707),"",'Data Input'!C707)</f>
        <v>8/05/18 0750</v>
      </c>
      <c r="E707" t="str">
        <f>IF(ISBLANK('Data Input'!D707),"",'Data Input'!D707)</f>
        <v>8/07/18 1243</v>
      </c>
      <c r="G707">
        <f>IF(ISBLANK('Data Input'!E707),"",'Data Input'!E707)</f>
        <v>36</v>
      </c>
      <c r="H707" t="str">
        <f>IF(ISBLANK('Data Input'!F707),"",'Data Input'!F707)</f>
        <v>bb - Black</v>
      </c>
      <c r="I707" t="str">
        <f>IF(ISBLANK('Data Input'!G707),"",'Data Input'!G707)</f>
        <v>Caesarean</v>
      </c>
      <c r="J707" t="str">
        <f>IF(ISBLANK('Data Input'!I707),"",'Data Input'!I707)</f>
        <v>8=06=18 1258</v>
      </c>
      <c r="K707" t="str">
        <f>IF(ISBLANK('Data Input'!J707),"",'Data Input'!J707)</f>
        <v>rr - Percocet</v>
      </c>
      <c r="L707">
        <f>IF(ISBLANK('Data Input'!K707),"",'Data Input'!K707)</f>
        <v>1</v>
      </c>
      <c r="M707">
        <f>IF(ISBLANK('Data Input'!L707),"",'Data Input'!L707)</f>
        <v>9</v>
      </c>
      <c r="N707">
        <f>IF(ISBLANK('Data Input'!M707),"",'Data Input'!M707)</f>
        <v>4</v>
      </c>
      <c r="O707" t="str">
        <f>IF(ISBLANK('Data Input'!N707),"",'Data Input'!N707)</f>
        <v/>
      </c>
      <c r="P707" t="str">
        <f>IF(ISBLANK('Data Input'!O707),"",'Data Input'!O707)</f>
        <v/>
      </c>
      <c r="Q707" t="str">
        <f>IF(ISBLANK('Data Input'!P707),"",'Data Input'!P707)</f>
        <v/>
      </c>
      <c r="R707" t="b">
        <f>IF(ISBLANK('Data Input'!Q707),"",'Data Input'!Q707)</f>
        <v>0</v>
      </c>
      <c r="T707" s="2">
        <f t="shared" ref="T707:T770" si="46">DATEVALUE(LEFT(C707,FIND(" ",C707)))</f>
        <v>43317</v>
      </c>
      <c r="U707" s="12">
        <f t="shared" ref="U707:U770" si="47">TIMEVALUE(CONCATENATE(MID(C707,FIND(" ",C707)+1,2),":",RIGHT(C707,LEN(C707)-FIND(" ",C707)-2)))</f>
        <v>0.3263888888888889</v>
      </c>
      <c r="V707" s="2">
        <f t="shared" si="44"/>
        <v>43319</v>
      </c>
      <c r="W707" s="12">
        <f t="shared" si="45"/>
        <v>0.52986111111111112</v>
      </c>
    </row>
    <row r="708" spans="1:23">
      <c r="A708">
        <f>IF(ISBLANK('Data Input'!A708),"",'Data Input'!A708)</f>
        <v>166</v>
      </c>
      <c r="B708" t="str">
        <f>IF(ISBLANK('Data Input'!B708),"",'Data Input'!B708)</f>
        <v>LH006</v>
      </c>
      <c r="C708" t="str">
        <f>IF(ISBLANK('Data Input'!C708),"",'Data Input'!C708)</f>
        <v>8/05/18 0750</v>
      </c>
      <c r="E708" t="str">
        <f>IF(ISBLANK('Data Input'!D708),"",'Data Input'!D708)</f>
        <v>8/07/18 1243</v>
      </c>
      <c r="G708">
        <f>IF(ISBLANK('Data Input'!E708),"",'Data Input'!E708)</f>
        <v>36</v>
      </c>
      <c r="H708" t="str">
        <f>IF(ISBLANK('Data Input'!F708),"",'Data Input'!F708)</f>
        <v>bb - Black</v>
      </c>
      <c r="I708" t="str">
        <f>IF(ISBLANK('Data Input'!G708),"",'Data Input'!G708)</f>
        <v>Caesarean</v>
      </c>
      <c r="J708" t="str">
        <f>IF(ISBLANK('Data Input'!I708),"",'Data Input'!I708)</f>
        <v>8=06=18 1635</v>
      </c>
      <c r="K708" t="str">
        <f>IF(ISBLANK('Data Input'!J708),"",'Data Input'!J708)</f>
        <v>rr - Percocet</v>
      </c>
      <c r="L708">
        <f>IF(ISBLANK('Data Input'!K708),"",'Data Input'!K708)</f>
        <v>2</v>
      </c>
      <c r="M708">
        <f>IF(ISBLANK('Data Input'!L708),"",'Data Input'!L708)</f>
        <v>6</v>
      </c>
      <c r="N708">
        <f>IF(ISBLANK('Data Input'!M708),"",'Data Input'!M708)</f>
        <v>0</v>
      </c>
      <c r="O708" t="str">
        <f>IF(ISBLANK('Data Input'!N708),"",'Data Input'!N708)</f>
        <v/>
      </c>
      <c r="P708" t="str">
        <f>IF(ISBLANK('Data Input'!O708),"",'Data Input'!O708)</f>
        <v/>
      </c>
      <c r="Q708" t="str">
        <f>IF(ISBLANK('Data Input'!P708),"",'Data Input'!P708)</f>
        <v/>
      </c>
      <c r="R708" t="b">
        <f>IF(ISBLANK('Data Input'!Q708),"",'Data Input'!Q708)</f>
        <v>0</v>
      </c>
      <c r="T708" s="2">
        <f t="shared" si="46"/>
        <v>43317</v>
      </c>
      <c r="U708" s="12">
        <f t="shared" si="47"/>
        <v>0.3263888888888889</v>
      </c>
      <c r="V708" s="2">
        <f t="shared" si="44"/>
        <v>43319</v>
      </c>
      <c r="W708" s="12">
        <f t="shared" si="45"/>
        <v>0.52986111111111112</v>
      </c>
    </row>
    <row r="709" spans="1:23">
      <c r="A709">
        <f>IF(ISBLANK('Data Input'!A709),"",'Data Input'!A709)</f>
        <v>166</v>
      </c>
      <c r="B709" t="str">
        <f>IF(ISBLANK('Data Input'!B709),"",'Data Input'!B709)</f>
        <v>LH006</v>
      </c>
      <c r="C709" t="str">
        <f>IF(ISBLANK('Data Input'!C709),"",'Data Input'!C709)</f>
        <v>8/05/18 0750</v>
      </c>
      <c r="E709" t="str">
        <f>IF(ISBLANK('Data Input'!D709),"",'Data Input'!D709)</f>
        <v>8/07/18 1243</v>
      </c>
      <c r="G709">
        <f>IF(ISBLANK('Data Input'!E709),"",'Data Input'!E709)</f>
        <v>36</v>
      </c>
      <c r="H709" t="str">
        <f>IF(ISBLANK('Data Input'!F709),"",'Data Input'!F709)</f>
        <v>bb - Black</v>
      </c>
      <c r="I709" t="str">
        <f>IF(ISBLANK('Data Input'!G709),"",'Data Input'!G709)</f>
        <v>Caesarean</v>
      </c>
      <c r="J709" t="str">
        <f>IF(ISBLANK('Data Input'!I709),"",'Data Input'!I709)</f>
        <v>8=06=18 2039</v>
      </c>
      <c r="K709" t="str">
        <f>IF(ISBLANK('Data Input'!J709),"",'Data Input'!J709)</f>
        <v>bb - Ibuprofen</v>
      </c>
      <c r="L709">
        <f>IF(ISBLANK('Data Input'!K709),"",'Data Input'!K709)</f>
        <v>800</v>
      </c>
      <c r="M709">
        <f>IF(ISBLANK('Data Input'!L709),"",'Data Input'!L709)</f>
        <v>9</v>
      </c>
      <c r="N709">
        <f>IF(ISBLANK('Data Input'!M709),"",'Data Input'!M709)</f>
        <v>6</v>
      </c>
      <c r="O709" t="str">
        <f>IF(ISBLANK('Data Input'!N709),"",'Data Input'!N709)</f>
        <v/>
      </c>
      <c r="P709" t="str">
        <f>IF(ISBLANK('Data Input'!O709),"",'Data Input'!O709)</f>
        <v/>
      </c>
      <c r="Q709" t="str">
        <f>IF(ISBLANK('Data Input'!P709),"",'Data Input'!P709)</f>
        <v/>
      </c>
      <c r="R709" t="b">
        <f>IF(ISBLANK('Data Input'!Q709),"",'Data Input'!Q709)</f>
        <v>0</v>
      </c>
      <c r="T709" s="2">
        <f t="shared" si="46"/>
        <v>43317</v>
      </c>
      <c r="U709" s="12">
        <f t="shared" si="47"/>
        <v>0.3263888888888889</v>
      </c>
      <c r="V709" s="2">
        <f t="shared" si="44"/>
        <v>43319</v>
      </c>
      <c r="W709" s="12">
        <f t="shared" si="45"/>
        <v>0.52986111111111112</v>
      </c>
    </row>
    <row r="710" spans="1:23">
      <c r="A710">
        <f>IF(ISBLANK('Data Input'!A710),"",'Data Input'!A710)</f>
        <v>166</v>
      </c>
      <c r="B710" t="str">
        <f>IF(ISBLANK('Data Input'!B710),"",'Data Input'!B710)</f>
        <v>LH006</v>
      </c>
      <c r="C710" t="str">
        <f>IF(ISBLANK('Data Input'!C710),"",'Data Input'!C710)</f>
        <v>8/05/18 0750</v>
      </c>
      <c r="E710" t="str">
        <f>IF(ISBLANK('Data Input'!D710),"",'Data Input'!D710)</f>
        <v>8/07/18 1243</v>
      </c>
      <c r="G710">
        <f>IF(ISBLANK('Data Input'!E710),"",'Data Input'!E710)</f>
        <v>36</v>
      </c>
      <c r="H710" t="str">
        <f>IF(ISBLANK('Data Input'!F710),"",'Data Input'!F710)</f>
        <v>bb - Black</v>
      </c>
      <c r="I710" t="str">
        <f>IF(ISBLANK('Data Input'!G710),"",'Data Input'!G710)</f>
        <v>Caesarean</v>
      </c>
      <c r="J710" t="str">
        <f>IF(ISBLANK('Data Input'!I710),"",'Data Input'!I710)</f>
        <v>8=06=18 2039</v>
      </c>
      <c r="K710" t="str">
        <f>IF(ISBLANK('Data Input'!J710),"",'Data Input'!J710)</f>
        <v>rr - Percocet</v>
      </c>
      <c r="L710">
        <f>IF(ISBLANK('Data Input'!K710),"",'Data Input'!K710)</f>
        <v>2</v>
      </c>
      <c r="M710">
        <f>IF(ISBLANK('Data Input'!L710),"",'Data Input'!L710)</f>
        <v>9</v>
      </c>
      <c r="N710">
        <f>IF(ISBLANK('Data Input'!M710),"",'Data Input'!M710)</f>
        <v>6</v>
      </c>
      <c r="O710" t="str">
        <f>IF(ISBLANK('Data Input'!N710),"",'Data Input'!N710)</f>
        <v/>
      </c>
      <c r="P710" t="str">
        <f>IF(ISBLANK('Data Input'!O710),"",'Data Input'!O710)</f>
        <v/>
      </c>
      <c r="Q710" t="str">
        <f>IF(ISBLANK('Data Input'!P710),"",'Data Input'!P710)</f>
        <v/>
      </c>
      <c r="R710" t="b">
        <f>IF(ISBLANK('Data Input'!Q710),"",'Data Input'!Q710)</f>
        <v>0</v>
      </c>
      <c r="T710" s="2">
        <f t="shared" si="46"/>
        <v>43317</v>
      </c>
      <c r="U710" s="12">
        <f t="shared" si="47"/>
        <v>0.3263888888888889</v>
      </c>
      <c r="V710" s="2">
        <f t="shared" si="44"/>
        <v>43319</v>
      </c>
      <c r="W710" s="12">
        <f t="shared" si="45"/>
        <v>0.52986111111111112</v>
      </c>
    </row>
    <row r="711" spans="1:23">
      <c r="A711">
        <f>IF(ISBLANK('Data Input'!A711),"",'Data Input'!A711)</f>
        <v>166</v>
      </c>
      <c r="B711" t="str">
        <f>IF(ISBLANK('Data Input'!B711),"",'Data Input'!B711)</f>
        <v>LH006</v>
      </c>
      <c r="C711" t="str">
        <f>IF(ISBLANK('Data Input'!C711),"",'Data Input'!C711)</f>
        <v>8/05/18 0750</v>
      </c>
      <c r="E711" t="str">
        <f>IF(ISBLANK('Data Input'!D711),"",'Data Input'!D711)</f>
        <v>8/07/18 1243</v>
      </c>
      <c r="G711">
        <f>IF(ISBLANK('Data Input'!E711),"",'Data Input'!E711)</f>
        <v>36</v>
      </c>
      <c r="H711" t="str">
        <f>IF(ISBLANK('Data Input'!F711),"",'Data Input'!F711)</f>
        <v>bb - Black</v>
      </c>
      <c r="I711" t="str">
        <f>IF(ISBLANK('Data Input'!G711),"",'Data Input'!G711)</f>
        <v>Caesarean</v>
      </c>
      <c r="J711" t="str">
        <f>IF(ISBLANK('Data Input'!I711),"",'Data Input'!I711)</f>
        <v>8=07=18 0018</v>
      </c>
      <c r="K711" t="str">
        <f>IF(ISBLANK('Data Input'!J711),"",'Data Input'!J711)</f>
        <v>rr - Percocet</v>
      </c>
      <c r="L711">
        <f>IF(ISBLANK('Data Input'!K711),"",'Data Input'!K711)</f>
        <v>2</v>
      </c>
      <c r="M711">
        <f>IF(ISBLANK('Data Input'!L711),"",'Data Input'!L711)</f>
        <v>7</v>
      </c>
      <c r="N711">
        <f>IF(ISBLANK('Data Input'!M711),"",'Data Input'!M711)</f>
        <v>4</v>
      </c>
      <c r="O711" t="str">
        <f>IF(ISBLANK('Data Input'!N711),"",'Data Input'!N711)</f>
        <v/>
      </c>
      <c r="P711" t="str">
        <f>IF(ISBLANK('Data Input'!O711),"",'Data Input'!O711)</f>
        <v/>
      </c>
      <c r="Q711" t="str">
        <f>IF(ISBLANK('Data Input'!P711),"",'Data Input'!P711)</f>
        <v/>
      </c>
      <c r="R711" t="b">
        <f>IF(ISBLANK('Data Input'!Q711),"",'Data Input'!Q711)</f>
        <v>0</v>
      </c>
      <c r="T711" s="2">
        <f t="shared" si="46"/>
        <v>43317</v>
      </c>
      <c r="U711" s="12">
        <f t="shared" si="47"/>
        <v>0.3263888888888889</v>
      </c>
      <c r="V711" s="2">
        <f t="shared" ref="V711:V774" si="48">IFERROR(DATEVALUE(LEFT(E711,FIND(" ",E711))),E711)</f>
        <v>43319</v>
      </c>
      <c r="W711" s="12">
        <f t="shared" ref="W711:W774" si="49">IFERROR(TIMEVALUE(CONCATENATE(MID(E711,FIND(" ",E711)+1,2),":",RIGHT(E711,LEN(E711)-FIND(" ",E711)-2))),E711)</f>
        <v>0.52986111111111112</v>
      </c>
    </row>
    <row r="712" spans="1:23">
      <c r="A712">
        <f>IF(ISBLANK('Data Input'!A712),"",'Data Input'!A712)</f>
        <v>166</v>
      </c>
      <c r="B712" t="str">
        <f>IF(ISBLANK('Data Input'!B712),"",'Data Input'!B712)</f>
        <v>LH006</v>
      </c>
      <c r="C712" t="str">
        <f>IF(ISBLANK('Data Input'!C712),"",'Data Input'!C712)</f>
        <v>8/05/18 0750</v>
      </c>
      <c r="E712" t="str">
        <f>IF(ISBLANK('Data Input'!D712),"",'Data Input'!D712)</f>
        <v>8/07/18 1243</v>
      </c>
      <c r="G712">
        <f>IF(ISBLANK('Data Input'!E712),"",'Data Input'!E712)</f>
        <v>36</v>
      </c>
      <c r="H712" t="str">
        <f>IF(ISBLANK('Data Input'!F712),"",'Data Input'!F712)</f>
        <v>bb - Black</v>
      </c>
      <c r="I712" t="str">
        <f>IF(ISBLANK('Data Input'!G712),"",'Data Input'!G712)</f>
        <v>Caesarean</v>
      </c>
      <c r="J712" t="str">
        <f>IF(ISBLANK('Data Input'!I712),"",'Data Input'!I712)</f>
        <v>8=07=18 0212</v>
      </c>
      <c r="K712" t="str">
        <f>IF(ISBLANK('Data Input'!J712),"",'Data Input'!J712)</f>
        <v>bb - Ibuprofen</v>
      </c>
      <c r="L712">
        <f>IF(ISBLANK('Data Input'!K712),"",'Data Input'!K712)</f>
        <v>800</v>
      </c>
      <c r="M712">
        <f>IF(ISBLANK('Data Input'!L712),"",'Data Input'!L712)</f>
        <v>4</v>
      </c>
      <c r="N712">
        <f>IF(ISBLANK('Data Input'!M712),"",'Data Input'!M712)</f>
        <v>0</v>
      </c>
      <c r="O712" t="str">
        <f>IF(ISBLANK('Data Input'!N712),"",'Data Input'!N712)</f>
        <v/>
      </c>
      <c r="P712" t="str">
        <f>IF(ISBLANK('Data Input'!O712),"",'Data Input'!O712)</f>
        <v/>
      </c>
      <c r="Q712" t="str">
        <f>IF(ISBLANK('Data Input'!P712),"",'Data Input'!P712)</f>
        <v/>
      </c>
      <c r="R712" t="b">
        <f>IF(ISBLANK('Data Input'!Q712),"",'Data Input'!Q712)</f>
        <v>0</v>
      </c>
      <c r="T712" s="2">
        <f t="shared" si="46"/>
        <v>43317</v>
      </c>
      <c r="U712" s="12">
        <f t="shared" si="47"/>
        <v>0.3263888888888889</v>
      </c>
      <c r="V712" s="2">
        <f t="shared" si="48"/>
        <v>43319</v>
      </c>
      <c r="W712" s="12">
        <f t="shared" si="49"/>
        <v>0.52986111111111112</v>
      </c>
    </row>
    <row r="713" spans="1:23">
      <c r="A713">
        <f>IF(ISBLANK('Data Input'!A713),"",'Data Input'!A713)</f>
        <v>166</v>
      </c>
      <c r="B713" t="str">
        <f>IF(ISBLANK('Data Input'!B713),"",'Data Input'!B713)</f>
        <v>LH006</v>
      </c>
      <c r="C713" t="str">
        <f>IF(ISBLANK('Data Input'!C713),"",'Data Input'!C713)</f>
        <v>8/05/18 0750</v>
      </c>
      <c r="E713" t="str">
        <f>IF(ISBLANK('Data Input'!D713),"",'Data Input'!D713)</f>
        <v>8/07/18 1243</v>
      </c>
      <c r="G713">
        <f>IF(ISBLANK('Data Input'!E713),"",'Data Input'!E713)</f>
        <v>36</v>
      </c>
      <c r="H713" t="str">
        <f>IF(ISBLANK('Data Input'!F713),"",'Data Input'!F713)</f>
        <v>bb - Black</v>
      </c>
      <c r="I713" t="str">
        <f>IF(ISBLANK('Data Input'!G713),"",'Data Input'!G713)</f>
        <v>Caesarean</v>
      </c>
      <c r="J713" t="str">
        <f>IF(ISBLANK('Data Input'!I713),"",'Data Input'!I713)</f>
        <v>8=07=18 0435</v>
      </c>
      <c r="K713" t="str">
        <f>IF(ISBLANK('Data Input'!J713),"",'Data Input'!J713)</f>
        <v>rr - Percocet</v>
      </c>
      <c r="L713">
        <f>IF(ISBLANK('Data Input'!K713),"",'Data Input'!K713)</f>
        <v>2</v>
      </c>
      <c r="M713">
        <f>IF(ISBLANK('Data Input'!L713),"",'Data Input'!L713)</f>
        <v>5</v>
      </c>
      <c r="N713">
        <f>IF(ISBLANK('Data Input'!M713),"",'Data Input'!M713)</f>
        <v>3</v>
      </c>
      <c r="O713" t="str">
        <f>IF(ISBLANK('Data Input'!N713),"",'Data Input'!N713)</f>
        <v/>
      </c>
      <c r="P713" t="str">
        <f>IF(ISBLANK('Data Input'!O713),"",'Data Input'!O713)</f>
        <v/>
      </c>
      <c r="Q713" t="str">
        <f>IF(ISBLANK('Data Input'!P713),"",'Data Input'!P713)</f>
        <v/>
      </c>
      <c r="R713" t="b">
        <f>IF(ISBLANK('Data Input'!Q713),"",'Data Input'!Q713)</f>
        <v>0</v>
      </c>
      <c r="T713" s="2">
        <f t="shared" si="46"/>
        <v>43317</v>
      </c>
      <c r="U713" s="12">
        <f t="shared" si="47"/>
        <v>0.3263888888888889</v>
      </c>
      <c r="V713" s="2">
        <f t="shared" si="48"/>
        <v>43319</v>
      </c>
      <c r="W713" s="12">
        <f t="shared" si="49"/>
        <v>0.52986111111111112</v>
      </c>
    </row>
    <row r="714" spans="1:23">
      <c r="A714">
        <f>IF(ISBLANK('Data Input'!A714),"",'Data Input'!A714)</f>
        <v>166</v>
      </c>
      <c r="B714" t="str">
        <f>IF(ISBLANK('Data Input'!B714),"",'Data Input'!B714)</f>
        <v>LH006</v>
      </c>
      <c r="C714" t="str">
        <f>IF(ISBLANK('Data Input'!C714),"",'Data Input'!C714)</f>
        <v>8/05/18 0750</v>
      </c>
      <c r="E714" t="str">
        <f>IF(ISBLANK('Data Input'!D714),"",'Data Input'!D714)</f>
        <v>8/07/18 1243</v>
      </c>
      <c r="G714">
        <f>IF(ISBLANK('Data Input'!E714),"",'Data Input'!E714)</f>
        <v>36</v>
      </c>
      <c r="H714" t="str">
        <f>IF(ISBLANK('Data Input'!F714),"",'Data Input'!F714)</f>
        <v>bb - Black</v>
      </c>
      <c r="I714" t="str">
        <f>IF(ISBLANK('Data Input'!G714),"",'Data Input'!G714)</f>
        <v>Caesarean</v>
      </c>
      <c r="J714" t="str">
        <f>IF(ISBLANK('Data Input'!I714),"",'Data Input'!I714)</f>
        <v>8=07=18 0839</v>
      </c>
      <c r="K714" t="str">
        <f>IF(ISBLANK('Data Input'!J714),"",'Data Input'!J714)</f>
        <v>rr - Percocet</v>
      </c>
      <c r="L714">
        <f>IF(ISBLANK('Data Input'!K714),"",'Data Input'!K714)</f>
        <v>2</v>
      </c>
      <c r="M714">
        <f>IF(ISBLANK('Data Input'!L714),"",'Data Input'!L714)</f>
        <v>8</v>
      </c>
      <c r="N714">
        <f>IF(ISBLANK('Data Input'!M714),"",'Data Input'!M714)</f>
        <v>8</v>
      </c>
      <c r="O714" t="str">
        <f>IF(ISBLANK('Data Input'!N714),"",'Data Input'!N714)</f>
        <v/>
      </c>
      <c r="P714" t="str">
        <f>IF(ISBLANK('Data Input'!O714),"",'Data Input'!O714)</f>
        <v/>
      </c>
      <c r="Q714" t="str">
        <f>IF(ISBLANK('Data Input'!P714),"",'Data Input'!P714)</f>
        <v/>
      </c>
      <c r="R714" t="b">
        <f>IF(ISBLANK('Data Input'!Q714),"",'Data Input'!Q714)</f>
        <v>0</v>
      </c>
      <c r="T714" s="2">
        <f t="shared" si="46"/>
        <v>43317</v>
      </c>
      <c r="U714" s="12">
        <f t="shared" si="47"/>
        <v>0.3263888888888889</v>
      </c>
      <c r="V714" s="2">
        <f t="shared" si="48"/>
        <v>43319</v>
      </c>
      <c r="W714" s="12">
        <f t="shared" si="49"/>
        <v>0.52986111111111112</v>
      </c>
    </row>
    <row r="715" spans="1:23">
      <c r="A715">
        <f>IF(ISBLANK('Data Input'!A715),"",'Data Input'!A715)</f>
        <v>166</v>
      </c>
      <c r="B715" t="str">
        <f>IF(ISBLANK('Data Input'!B715),"",'Data Input'!B715)</f>
        <v>LH006</v>
      </c>
      <c r="C715" t="str">
        <f>IF(ISBLANK('Data Input'!C715),"",'Data Input'!C715)</f>
        <v>8/05/18 0750</v>
      </c>
      <c r="E715" t="str">
        <f>IF(ISBLANK('Data Input'!D715),"",'Data Input'!D715)</f>
        <v>8/07/18 1243</v>
      </c>
      <c r="G715">
        <f>IF(ISBLANK('Data Input'!E715),"",'Data Input'!E715)</f>
        <v>36</v>
      </c>
      <c r="H715" t="str">
        <f>IF(ISBLANK('Data Input'!F715),"",'Data Input'!F715)</f>
        <v>bb - Black</v>
      </c>
      <c r="I715" t="str">
        <f>IF(ISBLANK('Data Input'!G715),"",'Data Input'!G715)</f>
        <v>Caesarean</v>
      </c>
      <c r="J715" t="str">
        <f>IF(ISBLANK('Data Input'!I715),"",'Data Input'!I715)</f>
        <v>8=07=18 0911</v>
      </c>
      <c r="K715" t="str">
        <f>IF(ISBLANK('Data Input'!J715),"",'Data Input'!J715)</f>
        <v>bb - Ibuprofen</v>
      </c>
      <c r="L715">
        <f>IF(ISBLANK('Data Input'!K715),"",'Data Input'!K715)</f>
        <v>800</v>
      </c>
      <c r="M715">
        <f>IF(ISBLANK('Data Input'!L715),"",'Data Input'!L715)</f>
        <v>8</v>
      </c>
      <c r="N715">
        <f>IF(ISBLANK('Data Input'!M715),"",'Data Input'!M715)</f>
        <v>4</v>
      </c>
      <c r="O715" t="str">
        <f>IF(ISBLANK('Data Input'!N715),"",'Data Input'!N715)</f>
        <v/>
      </c>
      <c r="P715" t="str">
        <f>IF(ISBLANK('Data Input'!O715),"",'Data Input'!O715)</f>
        <v/>
      </c>
      <c r="Q715" t="str">
        <f>IF(ISBLANK('Data Input'!P715),"",'Data Input'!P715)</f>
        <v/>
      </c>
      <c r="R715" t="b">
        <f>IF(ISBLANK('Data Input'!Q715),"",'Data Input'!Q715)</f>
        <v>0</v>
      </c>
      <c r="T715" s="2">
        <f t="shared" si="46"/>
        <v>43317</v>
      </c>
      <c r="U715" s="12">
        <f t="shared" si="47"/>
        <v>0.3263888888888889</v>
      </c>
      <c r="V715" s="2">
        <f t="shared" si="48"/>
        <v>43319</v>
      </c>
      <c r="W715" s="12">
        <f t="shared" si="49"/>
        <v>0.52986111111111112</v>
      </c>
    </row>
    <row r="716" spans="1:23">
      <c r="A716">
        <f>IF(ISBLANK('Data Input'!A716),"",'Data Input'!A716)</f>
        <v>166</v>
      </c>
      <c r="B716" t="str">
        <f>IF(ISBLANK('Data Input'!B716),"",'Data Input'!B716)</f>
        <v>LH006</v>
      </c>
      <c r="C716" t="str">
        <f>IF(ISBLANK('Data Input'!C716),"",'Data Input'!C716)</f>
        <v>8/05/18 0750</v>
      </c>
      <c r="E716" t="str">
        <f>IF(ISBLANK('Data Input'!D716),"",'Data Input'!D716)</f>
        <v>8/07/18 1243</v>
      </c>
      <c r="G716">
        <f>IF(ISBLANK('Data Input'!E716),"",'Data Input'!E716)</f>
        <v>36</v>
      </c>
      <c r="H716" t="str">
        <f>IF(ISBLANK('Data Input'!F716),"",'Data Input'!F716)</f>
        <v>bb - Black</v>
      </c>
      <c r="I716" t="str">
        <f>IF(ISBLANK('Data Input'!G716),"",'Data Input'!G716)</f>
        <v>Caesarean</v>
      </c>
      <c r="J716" t="str">
        <f>IF(ISBLANK('Data Input'!I716),"",'Data Input'!I716)</f>
        <v>8=07=18 1243</v>
      </c>
      <c r="K716" t="str">
        <f>IF(ISBLANK('Data Input'!J716),"",'Data Input'!J716)</f>
        <v>rr - Percocet</v>
      </c>
      <c r="L716">
        <f>IF(ISBLANK('Data Input'!K716),"",'Data Input'!K716)</f>
        <v>2</v>
      </c>
      <c r="M716">
        <f>IF(ISBLANK('Data Input'!L716),"",'Data Input'!L716)</f>
        <v>2</v>
      </c>
      <c r="N716">
        <f>IF(ISBLANK('Data Input'!M716),"",'Data Input'!M716)</f>
        <v>4</v>
      </c>
      <c r="O716" t="str">
        <f>IF(ISBLANK('Data Input'!N716),"",'Data Input'!N716)</f>
        <v/>
      </c>
      <c r="P716" t="str">
        <f>IF(ISBLANK('Data Input'!O716),"",'Data Input'!O716)</f>
        <v/>
      </c>
      <c r="Q716" t="str">
        <f>IF(ISBLANK('Data Input'!P716),"",'Data Input'!P716)</f>
        <v/>
      </c>
      <c r="R716" t="b">
        <f>IF(ISBLANK('Data Input'!Q716),"",'Data Input'!Q716)</f>
        <v>0</v>
      </c>
      <c r="T716" s="2">
        <f t="shared" si="46"/>
        <v>43317</v>
      </c>
      <c r="U716" s="12">
        <f t="shared" si="47"/>
        <v>0.3263888888888889</v>
      </c>
      <c r="V716" s="2">
        <f t="shared" si="48"/>
        <v>43319</v>
      </c>
      <c r="W716" s="12">
        <f t="shared" si="49"/>
        <v>0.52986111111111112</v>
      </c>
    </row>
    <row r="717" spans="1:23">
      <c r="A717">
        <f>IF(ISBLANK('Data Input'!A717),"",'Data Input'!A717)</f>
        <v>167</v>
      </c>
      <c r="B717" t="str">
        <f>IF(ISBLANK('Data Input'!B717),"",'Data Input'!B717)</f>
        <v>KB007</v>
      </c>
      <c r="C717" t="str">
        <f>IF(ISBLANK('Data Input'!C717),"",'Data Input'!C717)</f>
        <v>8/08/18 1530</v>
      </c>
      <c r="E717" t="str">
        <f>IF(ISBLANK('Data Input'!D717),"",'Data Input'!D717)</f>
        <v>8/10/18 1328</v>
      </c>
      <c r="G717">
        <f>IF(ISBLANK('Data Input'!E717),"",'Data Input'!E717)</f>
        <v>42</v>
      </c>
      <c r="H717" t="str">
        <f>IF(ISBLANK('Data Input'!F717),"",'Data Input'!F717)</f>
        <v>White</v>
      </c>
      <c r="I717" t="str">
        <f>IF(ISBLANK('Data Input'!G717),"",'Data Input'!G717)</f>
        <v>Caesarean</v>
      </c>
      <c r="J717" t="str">
        <f>IF(ISBLANK('Data Input'!I717),"",'Data Input'!I717)</f>
        <v>8=08=18 1746</v>
      </c>
      <c r="K717" t="str">
        <f>IF(ISBLANK('Data Input'!J717),"",'Data Input'!J717)</f>
        <v>tr - Toradol</v>
      </c>
      <c r="L717">
        <f>IF(ISBLANK('Data Input'!K717),"",'Data Input'!K717)</f>
        <v>30</v>
      </c>
      <c r="M717">
        <f>IF(ISBLANK('Data Input'!L717),"",'Data Input'!L717)</f>
        <v>4</v>
      </c>
      <c r="N717">
        <f>IF(ISBLANK('Data Input'!M717),"",'Data Input'!M717)</f>
        <v>0</v>
      </c>
      <c r="O717" t="str">
        <f>IF(ISBLANK('Data Input'!N717),"",'Data Input'!N717)</f>
        <v/>
      </c>
      <c r="P717" t="str">
        <f>IF(ISBLANK('Data Input'!O717),"",'Data Input'!O717)</f>
        <v/>
      </c>
      <c r="Q717" t="str">
        <f>IF(ISBLANK('Data Input'!P717),"",'Data Input'!P717)</f>
        <v/>
      </c>
      <c r="R717" t="b">
        <f>IF(ISBLANK('Data Input'!Q717),"",'Data Input'!Q717)</f>
        <v>1</v>
      </c>
      <c r="T717" s="2">
        <f t="shared" si="46"/>
        <v>43320</v>
      </c>
      <c r="U717" s="12">
        <f t="shared" si="47"/>
        <v>0.64583333333333337</v>
      </c>
      <c r="V717" s="2">
        <f t="shared" si="48"/>
        <v>43322</v>
      </c>
      <c r="W717" s="12">
        <f t="shared" si="49"/>
        <v>0.56111111111111112</v>
      </c>
    </row>
    <row r="718" spans="1:23">
      <c r="A718">
        <f>IF(ISBLANK('Data Input'!A718),"",'Data Input'!A718)</f>
        <v>167</v>
      </c>
      <c r="B718" t="str">
        <f>IF(ISBLANK('Data Input'!B718),"",'Data Input'!B718)</f>
        <v>KB007</v>
      </c>
      <c r="C718" t="str">
        <f>IF(ISBLANK('Data Input'!C718),"",'Data Input'!C718)</f>
        <v>8/08/18 1530</v>
      </c>
      <c r="E718" t="str">
        <f>IF(ISBLANK('Data Input'!D718),"",'Data Input'!D718)</f>
        <v>8/10/18 1328</v>
      </c>
      <c r="G718">
        <f>IF(ISBLANK('Data Input'!E718),"",'Data Input'!E718)</f>
        <v>42</v>
      </c>
      <c r="H718" t="str">
        <f>IF(ISBLANK('Data Input'!F718),"",'Data Input'!F718)</f>
        <v>White</v>
      </c>
      <c r="I718" t="str">
        <f>IF(ISBLANK('Data Input'!G718),"",'Data Input'!G718)</f>
        <v>Caesarean</v>
      </c>
      <c r="J718" t="str">
        <f>IF(ISBLANK('Data Input'!I718),"",'Data Input'!I718)</f>
        <v>8=09=18 0023</v>
      </c>
      <c r="K718" t="str">
        <f>IF(ISBLANK('Data Input'!J718),"",'Data Input'!J718)</f>
        <v>tr - Toradol</v>
      </c>
      <c r="L718">
        <f>IF(ISBLANK('Data Input'!K718),"",'Data Input'!K718)</f>
        <v>30</v>
      </c>
      <c r="M718">
        <f>IF(ISBLANK('Data Input'!L718),"",'Data Input'!L718)</f>
        <v>0</v>
      </c>
      <c r="N718">
        <f>IF(ISBLANK('Data Input'!M718),"",'Data Input'!M718)</f>
        <v>0</v>
      </c>
      <c r="O718" t="str">
        <f>IF(ISBLANK('Data Input'!N718),"",'Data Input'!N718)</f>
        <v/>
      </c>
      <c r="P718" t="str">
        <f>IF(ISBLANK('Data Input'!O718),"",'Data Input'!O718)</f>
        <v/>
      </c>
      <c r="Q718" t="str">
        <f>IF(ISBLANK('Data Input'!P718),"",'Data Input'!P718)</f>
        <v/>
      </c>
      <c r="R718" t="b">
        <f>IF(ISBLANK('Data Input'!Q718),"",'Data Input'!Q718)</f>
        <v>1</v>
      </c>
      <c r="T718" s="2">
        <f t="shared" si="46"/>
        <v>43320</v>
      </c>
      <c r="U718" s="12">
        <f t="shared" si="47"/>
        <v>0.64583333333333337</v>
      </c>
      <c r="V718" s="2">
        <f t="shared" si="48"/>
        <v>43322</v>
      </c>
      <c r="W718" s="12">
        <f t="shared" si="49"/>
        <v>0.56111111111111112</v>
      </c>
    </row>
    <row r="719" spans="1:23">
      <c r="A719">
        <f>IF(ISBLANK('Data Input'!A719),"",'Data Input'!A719)</f>
        <v>167</v>
      </c>
      <c r="B719" t="str">
        <f>IF(ISBLANK('Data Input'!B719),"",'Data Input'!B719)</f>
        <v>KB007</v>
      </c>
      <c r="C719" t="str">
        <f>IF(ISBLANK('Data Input'!C719),"",'Data Input'!C719)</f>
        <v>8/08/18 1530</v>
      </c>
      <c r="E719" t="str">
        <f>IF(ISBLANK('Data Input'!D719),"",'Data Input'!D719)</f>
        <v>8/10/18 1328</v>
      </c>
      <c r="G719">
        <f>IF(ISBLANK('Data Input'!E719),"",'Data Input'!E719)</f>
        <v>42</v>
      </c>
      <c r="H719" t="str">
        <f>IF(ISBLANK('Data Input'!F719),"",'Data Input'!F719)</f>
        <v>White</v>
      </c>
      <c r="I719" t="str">
        <f>IF(ISBLANK('Data Input'!G719),"",'Data Input'!G719)</f>
        <v>Caesarean</v>
      </c>
      <c r="J719" t="str">
        <f>IF(ISBLANK('Data Input'!I719),"",'Data Input'!I719)</f>
        <v>8=09=18 0616</v>
      </c>
      <c r="K719" t="str">
        <f>IF(ISBLANK('Data Input'!J719),"",'Data Input'!J719)</f>
        <v>tr - Toradol</v>
      </c>
      <c r="L719">
        <f>IF(ISBLANK('Data Input'!K719),"",'Data Input'!K719)</f>
        <v>30</v>
      </c>
      <c r="M719">
        <f>IF(ISBLANK('Data Input'!L719),"",'Data Input'!L719)</f>
        <v>0</v>
      </c>
      <c r="N719">
        <f>IF(ISBLANK('Data Input'!M719),"",'Data Input'!M719)</f>
        <v>0</v>
      </c>
      <c r="O719" t="str">
        <f>IF(ISBLANK('Data Input'!N719),"",'Data Input'!N719)</f>
        <v/>
      </c>
      <c r="P719" t="str">
        <f>IF(ISBLANK('Data Input'!O719),"",'Data Input'!O719)</f>
        <v/>
      </c>
      <c r="Q719" t="str">
        <f>IF(ISBLANK('Data Input'!P719),"",'Data Input'!P719)</f>
        <v/>
      </c>
      <c r="R719" t="b">
        <f>IF(ISBLANK('Data Input'!Q719),"",'Data Input'!Q719)</f>
        <v>1</v>
      </c>
      <c r="T719" s="2">
        <f t="shared" si="46"/>
        <v>43320</v>
      </c>
      <c r="U719" s="12">
        <f t="shared" si="47"/>
        <v>0.64583333333333337</v>
      </c>
      <c r="V719" s="2">
        <f t="shared" si="48"/>
        <v>43322</v>
      </c>
      <c r="W719" s="12">
        <f t="shared" si="49"/>
        <v>0.56111111111111112</v>
      </c>
    </row>
    <row r="720" spans="1:23">
      <c r="A720">
        <f>IF(ISBLANK('Data Input'!A720),"",'Data Input'!A720)</f>
        <v>167</v>
      </c>
      <c r="B720" t="str">
        <f>IF(ISBLANK('Data Input'!B720),"",'Data Input'!B720)</f>
        <v>KB007</v>
      </c>
      <c r="C720" t="str">
        <f>IF(ISBLANK('Data Input'!C720),"",'Data Input'!C720)</f>
        <v>8/08/18 1530</v>
      </c>
      <c r="E720" t="str">
        <f>IF(ISBLANK('Data Input'!D720),"",'Data Input'!D720)</f>
        <v>8/10/18 1328</v>
      </c>
      <c r="G720">
        <f>IF(ISBLANK('Data Input'!E720),"",'Data Input'!E720)</f>
        <v>42</v>
      </c>
      <c r="H720" t="str">
        <f>IF(ISBLANK('Data Input'!F720),"",'Data Input'!F720)</f>
        <v>White</v>
      </c>
      <c r="I720" t="str">
        <f>IF(ISBLANK('Data Input'!G720),"",'Data Input'!G720)</f>
        <v>Caesarean</v>
      </c>
      <c r="J720" t="str">
        <f>IF(ISBLANK('Data Input'!I720),"",'Data Input'!I720)</f>
        <v>8=09=18 0850</v>
      </c>
      <c r="K720" t="str">
        <f>IF(ISBLANK('Data Input'!J720),"",'Data Input'!J720)</f>
        <v>rr - Percocet</v>
      </c>
      <c r="L720">
        <f>IF(ISBLANK('Data Input'!K720),"",'Data Input'!K720)</f>
        <v>1</v>
      </c>
      <c r="M720">
        <f>IF(ISBLANK('Data Input'!L720),"",'Data Input'!L720)</f>
        <v>6</v>
      </c>
      <c r="N720">
        <f>IF(ISBLANK('Data Input'!M720),"",'Data Input'!M720)</f>
        <v>2</v>
      </c>
      <c r="O720" t="str">
        <f>IF(ISBLANK('Data Input'!N720),"",'Data Input'!N720)</f>
        <v/>
      </c>
      <c r="P720" t="str">
        <f>IF(ISBLANK('Data Input'!O720),"",'Data Input'!O720)</f>
        <v/>
      </c>
      <c r="Q720" t="str">
        <f>IF(ISBLANK('Data Input'!P720),"",'Data Input'!P720)</f>
        <v/>
      </c>
      <c r="R720" t="b">
        <f>IF(ISBLANK('Data Input'!Q720),"",'Data Input'!Q720)</f>
        <v>1</v>
      </c>
      <c r="T720" s="2">
        <f t="shared" si="46"/>
        <v>43320</v>
      </c>
      <c r="U720" s="12">
        <f t="shared" si="47"/>
        <v>0.64583333333333337</v>
      </c>
      <c r="V720" s="2">
        <f t="shared" si="48"/>
        <v>43322</v>
      </c>
      <c r="W720" s="12">
        <f t="shared" si="49"/>
        <v>0.56111111111111112</v>
      </c>
    </row>
    <row r="721" spans="1:23">
      <c r="A721">
        <f>IF(ISBLANK('Data Input'!A721),"",'Data Input'!A721)</f>
        <v>167</v>
      </c>
      <c r="B721" t="str">
        <f>IF(ISBLANK('Data Input'!B721),"",'Data Input'!B721)</f>
        <v>KB007</v>
      </c>
      <c r="C721" t="str">
        <f>IF(ISBLANK('Data Input'!C721),"",'Data Input'!C721)</f>
        <v>8/08/18 1530</v>
      </c>
      <c r="E721" t="str">
        <f>IF(ISBLANK('Data Input'!D721),"",'Data Input'!D721)</f>
        <v>8/10/18 1328</v>
      </c>
      <c r="G721">
        <f>IF(ISBLANK('Data Input'!E721),"",'Data Input'!E721)</f>
        <v>42</v>
      </c>
      <c r="H721" t="str">
        <f>IF(ISBLANK('Data Input'!F721),"",'Data Input'!F721)</f>
        <v>White</v>
      </c>
      <c r="I721" t="str">
        <f>IF(ISBLANK('Data Input'!G721),"",'Data Input'!G721)</f>
        <v>Caesarean</v>
      </c>
      <c r="J721" t="str">
        <f>IF(ISBLANK('Data Input'!I721),"",'Data Input'!I721)</f>
        <v>8=09=18 1153</v>
      </c>
      <c r="K721" t="str">
        <f>IF(ISBLANK('Data Input'!J721),"",'Data Input'!J721)</f>
        <v>tr - Toradol</v>
      </c>
      <c r="L721">
        <f>IF(ISBLANK('Data Input'!K721),"",'Data Input'!K721)</f>
        <v>30</v>
      </c>
      <c r="M721">
        <f>IF(ISBLANK('Data Input'!L721),"",'Data Input'!L721)</f>
        <v>4</v>
      </c>
      <c r="N721">
        <f>IF(ISBLANK('Data Input'!M721),"",'Data Input'!M721)</f>
        <v>2</v>
      </c>
      <c r="O721" t="str">
        <f>IF(ISBLANK('Data Input'!N721),"",'Data Input'!N721)</f>
        <v/>
      </c>
      <c r="P721" t="str">
        <f>IF(ISBLANK('Data Input'!O721),"",'Data Input'!O721)</f>
        <v/>
      </c>
      <c r="Q721" t="str">
        <f>IF(ISBLANK('Data Input'!P721),"",'Data Input'!P721)</f>
        <v/>
      </c>
      <c r="R721" t="b">
        <f>IF(ISBLANK('Data Input'!Q721),"",'Data Input'!Q721)</f>
        <v>1</v>
      </c>
      <c r="T721" s="2">
        <f t="shared" si="46"/>
        <v>43320</v>
      </c>
      <c r="U721" s="12">
        <f t="shared" si="47"/>
        <v>0.64583333333333337</v>
      </c>
      <c r="V721" s="2">
        <f t="shared" si="48"/>
        <v>43322</v>
      </c>
      <c r="W721" s="12">
        <f t="shared" si="49"/>
        <v>0.56111111111111112</v>
      </c>
    </row>
    <row r="722" spans="1:23">
      <c r="A722">
        <f>IF(ISBLANK('Data Input'!A722),"",'Data Input'!A722)</f>
        <v>167</v>
      </c>
      <c r="B722" t="str">
        <f>IF(ISBLANK('Data Input'!B722),"",'Data Input'!B722)</f>
        <v>KB007</v>
      </c>
      <c r="C722" t="str">
        <f>IF(ISBLANK('Data Input'!C722),"",'Data Input'!C722)</f>
        <v>8/08/18 1530</v>
      </c>
      <c r="E722" t="str">
        <f>IF(ISBLANK('Data Input'!D722),"",'Data Input'!D722)</f>
        <v>8/10/18 1328</v>
      </c>
      <c r="G722">
        <f>IF(ISBLANK('Data Input'!E722),"",'Data Input'!E722)</f>
        <v>42</v>
      </c>
      <c r="H722" t="str">
        <f>IF(ISBLANK('Data Input'!F722),"",'Data Input'!F722)</f>
        <v>White</v>
      </c>
      <c r="I722" t="str">
        <f>IF(ISBLANK('Data Input'!G722),"",'Data Input'!G722)</f>
        <v>Caesarean</v>
      </c>
      <c r="J722" t="str">
        <f>IF(ISBLANK('Data Input'!I722),"",'Data Input'!I722)</f>
        <v>8=09=18 1304</v>
      </c>
      <c r="K722" t="str">
        <f>IF(ISBLANK('Data Input'!J722),"",'Data Input'!J722)</f>
        <v>rr - Percocet</v>
      </c>
      <c r="L722">
        <f>IF(ISBLANK('Data Input'!K722),"",'Data Input'!K722)</f>
        <v>1</v>
      </c>
      <c r="M722">
        <f>IF(ISBLANK('Data Input'!L722),"",'Data Input'!L722)</f>
        <v>2</v>
      </c>
      <c r="N722">
        <f>IF(ISBLANK('Data Input'!M722),"",'Data Input'!M722)</f>
        <v>1</v>
      </c>
      <c r="O722" t="str">
        <f>IF(ISBLANK('Data Input'!N722),"",'Data Input'!N722)</f>
        <v/>
      </c>
      <c r="P722" t="str">
        <f>IF(ISBLANK('Data Input'!O722),"",'Data Input'!O722)</f>
        <v/>
      </c>
      <c r="Q722" t="str">
        <f>IF(ISBLANK('Data Input'!P722),"",'Data Input'!P722)</f>
        <v/>
      </c>
      <c r="R722" t="b">
        <f>IF(ISBLANK('Data Input'!Q722),"",'Data Input'!Q722)</f>
        <v>1</v>
      </c>
      <c r="T722" s="2">
        <f t="shared" si="46"/>
        <v>43320</v>
      </c>
      <c r="U722" s="12">
        <f t="shared" si="47"/>
        <v>0.64583333333333337</v>
      </c>
      <c r="V722" s="2">
        <f t="shared" si="48"/>
        <v>43322</v>
      </c>
      <c r="W722" s="12">
        <f t="shared" si="49"/>
        <v>0.56111111111111112</v>
      </c>
    </row>
    <row r="723" spans="1:23">
      <c r="A723">
        <f>IF(ISBLANK('Data Input'!A723),"",'Data Input'!A723)</f>
        <v>167</v>
      </c>
      <c r="B723" t="str">
        <f>IF(ISBLANK('Data Input'!B723),"",'Data Input'!B723)</f>
        <v>KB007</v>
      </c>
      <c r="C723" t="str">
        <f>IF(ISBLANK('Data Input'!C723),"",'Data Input'!C723)</f>
        <v>8/08/18 1530</v>
      </c>
      <c r="E723" t="str">
        <f>IF(ISBLANK('Data Input'!D723),"",'Data Input'!D723)</f>
        <v>8/10/18 1328</v>
      </c>
      <c r="G723">
        <f>IF(ISBLANK('Data Input'!E723),"",'Data Input'!E723)</f>
        <v>42</v>
      </c>
      <c r="H723" t="str">
        <f>IF(ISBLANK('Data Input'!F723),"",'Data Input'!F723)</f>
        <v>White</v>
      </c>
      <c r="I723" t="str">
        <f>IF(ISBLANK('Data Input'!G723),"",'Data Input'!G723)</f>
        <v>Caesarean</v>
      </c>
      <c r="J723" t="str">
        <f>IF(ISBLANK('Data Input'!I723),"",'Data Input'!I723)</f>
        <v>8=09=18 1713</v>
      </c>
      <c r="K723" t="str">
        <f>IF(ISBLANK('Data Input'!J723),"",'Data Input'!J723)</f>
        <v>rr - Percocet</v>
      </c>
      <c r="L723">
        <f>IF(ISBLANK('Data Input'!K723),"",'Data Input'!K723)</f>
        <v>1</v>
      </c>
      <c r="M723">
        <f>IF(ISBLANK('Data Input'!L723),"",'Data Input'!L723)</f>
        <v>5</v>
      </c>
      <c r="N723">
        <f>IF(ISBLANK('Data Input'!M723),"",'Data Input'!M723)</f>
        <v>0</v>
      </c>
      <c r="O723" t="str">
        <f>IF(ISBLANK('Data Input'!N723),"",'Data Input'!N723)</f>
        <v/>
      </c>
      <c r="P723" t="str">
        <f>IF(ISBLANK('Data Input'!O723),"",'Data Input'!O723)</f>
        <v/>
      </c>
      <c r="Q723" t="str">
        <f>IF(ISBLANK('Data Input'!P723),"",'Data Input'!P723)</f>
        <v/>
      </c>
      <c r="R723" t="b">
        <f>IF(ISBLANK('Data Input'!Q723),"",'Data Input'!Q723)</f>
        <v>1</v>
      </c>
      <c r="T723" s="2">
        <f t="shared" si="46"/>
        <v>43320</v>
      </c>
      <c r="U723" s="12">
        <f t="shared" si="47"/>
        <v>0.64583333333333337</v>
      </c>
      <c r="V723" s="2">
        <f t="shared" si="48"/>
        <v>43322</v>
      </c>
      <c r="W723" s="12">
        <f t="shared" si="49"/>
        <v>0.56111111111111112</v>
      </c>
    </row>
    <row r="724" spans="1:23">
      <c r="A724">
        <f>IF(ISBLANK('Data Input'!A724),"",'Data Input'!A724)</f>
        <v>167</v>
      </c>
      <c r="B724" t="str">
        <f>IF(ISBLANK('Data Input'!B724),"",'Data Input'!B724)</f>
        <v>KB007</v>
      </c>
      <c r="C724" t="str">
        <f>IF(ISBLANK('Data Input'!C724),"",'Data Input'!C724)</f>
        <v>8/08/18 1530</v>
      </c>
      <c r="E724" t="str">
        <f>IF(ISBLANK('Data Input'!D724),"",'Data Input'!D724)</f>
        <v>8/10/18 1328</v>
      </c>
      <c r="G724">
        <f>IF(ISBLANK('Data Input'!E724),"",'Data Input'!E724)</f>
        <v>42</v>
      </c>
      <c r="H724" t="str">
        <f>IF(ISBLANK('Data Input'!F724),"",'Data Input'!F724)</f>
        <v>White</v>
      </c>
      <c r="I724" t="str">
        <f>IF(ISBLANK('Data Input'!G724),"",'Data Input'!G724)</f>
        <v>Caesarean</v>
      </c>
      <c r="J724" t="str">
        <f>IF(ISBLANK('Data Input'!I724),"",'Data Input'!I724)</f>
        <v>8=09=18 2130</v>
      </c>
      <c r="K724" t="str">
        <f>IF(ISBLANK('Data Input'!J724),"",'Data Input'!J724)</f>
        <v>bb - Ibuprofen</v>
      </c>
      <c r="L724">
        <f>IF(ISBLANK('Data Input'!K724),"",'Data Input'!K724)</f>
        <v>800</v>
      </c>
      <c r="M724">
        <f>IF(ISBLANK('Data Input'!L724),"",'Data Input'!L724)</f>
        <v>8</v>
      </c>
      <c r="N724">
        <f>IF(ISBLANK('Data Input'!M724),"",'Data Input'!M724)</f>
        <v>3</v>
      </c>
      <c r="O724" t="str">
        <f>IF(ISBLANK('Data Input'!N724),"",'Data Input'!N724)</f>
        <v/>
      </c>
      <c r="P724" t="str">
        <f>IF(ISBLANK('Data Input'!O724),"",'Data Input'!O724)</f>
        <v/>
      </c>
      <c r="Q724" t="str">
        <f>IF(ISBLANK('Data Input'!P724),"",'Data Input'!P724)</f>
        <v/>
      </c>
      <c r="R724" t="b">
        <f>IF(ISBLANK('Data Input'!Q724),"",'Data Input'!Q724)</f>
        <v>1</v>
      </c>
      <c r="T724" s="2">
        <f t="shared" si="46"/>
        <v>43320</v>
      </c>
      <c r="U724" s="12">
        <f t="shared" si="47"/>
        <v>0.64583333333333337</v>
      </c>
      <c r="V724" s="2">
        <f t="shared" si="48"/>
        <v>43322</v>
      </c>
      <c r="W724" s="12">
        <f t="shared" si="49"/>
        <v>0.56111111111111112</v>
      </c>
    </row>
    <row r="725" spans="1:23">
      <c r="A725">
        <f>IF(ISBLANK('Data Input'!A725),"",'Data Input'!A725)</f>
        <v>167</v>
      </c>
      <c r="B725" t="str">
        <f>IF(ISBLANK('Data Input'!B725),"",'Data Input'!B725)</f>
        <v>KB007</v>
      </c>
      <c r="C725" t="str">
        <f>IF(ISBLANK('Data Input'!C725),"",'Data Input'!C725)</f>
        <v>8/08/18 1530</v>
      </c>
      <c r="E725" t="str">
        <f>IF(ISBLANK('Data Input'!D725),"",'Data Input'!D725)</f>
        <v>8/10/18 1328</v>
      </c>
      <c r="G725">
        <f>IF(ISBLANK('Data Input'!E725),"",'Data Input'!E725)</f>
        <v>42</v>
      </c>
      <c r="H725" t="str">
        <f>IF(ISBLANK('Data Input'!F725),"",'Data Input'!F725)</f>
        <v>White</v>
      </c>
      <c r="I725" t="str">
        <f>IF(ISBLANK('Data Input'!G725),"",'Data Input'!G725)</f>
        <v>Caesarean</v>
      </c>
      <c r="J725" t="str">
        <f>IF(ISBLANK('Data Input'!I725),"",'Data Input'!I725)</f>
        <v>8=09=18 2130</v>
      </c>
      <c r="K725" t="str">
        <f>IF(ISBLANK('Data Input'!J725),"",'Data Input'!J725)</f>
        <v>rr - Percocet</v>
      </c>
      <c r="L725">
        <f>IF(ISBLANK('Data Input'!K725),"",'Data Input'!K725)</f>
        <v>1</v>
      </c>
      <c r="M725">
        <f>IF(ISBLANK('Data Input'!L725),"",'Data Input'!L725)</f>
        <v>8</v>
      </c>
      <c r="N725">
        <f>IF(ISBLANK('Data Input'!M725),"",'Data Input'!M725)</f>
        <v>3</v>
      </c>
      <c r="O725" t="str">
        <f>IF(ISBLANK('Data Input'!N725),"",'Data Input'!N725)</f>
        <v/>
      </c>
      <c r="P725" t="str">
        <f>IF(ISBLANK('Data Input'!O725),"",'Data Input'!O725)</f>
        <v/>
      </c>
      <c r="Q725" t="str">
        <f>IF(ISBLANK('Data Input'!P725),"",'Data Input'!P725)</f>
        <v/>
      </c>
      <c r="R725" t="b">
        <f>IF(ISBLANK('Data Input'!Q725),"",'Data Input'!Q725)</f>
        <v>1</v>
      </c>
      <c r="T725" s="2">
        <f t="shared" si="46"/>
        <v>43320</v>
      </c>
      <c r="U725" s="12">
        <f t="shared" si="47"/>
        <v>0.64583333333333337</v>
      </c>
      <c r="V725" s="2">
        <f t="shared" si="48"/>
        <v>43322</v>
      </c>
      <c r="W725" s="12">
        <f t="shared" si="49"/>
        <v>0.56111111111111112</v>
      </c>
    </row>
    <row r="726" spans="1:23">
      <c r="A726">
        <f>IF(ISBLANK('Data Input'!A726),"",'Data Input'!A726)</f>
        <v>167</v>
      </c>
      <c r="B726" t="str">
        <f>IF(ISBLANK('Data Input'!B726),"",'Data Input'!B726)</f>
        <v>KB007</v>
      </c>
      <c r="C726" t="str">
        <f>IF(ISBLANK('Data Input'!C726),"",'Data Input'!C726)</f>
        <v>8/08/18 1530</v>
      </c>
      <c r="E726" t="str">
        <f>IF(ISBLANK('Data Input'!D726),"",'Data Input'!D726)</f>
        <v>8/10/18 1328</v>
      </c>
      <c r="G726">
        <f>IF(ISBLANK('Data Input'!E726),"",'Data Input'!E726)</f>
        <v>42</v>
      </c>
      <c r="H726" t="str">
        <f>IF(ISBLANK('Data Input'!F726),"",'Data Input'!F726)</f>
        <v>White</v>
      </c>
      <c r="I726" t="str">
        <f>IF(ISBLANK('Data Input'!G726),"",'Data Input'!G726)</f>
        <v>Caesarean</v>
      </c>
      <c r="J726" t="str">
        <f>IF(ISBLANK('Data Input'!I726),"",'Data Input'!I726)</f>
        <v>8=10=18 0656</v>
      </c>
      <c r="K726" t="str">
        <f>IF(ISBLANK('Data Input'!J726),"",'Data Input'!J726)</f>
        <v>bb - Ibuprofen</v>
      </c>
      <c r="L726">
        <f>IF(ISBLANK('Data Input'!K726),"",'Data Input'!K726)</f>
        <v>800</v>
      </c>
      <c r="M726">
        <f>IF(ISBLANK('Data Input'!L726),"",'Data Input'!L726)</f>
        <v>6</v>
      </c>
      <c r="N726">
        <f>IF(ISBLANK('Data Input'!M726),"",'Data Input'!M726)</f>
        <v>3</v>
      </c>
      <c r="O726" t="str">
        <f>IF(ISBLANK('Data Input'!N726),"",'Data Input'!N726)</f>
        <v/>
      </c>
      <c r="P726" t="str">
        <f>IF(ISBLANK('Data Input'!O726),"",'Data Input'!O726)</f>
        <v/>
      </c>
      <c r="Q726" t="str">
        <f>IF(ISBLANK('Data Input'!P726),"",'Data Input'!P726)</f>
        <v/>
      </c>
      <c r="R726" t="b">
        <f>IF(ISBLANK('Data Input'!Q726),"",'Data Input'!Q726)</f>
        <v>1</v>
      </c>
      <c r="T726" s="2">
        <f t="shared" si="46"/>
        <v>43320</v>
      </c>
      <c r="U726" s="12">
        <f t="shared" si="47"/>
        <v>0.64583333333333337</v>
      </c>
      <c r="V726" s="2">
        <f t="shared" si="48"/>
        <v>43322</v>
      </c>
      <c r="W726" s="12">
        <f t="shared" si="49"/>
        <v>0.56111111111111112</v>
      </c>
    </row>
    <row r="727" spans="1:23">
      <c r="A727">
        <f>IF(ISBLANK('Data Input'!A727),"",'Data Input'!A727)</f>
        <v>167</v>
      </c>
      <c r="B727" t="str">
        <f>IF(ISBLANK('Data Input'!B727),"",'Data Input'!B727)</f>
        <v>KB007</v>
      </c>
      <c r="C727" t="str">
        <f>IF(ISBLANK('Data Input'!C727),"",'Data Input'!C727)</f>
        <v>8/08/18 1530</v>
      </c>
      <c r="E727" t="str">
        <f>IF(ISBLANK('Data Input'!D727),"",'Data Input'!D727)</f>
        <v>8/10/18 1328</v>
      </c>
      <c r="G727">
        <f>IF(ISBLANK('Data Input'!E727),"",'Data Input'!E727)</f>
        <v>42</v>
      </c>
      <c r="H727" t="str">
        <f>IF(ISBLANK('Data Input'!F727),"",'Data Input'!F727)</f>
        <v>White</v>
      </c>
      <c r="I727" t="str">
        <f>IF(ISBLANK('Data Input'!G727),"",'Data Input'!G727)</f>
        <v>Caesarean</v>
      </c>
      <c r="J727" t="str">
        <f>IF(ISBLANK('Data Input'!I727),"",'Data Input'!I727)</f>
        <v>8=10=18 0656</v>
      </c>
      <c r="K727" t="str">
        <f>IF(ISBLANK('Data Input'!J727),"",'Data Input'!J727)</f>
        <v>rr - Percocet</v>
      </c>
      <c r="L727">
        <f>IF(ISBLANK('Data Input'!K727),"",'Data Input'!K727)</f>
        <v>1</v>
      </c>
      <c r="M727">
        <f>IF(ISBLANK('Data Input'!L727),"",'Data Input'!L727)</f>
        <v>6</v>
      </c>
      <c r="N727">
        <f>IF(ISBLANK('Data Input'!M727),"",'Data Input'!M727)</f>
        <v>3</v>
      </c>
      <c r="O727" t="str">
        <f>IF(ISBLANK('Data Input'!N727),"",'Data Input'!N727)</f>
        <v/>
      </c>
      <c r="P727" t="str">
        <f>IF(ISBLANK('Data Input'!O727),"",'Data Input'!O727)</f>
        <v/>
      </c>
      <c r="Q727" t="str">
        <f>IF(ISBLANK('Data Input'!P727),"",'Data Input'!P727)</f>
        <v/>
      </c>
      <c r="R727" t="b">
        <f>IF(ISBLANK('Data Input'!Q727),"",'Data Input'!Q727)</f>
        <v>1</v>
      </c>
      <c r="T727" s="2">
        <f t="shared" si="46"/>
        <v>43320</v>
      </c>
      <c r="U727" s="12">
        <f t="shared" si="47"/>
        <v>0.64583333333333337</v>
      </c>
      <c r="V727" s="2">
        <f t="shared" si="48"/>
        <v>43322</v>
      </c>
      <c r="W727" s="12">
        <f t="shared" si="49"/>
        <v>0.56111111111111112</v>
      </c>
    </row>
    <row r="728" spans="1:23">
      <c r="A728">
        <f>IF(ISBLANK('Data Input'!A728),"",'Data Input'!A728)</f>
        <v>167</v>
      </c>
      <c r="B728" t="str">
        <f>IF(ISBLANK('Data Input'!B728),"",'Data Input'!B728)</f>
        <v>KB007</v>
      </c>
      <c r="C728" t="str">
        <f>IF(ISBLANK('Data Input'!C728),"",'Data Input'!C728)</f>
        <v>8/08/18 1530</v>
      </c>
      <c r="E728" t="str">
        <f>IF(ISBLANK('Data Input'!D728),"",'Data Input'!D728)</f>
        <v>8/10/18 1328</v>
      </c>
      <c r="G728">
        <f>IF(ISBLANK('Data Input'!E728),"",'Data Input'!E728)</f>
        <v>42</v>
      </c>
      <c r="H728" t="str">
        <f>IF(ISBLANK('Data Input'!F728),"",'Data Input'!F728)</f>
        <v>White</v>
      </c>
      <c r="I728" t="str">
        <f>IF(ISBLANK('Data Input'!G728),"",'Data Input'!G728)</f>
        <v>Caesarean</v>
      </c>
      <c r="J728" t="str">
        <f>IF(ISBLANK('Data Input'!I728),"",'Data Input'!I728)</f>
        <v>8=10=18 1123</v>
      </c>
      <c r="K728" t="str">
        <f>IF(ISBLANK('Data Input'!J728),"",'Data Input'!J728)</f>
        <v>rr - Percocet</v>
      </c>
      <c r="L728">
        <f>IF(ISBLANK('Data Input'!K728),"",'Data Input'!K728)</f>
        <v>1</v>
      </c>
      <c r="M728">
        <f>IF(ISBLANK('Data Input'!L728),"",'Data Input'!L728)</f>
        <v>2</v>
      </c>
      <c r="N728">
        <f>IF(ISBLANK('Data Input'!M728),"",'Data Input'!M728)</f>
        <v>3</v>
      </c>
      <c r="O728" t="str">
        <f>IF(ISBLANK('Data Input'!N728),"",'Data Input'!N728)</f>
        <v/>
      </c>
      <c r="P728" t="str">
        <f>IF(ISBLANK('Data Input'!O728),"",'Data Input'!O728)</f>
        <v/>
      </c>
      <c r="Q728" t="str">
        <f>IF(ISBLANK('Data Input'!P728),"",'Data Input'!P728)</f>
        <v/>
      </c>
      <c r="R728" t="b">
        <f>IF(ISBLANK('Data Input'!Q728),"",'Data Input'!Q728)</f>
        <v>1</v>
      </c>
      <c r="T728" s="2">
        <f t="shared" si="46"/>
        <v>43320</v>
      </c>
      <c r="U728" s="12">
        <f t="shared" si="47"/>
        <v>0.64583333333333337</v>
      </c>
      <c r="V728" s="2">
        <f t="shared" si="48"/>
        <v>43322</v>
      </c>
      <c r="W728" s="12">
        <f t="shared" si="49"/>
        <v>0.56111111111111112</v>
      </c>
    </row>
    <row r="729" spans="1:23">
      <c r="A729">
        <f>IF(ISBLANK('Data Input'!A729),"",'Data Input'!A729)</f>
        <v>167</v>
      </c>
      <c r="B729" t="str">
        <f>IF(ISBLANK('Data Input'!B729),"",'Data Input'!B729)</f>
        <v>KB007</v>
      </c>
      <c r="C729" t="str">
        <f>IF(ISBLANK('Data Input'!C729),"",'Data Input'!C729)</f>
        <v>8/08/18 1530</v>
      </c>
      <c r="E729" t="str">
        <f>IF(ISBLANK('Data Input'!D729),"",'Data Input'!D729)</f>
        <v>8/10/18 1328</v>
      </c>
      <c r="G729">
        <f>IF(ISBLANK('Data Input'!E729),"",'Data Input'!E729)</f>
        <v>42</v>
      </c>
      <c r="H729" t="str">
        <f>IF(ISBLANK('Data Input'!F729),"",'Data Input'!F729)</f>
        <v>White</v>
      </c>
      <c r="I729" t="str">
        <f>IF(ISBLANK('Data Input'!G729),"",'Data Input'!G729)</f>
        <v>Caesarean</v>
      </c>
      <c r="J729" t="str">
        <f>IF(ISBLANK('Data Input'!I729),"",'Data Input'!I729)</f>
        <v>8=10=18 1328</v>
      </c>
      <c r="K729" t="str">
        <f>IF(ISBLANK('Data Input'!J729),"",'Data Input'!J729)</f>
        <v>bb - Ibuprofen</v>
      </c>
      <c r="L729">
        <f>IF(ISBLANK('Data Input'!K729),"",'Data Input'!K729)</f>
        <v>800</v>
      </c>
      <c r="M729">
        <f>IF(ISBLANK('Data Input'!L729),"",'Data Input'!L729)</f>
        <v>3</v>
      </c>
      <c r="N729">
        <f>IF(ISBLANK('Data Input'!M729),"",'Data Input'!M729)</f>
        <v>0</v>
      </c>
      <c r="O729" t="str">
        <f>IF(ISBLANK('Data Input'!N729),"",'Data Input'!N729)</f>
        <v/>
      </c>
      <c r="P729" t="str">
        <f>IF(ISBLANK('Data Input'!O729),"",'Data Input'!O729)</f>
        <v/>
      </c>
      <c r="Q729" t="str">
        <f>IF(ISBLANK('Data Input'!P729),"",'Data Input'!P729)</f>
        <v/>
      </c>
      <c r="R729" t="b">
        <f>IF(ISBLANK('Data Input'!Q729),"",'Data Input'!Q729)</f>
        <v>1</v>
      </c>
      <c r="T729" s="2">
        <f t="shared" si="46"/>
        <v>43320</v>
      </c>
      <c r="U729" s="12">
        <f t="shared" si="47"/>
        <v>0.64583333333333337</v>
      </c>
      <c r="V729" s="2">
        <f t="shared" si="48"/>
        <v>43322</v>
      </c>
      <c r="W729" s="12">
        <f t="shared" si="49"/>
        <v>0.56111111111111112</v>
      </c>
    </row>
    <row r="730" spans="1:23">
      <c r="A730">
        <f>IF(ISBLANK('Data Input'!A730),"",'Data Input'!A730)</f>
        <v>168</v>
      </c>
      <c r="B730" t="str">
        <f>IF(ISBLANK('Data Input'!B730),"",'Data Input'!B730)</f>
        <v>JB008</v>
      </c>
      <c r="C730" t="str">
        <f>IF(ISBLANK('Data Input'!C730),"",'Data Input'!C730)</f>
        <v>8/15/18 0700</v>
      </c>
      <c r="E730" t="str">
        <f>IF(ISBLANK('Data Input'!D730),"",'Data Input'!D730)</f>
        <v>dd - Missing Data</v>
      </c>
      <c r="G730">
        <f>IF(ISBLANK('Data Input'!E730),"",'Data Input'!E730)</f>
        <v>36</v>
      </c>
      <c r="H730" t="str">
        <f>IF(ISBLANK('Data Input'!F730),"",'Data Input'!F730)</f>
        <v>bb - Black</v>
      </c>
      <c r="I730" t="str">
        <f>IF(ISBLANK('Data Input'!G730),"",'Data Input'!G730)</f>
        <v>Caesarean</v>
      </c>
      <c r="J730" t="str">
        <f>IF(ISBLANK('Data Input'!I730),"",'Data Input'!I730)</f>
        <v>8=15=18 0724</v>
      </c>
      <c r="K730" t="str">
        <f>IF(ISBLANK('Data Input'!J730),"",'Data Input'!J730)</f>
        <v>tr - Toradol</v>
      </c>
      <c r="L730">
        <f>IF(ISBLANK('Data Input'!K730),"",'Data Input'!K730)</f>
        <v>30</v>
      </c>
      <c r="M730">
        <f>IF(ISBLANK('Data Input'!L730),"",'Data Input'!L730)</f>
        <v>3</v>
      </c>
      <c r="N730">
        <f>IF(ISBLANK('Data Input'!M730),"",'Data Input'!M730)</f>
        <v>5</v>
      </c>
      <c r="O730" t="str">
        <f>IF(ISBLANK('Data Input'!N730),"",'Data Input'!N730)</f>
        <v/>
      </c>
      <c r="P730" t="str">
        <f>IF(ISBLANK('Data Input'!O730),"",'Data Input'!O730)</f>
        <v/>
      </c>
      <c r="Q730" t="str">
        <f>IF(ISBLANK('Data Input'!P730),"",'Data Input'!P730)</f>
        <v/>
      </c>
      <c r="R730" t="b">
        <f>IF(ISBLANK('Data Input'!Q730),"",'Data Input'!Q730)</f>
        <v>0</v>
      </c>
      <c r="T730" s="2">
        <f t="shared" si="46"/>
        <v>43327</v>
      </c>
      <c r="U730" s="12">
        <f t="shared" si="47"/>
        <v>0.29166666666666669</v>
      </c>
      <c r="V730" s="2" t="str">
        <f t="shared" si="48"/>
        <v>dd - Missing Data</v>
      </c>
      <c r="W730" s="12" t="str">
        <f t="shared" si="49"/>
        <v>dd - Missing Data</v>
      </c>
    </row>
    <row r="731" spans="1:23">
      <c r="A731">
        <f>IF(ISBLANK('Data Input'!A731),"",'Data Input'!A731)</f>
        <v>168</v>
      </c>
      <c r="B731" t="str">
        <f>IF(ISBLANK('Data Input'!B731),"",'Data Input'!B731)</f>
        <v>JB008</v>
      </c>
      <c r="C731" t="str">
        <f>IF(ISBLANK('Data Input'!C731),"",'Data Input'!C731)</f>
        <v>8/15/18 0700</v>
      </c>
      <c r="E731" t="str">
        <f>IF(ISBLANK('Data Input'!D731),"",'Data Input'!D731)</f>
        <v>dd - Missing Data</v>
      </c>
      <c r="G731">
        <f>IF(ISBLANK('Data Input'!E731),"",'Data Input'!E731)</f>
        <v>36</v>
      </c>
      <c r="H731" t="str">
        <f>IF(ISBLANK('Data Input'!F731),"",'Data Input'!F731)</f>
        <v>bb - Black</v>
      </c>
      <c r="I731" t="str">
        <f>IF(ISBLANK('Data Input'!G731),"",'Data Input'!G731)</f>
        <v>Caesarean</v>
      </c>
      <c r="J731" t="str">
        <f>IF(ISBLANK('Data Input'!I731),"",'Data Input'!I731)</f>
        <v>8=15=18 1031</v>
      </c>
      <c r="K731" t="str">
        <f>IF(ISBLANK('Data Input'!J731),"",'Data Input'!J731)</f>
        <v>rr - Percocet</v>
      </c>
      <c r="L731">
        <f>IF(ISBLANK('Data Input'!K731),"",'Data Input'!K731)</f>
        <v>1</v>
      </c>
      <c r="M731">
        <f>IF(ISBLANK('Data Input'!L731),"",'Data Input'!L731)</f>
        <v>5</v>
      </c>
      <c r="N731">
        <f>IF(ISBLANK('Data Input'!M731),"",'Data Input'!M731)</f>
        <v>3</v>
      </c>
      <c r="O731" t="str">
        <f>IF(ISBLANK('Data Input'!N731),"",'Data Input'!N731)</f>
        <v/>
      </c>
      <c r="P731" t="str">
        <f>IF(ISBLANK('Data Input'!O731),"",'Data Input'!O731)</f>
        <v/>
      </c>
      <c r="Q731" t="str">
        <f>IF(ISBLANK('Data Input'!P731),"",'Data Input'!P731)</f>
        <v/>
      </c>
      <c r="R731" t="b">
        <f>IF(ISBLANK('Data Input'!Q731),"",'Data Input'!Q731)</f>
        <v>0</v>
      </c>
      <c r="T731" s="2">
        <f t="shared" si="46"/>
        <v>43327</v>
      </c>
      <c r="U731" s="12">
        <f t="shared" si="47"/>
        <v>0.29166666666666669</v>
      </c>
      <c r="V731" s="2" t="str">
        <f t="shared" si="48"/>
        <v>dd - Missing Data</v>
      </c>
      <c r="W731" s="12" t="str">
        <f t="shared" si="49"/>
        <v>dd - Missing Data</v>
      </c>
    </row>
    <row r="732" spans="1:23">
      <c r="A732">
        <f>IF(ISBLANK('Data Input'!A732),"",'Data Input'!A732)</f>
        <v>168</v>
      </c>
      <c r="B732" t="str">
        <f>IF(ISBLANK('Data Input'!B732),"",'Data Input'!B732)</f>
        <v>JB008</v>
      </c>
      <c r="C732" t="str">
        <f>IF(ISBLANK('Data Input'!C732),"",'Data Input'!C732)</f>
        <v>8/15/18 0700</v>
      </c>
      <c r="E732" t="str">
        <f>IF(ISBLANK('Data Input'!D732),"",'Data Input'!D732)</f>
        <v>dd - Missing Data</v>
      </c>
      <c r="G732">
        <f>IF(ISBLANK('Data Input'!E732),"",'Data Input'!E732)</f>
        <v>36</v>
      </c>
      <c r="H732" t="str">
        <f>IF(ISBLANK('Data Input'!F732),"",'Data Input'!F732)</f>
        <v>bb - Black</v>
      </c>
      <c r="I732" t="str">
        <f>IF(ISBLANK('Data Input'!G732),"",'Data Input'!G732)</f>
        <v>Caesarean</v>
      </c>
      <c r="J732" t="str">
        <f>IF(ISBLANK('Data Input'!I732),"",'Data Input'!I732)</f>
        <v>8=15=18 1601</v>
      </c>
      <c r="K732" t="str">
        <f>IF(ISBLANK('Data Input'!J732),"",'Data Input'!J732)</f>
        <v>rr - Percocet</v>
      </c>
      <c r="L732">
        <f>IF(ISBLANK('Data Input'!K732),"",'Data Input'!K732)</f>
        <v>1</v>
      </c>
      <c r="M732">
        <f>IF(ISBLANK('Data Input'!L732),"",'Data Input'!L732)</f>
        <v>6</v>
      </c>
      <c r="N732">
        <f>IF(ISBLANK('Data Input'!M732),"",'Data Input'!M732)</f>
        <v>4</v>
      </c>
      <c r="O732" t="str">
        <f>IF(ISBLANK('Data Input'!N732),"",'Data Input'!N732)</f>
        <v/>
      </c>
      <c r="P732" t="str">
        <f>IF(ISBLANK('Data Input'!O732),"",'Data Input'!O732)</f>
        <v/>
      </c>
      <c r="Q732" t="str">
        <f>IF(ISBLANK('Data Input'!P732),"",'Data Input'!P732)</f>
        <v/>
      </c>
      <c r="R732" t="b">
        <f>IF(ISBLANK('Data Input'!Q732),"",'Data Input'!Q732)</f>
        <v>0</v>
      </c>
      <c r="T732" s="2">
        <f t="shared" si="46"/>
        <v>43327</v>
      </c>
      <c r="U732" s="12">
        <f t="shared" si="47"/>
        <v>0.29166666666666669</v>
      </c>
      <c r="V732" s="2" t="str">
        <f t="shared" si="48"/>
        <v>dd - Missing Data</v>
      </c>
      <c r="W732" s="12" t="str">
        <f t="shared" si="49"/>
        <v>dd - Missing Data</v>
      </c>
    </row>
    <row r="733" spans="1:23">
      <c r="A733">
        <f>IF(ISBLANK('Data Input'!A733),"",'Data Input'!A733)</f>
        <v>168</v>
      </c>
      <c r="B733" t="str">
        <f>IF(ISBLANK('Data Input'!B733),"",'Data Input'!B733)</f>
        <v>JB008</v>
      </c>
      <c r="C733" t="str">
        <f>IF(ISBLANK('Data Input'!C733),"",'Data Input'!C733)</f>
        <v>8/15/18 0700</v>
      </c>
      <c r="E733" t="str">
        <f>IF(ISBLANK('Data Input'!D733),"",'Data Input'!D733)</f>
        <v>dd - Missing Data</v>
      </c>
      <c r="G733">
        <f>IF(ISBLANK('Data Input'!E733),"",'Data Input'!E733)</f>
        <v>36</v>
      </c>
      <c r="H733" t="str">
        <f>IF(ISBLANK('Data Input'!F733),"",'Data Input'!F733)</f>
        <v>bb - Black</v>
      </c>
      <c r="I733" t="str">
        <f>IF(ISBLANK('Data Input'!G733),"",'Data Input'!G733)</f>
        <v>Caesarean</v>
      </c>
      <c r="J733" t="str">
        <f>IF(ISBLANK('Data Input'!I733),"",'Data Input'!I733)</f>
        <v>8=15=18 1959</v>
      </c>
      <c r="K733" t="str">
        <f>IF(ISBLANK('Data Input'!J733),"",'Data Input'!J733)</f>
        <v>tr - Toradol</v>
      </c>
      <c r="L733">
        <f>IF(ISBLANK('Data Input'!K733),"",'Data Input'!K733)</f>
        <v>30</v>
      </c>
      <c r="M733">
        <f>IF(ISBLANK('Data Input'!L733),"",'Data Input'!L733)</f>
        <v>7</v>
      </c>
      <c r="N733">
        <f>IF(ISBLANK('Data Input'!M733),"",'Data Input'!M733)</f>
        <v>7</v>
      </c>
      <c r="O733" t="str">
        <f>IF(ISBLANK('Data Input'!N733),"",'Data Input'!N733)</f>
        <v/>
      </c>
      <c r="P733" t="str">
        <f>IF(ISBLANK('Data Input'!O733),"",'Data Input'!O733)</f>
        <v/>
      </c>
      <c r="Q733" t="str">
        <f>IF(ISBLANK('Data Input'!P733),"",'Data Input'!P733)</f>
        <v/>
      </c>
      <c r="R733" t="b">
        <f>IF(ISBLANK('Data Input'!Q733),"",'Data Input'!Q733)</f>
        <v>0</v>
      </c>
      <c r="T733" s="2">
        <f t="shared" si="46"/>
        <v>43327</v>
      </c>
      <c r="U733" s="12">
        <f t="shared" si="47"/>
        <v>0.29166666666666669</v>
      </c>
      <c r="V733" s="2" t="str">
        <f t="shared" si="48"/>
        <v>dd - Missing Data</v>
      </c>
      <c r="W733" s="12" t="str">
        <f t="shared" si="49"/>
        <v>dd - Missing Data</v>
      </c>
    </row>
    <row r="734" spans="1:23">
      <c r="A734">
        <f>IF(ISBLANK('Data Input'!A734),"",'Data Input'!A734)</f>
        <v>168</v>
      </c>
      <c r="B734" t="str">
        <f>IF(ISBLANK('Data Input'!B734),"",'Data Input'!B734)</f>
        <v>JB008</v>
      </c>
      <c r="C734" t="str">
        <f>IF(ISBLANK('Data Input'!C734),"",'Data Input'!C734)</f>
        <v>8/15/18 0700</v>
      </c>
      <c r="E734" t="str">
        <f>IF(ISBLANK('Data Input'!D734),"",'Data Input'!D734)</f>
        <v>dd - Missing Data</v>
      </c>
      <c r="G734">
        <f>IF(ISBLANK('Data Input'!E734),"",'Data Input'!E734)</f>
        <v>36</v>
      </c>
      <c r="H734" t="str">
        <f>IF(ISBLANK('Data Input'!F734),"",'Data Input'!F734)</f>
        <v>bb - Black</v>
      </c>
      <c r="I734" t="str">
        <f>IF(ISBLANK('Data Input'!G734),"",'Data Input'!G734)</f>
        <v>Caesarean</v>
      </c>
      <c r="J734" t="str">
        <f>IF(ISBLANK('Data Input'!I734),"",'Data Input'!I734)</f>
        <v>8=15=18 1959</v>
      </c>
      <c r="K734" t="str">
        <f>IF(ISBLANK('Data Input'!J734),"",'Data Input'!J734)</f>
        <v>rr - Percocet</v>
      </c>
      <c r="L734">
        <f>IF(ISBLANK('Data Input'!K734),"",'Data Input'!K734)</f>
        <v>1</v>
      </c>
      <c r="M734">
        <f>IF(ISBLANK('Data Input'!L734),"",'Data Input'!L734)</f>
        <v>7</v>
      </c>
      <c r="N734">
        <f>IF(ISBLANK('Data Input'!M734),"",'Data Input'!M734)</f>
        <v>7</v>
      </c>
      <c r="O734" t="str">
        <f>IF(ISBLANK('Data Input'!N734),"",'Data Input'!N734)</f>
        <v/>
      </c>
      <c r="P734" t="str">
        <f>IF(ISBLANK('Data Input'!O734),"",'Data Input'!O734)</f>
        <v/>
      </c>
      <c r="Q734" t="str">
        <f>IF(ISBLANK('Data Input'!P734),"",'Data Input'!P734)</f>
        <v/>
      </c>
      <c r="R734" t="b">
        <f>IF(ISBLANK('Data Input'!Q734),"",'Data Input'!Q734)</f>
        <v>0</v>
      </c>
      <c r="T734" s="2">
        <f t="shared" si="46"/>
        <v>43327</v>
      </c>
      <c r="U734" s="12">
        <f t="shared" si="47"/>
        <v>0.29166666666666669</v>
      </c>
      <c r="V734" s="2" t="str">
        <f t="shared" si="48"/>
        <v>dd - Missing Data</v>
      </c>
      <c r="W734" s="12" t="str">
        <f t="shared" si="49"/>
        <v>dd - Missing Data</v>
      </c>
    </row>
    <row r="735" spans="1:23">
      <c r="A735">
        <f>IF(ISBLANK('Data Input'!A735),"",'Data Input'!A735)</f>
        <v>168</v>
      </c>
      <c r="B735" t="str">
        <f>IF(ISBLANK('Data Input'!B735),"",'Data Input'!B735)</f>
        <v>JB008</v>
      </c>
      <c r="C735" t="str">
        <f>IF(ISBLANK('Data Input'!C735),"",'Data Input'!C735)</f>
        <v>8/15/18 0700</v>
      </c>
      <c r="E735" t="str">
        <f>IF(ISBLANK('Data Input'!D735),"",'Data Input'!D735)</f>
        <v>dd - Missing Data</v>
      </c>
      <c r="G735">
        <f>IF(ISBLANK('Data Input'!E735),"",'Data Input'!E735)</f>
        <v>36</v>
      </c>
      <c r="H735" t="str">
        <f>IF(ISBLANK('Data Input'!F735),"",'Data Input'!F735)</f>
        <v>bb - Black</v>
      </c>
      <c r="I735" t="str">
        <f>IF(ISBLANK('Data Input'!G735),"",'Data Input'!G735)</f>
        <v>Caesarean</v>
      </c>
      <c r="J735" t="str">
        <f>IF(ISBLANK('Data Input'!I735),"",'Data Input'!I735)</f>
        <v>8=15=18 2038</v>
      </c>
      <c r="K735" t="str">
        <f>IF(ISBLANK('Data Input'!J735),"",'Data Input'!J735)</f>
        <v>rr - Percocet</v>
      </c>
      <c r="L735">
        <f>IF(ISBLANK('Data Input'!K735),"",'Data Input'!K735)</f>
        <v>1</v>
      </c>
      <c r="M735">
        <f>IF(ISBLANK('Data Input'!L735),"",'Data Input'!L735)</f>
        <v>7</v>
      </c>
      <c r="N735">
        <f>IF(ISBLANK('Data Input'!M735),"",'Data Input'!M735)</f>
        <v>2</v>
      </c>
      <c r="O735" t="str">
        <f>IF(ISBLANK('Data Input'!N735),"",'Data Input'!N735)</f>
        <v/>
      </c>
      <c r="P735" t="str">
        <f>IF(ISBLANK('Data Input'!O735),"",'Data Input'!O735)</f>
        <v/>
      </c>
      <c r="Q735" t="str">
        <f>IF(ISBLANK('Data Input'!P735),"",'Data Input'!P735)</f>
        <v/>
      </c>
      <c r="R735" t="b">
        <f>IF(ISBLANK('Data Input'!Q735),"",'Data Input'!Q735)</f>
        <v>0</v>
      </c>
      <c r="T735" s="2">
        <f t="shared" si="46"/>
        <v>43327</v>
      </c>
      <c r="U735" s="12">
        <f t="shared" si="47"/>
        <v>0.29166666666666669</v>
      </c>
      <c r="V735" s="2" t="str">
        <f t="shared" si="48"/>
        <v>dd - Missing Data</v>
      </c>
      <c r="W735" s="12" t="str">
        <f t="shared" si="49"/>
        <v>dd - Missing Data</v>
      </c>
    </row>
    <row r="736" spans="1:23">
      <c r="A736">
        <f>IF(ISBLANK('Data Input'!A736),"",'Data Input'!A736)</f>
        <v>168</v>
      </c>
      <c r="B736" t="str">
        <f>IF(ISBLANK('Data Input'!B736),"",'Data Input'!B736)</f>
        <v>JB008</v>
      </c>
      <c r="C736" t="str">
        <f>IF(ISBLANK('Data Input'!C736),"",'Data Input'!C736)</f>
        <v>8/15/18 0700</v>
      </c>
      <c r="E736" t="str">
        <f>IF(ISBLANK('Data Input'!D736),"",'Data Input'!D736)</f>
        <v>dd - Missing Data</v>
      </c>
      <c r="G736">
        <f>IF(ISBLANK('Data Input'!E736),"",'Data Input'!E736)</f>
        <v>36</v>
      </c>
      <c r="H736" t="str">
        <f>IF(ISBLANK('Data Input'!F736),"",'Data Input'!F736)</f>
        <v>bb - Black</v>
      </c>
      <c r="I736" t="str">
        <f>IF(ISBLANK('Data Input'!G736),"",'Data Input'!G736)</f>
        <v>Caesarean</v>
      </c>
      <c r="J736" t="str">
        <f>IF(ISBLANK('Data Input'!I736),"",'Data Input'!I736)</f>
        <v>8=16=18 0028</v>
      </c>
      <c r="K736" t="str">
        <f>IF(ISBLANK('Data Input'!J736),"",'Data Input'!J736)</f>
        <v>rr - Percocet</v>
      </c>
      <c r="L736">
        <f>IF(ISBLANK('Data Input'!K736),"",'Data Input'!K736)</f>
        <v>2</v>
      </c>
      <c r="M736" t="str">
        <f>IF(ISBLANK('Data Input'!L736),"",'Data Input'!L736)</f>
        <v>dd - Missing Data</v>
      </c>
      <c r="N736" t="str">
        <f>IF(ISBLANK('Data Input'!M736),"",'Data Input'!M736)</f>
        <v>dd - Missing Data</v>
      </c>
      <c r="O736" t="str">
        <f>IF(ISBLANK('Data Input'!N736),"",'Data Input'!N736)</f>
        <v/>
      </c>
      <c r="P736" t="str">
        <f>IF(ISBLANK('Data Input'!O736),"",'Data Input'!O736)</f>
        <v/>
      </c>
      <c r="Q736" t="str">
        <f>IF(ISBLANK('Data Input'!P736),"",'Data Input'!P736)</f>
        <v/>
      </c>
      <c r="R736" t="b">
        <f>IF(ISBLANK('Data Input'!Q736),"",'Data Input'!Q736)</f>
        <v>0</v>
      </c>
      <c r="T736" s="2">
        <f t="shared" si="46"/>
        <v>43327</v>
      </c>
      <c r="U736" s="12">
        <f t="shared" si="47"/>
        <v>0.29166666666666669</v>
      </c>
      <c r="V736" s="2" t="str">
        <f t="shared" si="48"/>
        <v>dd - Missing Data</v>
      </c>
      <c r="W736" s="12" t="str">
        <f t="shared" si="49"/>
        <v>dd - Missing Data</v>
      </c>
    </row>
    <row r="737" spans="1:23">
      <c r="A737">
        <f>IF(ISBLANK('Data Input'!A737),"",'Data Input'!A737)</f>
        <v>168</v>
      </c>
      <c r="B737" t="str">
        <f>IF(ISBLANK('Data Input'!B737),"",'Data Input'!B737)</f>
        <v>JB008</v>
      </c>
      <c r="C737" t="str">
        <f>IF(ISBLANK('Data Input'!C737),"",'Data Input'!C737)</f>
        <v>8/15/18 0700</v>
      </c>
      <c r="E737" t="str">
        <f>IF(ISBLANK('Data Input'!D737),"",'Data Input'!D737)</f>
        <v>dd - Missing Data</v>
      </c>
      <c r="G737">
        <f>IF(ISBLANK('Data Input'!E737),"",'Data Input'!E737)</f>
        <v>36</v>
      </c>
      <c r="H737" t="str">
        <f>IF(ISBLANK('Data Input'!F737),"",'Data Input'!F737)</f>
        <v>bb - Black</v>
      </c>
      <c r="I737" t="str">
        <f>IF(ISBLANK('Data Input'!G737),"",'Data Input'!G737)</f>
        <v>Caesarean</v>
      </c>
      <c r="J737" t="str">
        <f>IF(ISBLANK('Data Input'!I737),"",'Data Input'!I737)</f>
        <v>8=16=18 0204</v>
      </c>
      <c r="K737" t="str">
        <f>IF(ISBLANK('Data Input'!J737),"",'Data Input'!J737)</f>
        <v>tr - Toradol</v>
      </c>
      <c r="L737">
        <f>IF(ISBLANK('Data Input'!K737),"",'Data Input'!K737)</f>
        <v>30</v>
      </c>
      <c r="M737" t="str">
        <f>IF(ISBLANK('Data Input'!L737),"",'Data Input'!L737)</f>
        <v>dd - Missing Data</v>
      </c>
      <c r="N737" t="str">
        <f>IF(ISBLANK('Data Input'!M737),"",'Data Input'!M737)</f>
        <v>dd - Missing Data</v>
      </c>
      <c r="O737" t="str">
        <f>IF(ISBLANK('Data Input'!N737),"",'Data Input'!N737)</f>
        <v/>
      </c>
      <c r="P737" t="str">
        <f>IF(ISBLANK('Data Input'!O737),"",'Data Input'!O737)</f>
        <v/>
      </c>
      <c r="Q737" t="str">
        <f>IF(ISBLANK('Data Input'!P737),"",'Data Input'!P737)</f>
        <v/>
      </c>
      <c r="R737" t="b">
        <f>IF(ISBLANK('Data Input'!Q737),"",'Data Input'!Q737)</f>
        <v>0</v>
      </c>
      <c r="T737" s="2">
        <f t="shared" si="46"/>
        <v>43327</v>
      </c>
      <c r="U737" s="12">
        <f t="shared" si="47"/>
        <v>0.29166666666666669</v>
      </c>
      <c r="V737" s="2" t="str">
        <f t="shared" si="48"/>
        <v>dd - Missing Data</v>
      </c>
      <c r="W737" s="12" t="str">
        <f t="shared" si="49"/>
        <v>dd - Missing Data</v>
      </c>
    </row>
    <row r="738" spans="1:23">
      <c r="A738">
        <f>IF(ISBLANK('Data Input'!A738),"",'Data Input'!A738)</f>
        <v>168</v>
      </c>
      <c r="B738" t="str">
        <f>IF(ISBLANK('Data Input'!B738),"",'Data Input'!B738)</f>
        <v>JB008</v>
      </c>
      <c r="C738" t="str">
        <f>IF(ISBLANK('Data Input'!C738),"",'Data Input'!C738)</f>
        <v>8/15/18 0700</v>
      </c>
      <c r="E738" t="str">
        <f>IF(ISBLANK('Data Input'!D738),"",'Data Input'!D738)</f>
        <v>dd - Missing Data</v>
      </c>
      <c r="G738">
        <f>IF(ISBLANK('Data Input'!E738),"",'Data Input'!E738)</f>
        <v>36</v>
      </c>
      <c r="H738" t="str">
        <f>IF(ISBLANK('Data Input'!F738),"",'Data Input'!F738)</f>
        <v>bb - Black</v>
      </c>
      <c r="I738" t="str">
        <f>IF(ISBLANK('Data Input'!G738),"",'Data Input'!G738)</f>
        <v>Caesarean</v>
      </c>
      <c r="J738" t="str">
        <f>IF(ISBLANK('Data Input'!I738),"",'Data Input'!I738)</f>
        <v>8=16=18 0557</v>
      </c>
      <c r="K738" t="str">
        <f>IF(ISBLANK('Data Input'!J738),"",'Data Input'!J738)</f>
        <v>rr - Percocet</v>
      </c>
      <c r="L738">
        <f>IF(ISBLANK('Data Input'!K738),"",'Data Input'!K738)</f>
        <v>1</v>
      </c>
      <c r="M738">
        <f>IF(ISBLANK('Data Input'!L738),"",'Data Input'!L738)</f>
        <v>4</v>
      </c>
      <c r="N738">
        <f>IF(ISBLANK('Data Input'!M738),"",'Data Input'!M738)</f>
        <v>4</v>
      </c>
      <c r="O738" t="str">
        <f>IF(ISBLANK('Data Input'!N738),"",'Data Input'!N738)</f>
        <v/>
      </c>
      <c r="P738" t="str">
        <f>IF(ISBLANK('Data Input'!O738),"",'Data Input'!O738)</f>
        <v/>
      </c>
      <c r="Q738" t="str">
        <f>IF(ISBLANK('Data Input'!P738),"",'Data Input'!P738)</f>
        <v/>
      </c>
      <c r="R738" t="b">
        <f>IF(ISBLANK('Data Input'!Q738),"",'Data Input'!Q738)</f>
        <v>0</v>
      </c>
      <c r="T738" s="2">
        <f t="shared" si="46"/>
        <v>43327</v>
      </c>
      <c r="U738" s="12">
        <f t="shared" si="47"/>
        <v>0.29166666666666669</v>
      </c>
      <c r="V738" s="2" t="str">
        <f t="shared" si="48"/>
        <v>dd - Missing Data</v>
      </c>
      <c r="W738" s="12" t="str">
        <f t="shared" si="49"/>
        <v>dd - Missing Data</v>
      </c>
    </row>
    <row r="739" spans="1:23">
      <c r="A739">
        <f>IF(ISBLANK('Data Input'!A739),"",'Data Input'!A739)</f>
        <v>168</v>
      </c>
      <c r="B739" t="str">
        <f>IF(ISBLANK('Data Input'!B739),"",'Data Input'!B739)</f>
        <v>JB008</v>
      </c>
      <c r="C739" t="str">
        <f>IF(ISBLANK('Data Input'!C739),"",'Data Input'!C739)</f>
        <v>8/15/18 0700</v>
      </c>
      <c r="E739" t="str">
        <f>IF(ISBLANK('Data Input'!D739),"",'Data Input'!D739)</f>
        <v>dd - Missing Data</v>
      </c>
      <c r="G739">
        <f>IF(ISBLANK('Data Input'!E739),"",'Data Input'!E739)</f>
        <v>36</v>
      </c>
      <c r="H739" t="str">
        <f>IF(ISBLANK('Data Input'!F739),"",'Data Input'!F739)</f>
        <v>bb - Black</v>
      </c>
      <c r="I739" t="str">
        <f>IF(ISBLANK('Data Input'!G739),"",'Data Input'!G739)</f>
        <v>Caesarean</v>
      </c>
      <c r="J739" t="str">
        <f>IF(ISBLANK('Data Input'!I739),"",'Data Input'!I739)</f>
        <v>8=16=18 0733</v>
      </c>
      <c r="K739" t="str">
        <f>IF(ISBLANK('Data Input'!J739),"",'Data Input'!J739)</f>
        <v>bb - Ibuprofen</v>
      </c>
      <c r="L739">
        <f>IF(ISBLANK('Data Input'!K739),"",'Data Input'!K739)</f>
        <v>800</v>
      </c>
      <c r="M739">
        <f>IF(ISBLANK('Data Input'!L739),"",'Data Input'!L739)</f>
        <v>4</v>
      </c>
      <c r="N739">
        <f>IF(ISBLANK('Data Input'!M739),"",'Data Input'!M739)</f>
        <v>2</v>
      </c>
      <c r="O739" t="str">
        <f>IF(ISBLANK('Data Input'!N739),"",'Data Input'!N739)</f>
        <v/>
      </c>
      <c r="P739" t="str">
        <f>IF(ISBLANK('Data Input'!O739),"",'Data Input'!O739)</f>
        <v/>
      </c>
      <c r="Q739" t="str">
        <f>IF(ISBLANK('Data Input'!P739),"",'Data Input'!P739)</f>
        <v/>
      </c>
      <c r="R739" t="b">
        <f>IF(ISBLANK('Data Input'!Q739),"",'Data Input'!Q739)</f>
        <v>0</v>
      </c>
      <c r="T739" s="2">
        <f t="shared" si="46"/>
        <v>43327</v>
      </c>
      <c r="U739" s="12">
        <f t="shared" si="47"/>
        <v>0.29166666666666669</v>
      </c>
      <c r="V739" s="2" t="str">
        <f t="shared" si="48"/>
        <v>dd - Missing Data</v>
      </c>
      <c r="W739" s="12" t="str">
        <f t="shared" si="49"/>
        <v>dd - Missing Data</v>
      </c>
    </row>
    <row r="740" spans="1:23">
      <c r="A740">
        <f>IF(ISBLANK('Data Input'!A740),"",'Data Input'!A740)</f>
        <v>168</v>
      </c>
      <c r="B740" t="str">
        <f>IF(ISBLANK('Data Input'!B740),"",'Data Input'!B740)</f>
        <v>JB008</v>
      </c>
      <c r="C740" t="str">
        <f>IF(ISBLANK('Data Input'!C740),"",'Data Input'!C740)</f>
        <v>8/15/18 0700</v>
      </c>
      <c r="E740" t="str">
        <f>IF(ISBLANK('Data Input'!D740),"",'Data Input'!D740)</f>
        <v>dd - Missing Data</v>
      </c>
      <c r="G740">
        <f>IF(ISBLANK('Data Input'!E740),"",'Data Input'!E740)</f>
        <v>36</v>
      </c>
      <c r="H740" t="str">
        <f>IF(ISBLANK('Data Input'!F740),"",'Data Input'!F740)</f>
        <v>bb - Black</v>
      </c>
      <c r="I740" t="str">
        <f>IF(ISBLANK('Data Input'!G740),"",'Data Input'!G740)</f>
        <v>Caesarean</v>
      </c>
      <c r="J740" t="str">
        <f>IF(ISBLANK('Data Input'!I740),"",'Data Input'!I740)</f>
        <v>8=16=18 0733</v>
      </c>
      <c r="K740" t="str">
        <f>IF(ISBLANK('Data Input'!J740),"",'Data Input'!J740)</f>
        <v>rr - Percocet</v>
      </c>
      <c r="L740">
        <f>IF(ISBLANK('Data Input'!K740),"",'Data Input'!K740)</f>
        <v>1</v>
      </c>
      <c r="M740">
        <f>IF(ISBLANK('Data Input'!L740),"",'Data Input'!L740)</f>
        <v>4</v>
      </c>
      <c r="N740">
        <f>IF(ISBLANK('Data Input'!M740),"",'Data Input'!M740)</f>
        <v>2</v>
      </c>
      <c r="O740" t="str">
        <f>IF(ISBLANK('Data Input'!N740),"",'Data Input'!N740)</f>
        <v/>
      </c>
      <c r="P740" t="str">
        <f>IF(ISBLANK('Data Input'!O740),"",'Data Input'!O740)</f>
        <v/>
      </c>
      <c r="Q740" t="str">
        <f>IF(ISBLANK('Data Input'!P740),"",'Data Input'!P740)</f>
        <v/>
      </c>
      <c r="R740" t="b">
        <f>IF(ISBLANK('Data Input'!Q740),"",'Data Input'!Q740)</f>
        <v>0</v>
      </c>
      <c r="T740" s="2">
        <f t="shared" si="46"/>
        <v>43327</v>
      </c>
      <c r="U740" s="12">
        <f t="shared" si="47"/>
        <v>0.29166666666666669</v>
      </c>
      <c r="V740" s="2" t="str">
        <f t="shared" si="48"/>
        <v>dd - Missing Data</v>
      </c>
      <c r="W740" s="12" t="str">
        <f t="shared" si="49"/>
        <v>dd - Missing Data</v>
      </c>
    </row>
    <row r="741" spans="1:23">
      <c r="A741">
        <f>IF(ISBLANK('Data Input'!A741),"",'Data Input'!A741)</f>
        <v>168</v>
      </c>
      <c r="B741" t="str">
        <f>IF(ISBLANK('Data Input'!B741),"",'Data Input'!B741)</f>
        <v>JB008</v>
      </c>
      <c r="C741" t="str">
        <f>IF(ISBLANK('Data Input'!C741),"",'Data Input'!C741)</f>
        <v>8/15/18 0700</v>
      </c>
      <c r="E741" t="str">
        <f>IF(ISBLANK('Data Input'!D741),"",'Data Input'!D741)</f>
        <v>dd - Missing Data</v>
      </c>
      <c r="G741">
        <f>IF(ISBLANK('Data Input'!E741),"",'Data Input'!E741)</f>
        <v>36</v>
      </c>
      <c r="H741" t="str">
        <f>IF(ISBLANK('Data Input'!F741),"",'Data Input'!F741)</f>
        <v>bb - Black</v>
      </c>
      <c r="I741" t="str">
        <f>IF(ISBLANK('Data Input'!G741),"",'Data Input'!G741)</f>
        <v>Caesarean</v>
      </c>
      <c r="J741" t="str">
        <f>IF(ISBLANK('Data Input'!I741),"",'Data Input'!I741)</f>
        <v>8=16=18 1409</v>
      </c>
      <c r="K741" t="str">
        <f>IF(ISBLANK('Data Input'!J741),"",'Data Input'!J741)</f>
        <v>rr - Percocet</v>
      </c>
      <c r="L741">
        <f>IF(ISBLANK('Data Input'!K741),"",'Data Input'!K741)</f>
        <v>1</v>
      </c>
      <c r="M741">
        <f>IF(ISBLANK('Data Input'!L741),"",'Data Input'!L741)</f>
        <v>8</v>
      </c>
      <c r="N741">
        <f>IF(ISBLANK('Data Input'!M741),"",'Data Input'!M741)</f>
        <v>8</v>
      </c>
      <c r="O741" t="str">
        <f>IF(ISBLANK('Data Input'!N741),"",'Data Input'!N741)</f>
        <v/>
      </c>
      <c r="P741" t="str">
        <f>IF(ISBLANK('Data Input'!O741),"",'Data Input'!O741)</f>
        <v/>
      </c>
      <c r="Q741" t="str">
        <f>IF(ISBLANK('Data Input'!P741),"",'Data Input'!P741)</f>
        <v/>
      </c>
      <c r="R741" t="b">
        <f>IF(ISBLANK('Data Input'!Q741),"",'Data Input'!Q741)</f>
        <v>0</v>
      </c>
      <c r="T741" s="2">
        <f t="shared" si="46"/>
        <v>43327</v>
      </c>
      <c r="U741" s="12">
        <f t="shared" si="47"/>
        <v>0.29166666666666669</v>
      </c>
      <c r="V741" s="2" t="str">
        <f t="shared" si="48"/>
        <v>dd - Missing Data</v>
      </c>
      <c r="W741" s="12" t="str">
        <f t="shared" si="49"/>
        <v>dd - Missing Data</v>
      </c>
    </row>
    <row r="742" spans="1:23">
      <c r="A742">
        <f>IF(ISBLANK('Data Input'!A742),"",'Data Input'!A742)</f>
        <v>168</v>
      </c>
      <c r="B742" t="str">
        <f>IF(ISBLANK('Data Input'!B742),"",'Data Input'!B742)</f>
        <v>JB008</v>
      </c>
      <c r="C742" t="str">
        <f>IF(ISBLANK('Data Input'!C742),"",'Data Input'!C742)</f>
        <v>8/15/18 0700</v>
      </c>
      <c r="E742" t="str">
        <f>IF(ISBLANK('Data Input'!D742),"",'Data Input'!D742)</f>
        <v>dd - Missing Data</v>
      </c>
      <c r="G742">
        <f>IF(ISBLANK('Data Input'!E742),"",'Data Input'!E742)</f>
        <v>36</v>
      </c>
      <c r="H742" t="str">
        <f>IF(ISBLANK('Data Input'!F742),"",'Data Input'!F742)</f>
        <v>bb - Black</v>
      </c>
      <c r="I742" t="str">
        <f>IF(ISBLANK('Data Input'!G742),"",'Data Input'!G742)</f>
        <v>Caesarean</v>
      </c>
      <c r="J742" t="str">
        <f>IF(ISBLANK('Data Input'!I742),"",'Data Input'!I742)</f>
        <v>8=16=18 1410</v>
      </c>
      <c r="K742" t="str">
        <f>IF(ISBLANK('Data Input'!J742),"",'Data Input'!J742)</f>
        <v>bb - Ibuprofen</v>
      </c>
      <c r="L742">
        <f>IF(ISBLANK('Data Input'!K742),"",'Data Input'!K742)</f>
        <v>800</v>
      </c>
      <c r="M742">
        <f>IF(ISBLANK('Data Input'!L742),"",'Data Input'!L742)</f>
        <v>8</v>
      </c>
      <c r="N742">
        <f>IF(ISBLANK('Data Input'!M742),"",'Data Input'!M742)</f>
        <v>8</v>
      </c>
      <c r="O742" t="str">
        <f>IF(ISBLANK('Data Input'!N742),"",'Data Input'!N742)</f>
        <v/>
      </c>
      <c r="P742" t="str">
        <f>IF(ISBLANK('Data Input'!O742),"",'Data Input'!O742)</f>
        <v/>
      </c>
      <c r="Q742" t="str">
        <f>IF(ISBLANK('Data Input'!P742),"",'Data Input'!P742)</f>
        <v/>
      </c>
      <c r="R742" t="b">
        <f>IF(ISBLANK('Data Input'!Q742),"",'Data Input'!Q742)</f>
        <v>0</v>
      </c>
      <c r="T742" s="2">
        <f t="shared" si="46"/>
        <v>43327</v>
      </c>
      <c r="U742" s="12">
        <f t="shared" si="47"/>
        <v>0.29166666666666669</v>
      </c>
      <c r="V742" s="2" t="str">
        <f t="shared" si="48"/>
        <v>dd - Missing Data</v>
      </c>
      <c r="W742" s="12" t="str">
        <f t="shared" si="49"/>
        <v>dd - Missing Data</v>
      </c>
    </row>
    <row r="743" spans="1:23">
      <c r="A743">
        <f>IF(ISBLANK('Data Input'!A743),"",'Data Input'!A743)</f>
        <v>168</v>
      </c>
      <c r="B743" t="str">
        <f>IF(ISBLANK('Data Input'!B743),"",'Data Input'!B743)</f>
        <v>JB008</v>
      </c>
      <c r="C743" t="str">
        <f>IF(ISBLANK('Data Input'!C743),"",'Data Input'!C743)</f>
        <v>8/15/18 0700</v>
      </c>
      <c r="E743" t="str">
        <f>IF(ISBLANK('Data Input'!D743),"",'Data Input'!D743)</f>
        <v>dd - Missing Data</v>
      </c>
      <c r="G743">
        <f>IF(ISBLANK('Data Input'!E743),"",'Data Input'!E743)</f>
        <v>36</v>
      </c>
      <c r="H743" t="str">
        <f>IF(ISBLANK('Data Input'!F743),"",'Data Input'!F743)</f>
        <v>bb - Black</v>
      </c>
      <c r="I743" t="str">
        <f>IF(ISBLANK('Data Input'!G743),"",'Data Input'!G743)</f>
        <v>Caesarean</v>
      </c>
      <c r="J743" t="str">
        <f>IF(ISBLANK('Data Input'!I743),"",'Data Input'!I743)</f>
        <v>8=16=18 1414</v>
      </c>
      <c r="K743" t="str">
        <f>IF(ISBLANK('Data Input'!J743),"",'Data Input'!J743)</f>
        <v>rr - Percocet</v>
      </c>
      <c r="L743">
        <f>IF(ISBLANK('Data Input'!K743),"",'Data Input'!K743)</f>
        <v>1</v>
      </c>
      <c r="M743">
        <f>IF(ISBLANK('Data Input'!L743),"",'Data Input'!L743)</f>
        <v>8</v>
      </c>
      <c r="N743">
        <f>IF(ISBLANK('Data Input'!M743),"",'Data Input'!M743)</f>
        <v>2</v>
      </c>
      <c r="O743" t="str">
        <f>IF(ISBLANK('Data Input'!N743),"",'Data Input'!N743)</f>
        <v/>
      </c>
      <c r="P743" t="str">
        <f>IF(ISBLANK('Data Input'!O743),"",'Data Input'!O743)</f>
        <v/>
      </c>
      <c r="Q743" t="str">
        <f>IF(ISBLANK('Data Input'!P743),"",'Data Input'!P743)</f>
        <v/>
      </c>
      <c r="R743" t="b">
        <f>IF(ISBLANK('Data Input'!Q743),"",'Data Input'!Q743)</f>
        <v>0</v>
      </c>
      <c r="T743" s="2">
        <f t="shared" si="46"/>
        <v>43327</v>
      </c>
      <c r="U743" s="12">
        <f t="shared" si="47"/>
        <v>0.29166666666666669</v>
      </c>
      <c r="V743" s="2" t="str">
        <f t="shared" si="48"/>
        <v>dd - Missing Data</v>
      </c>
      <c r="W743" s="12" t="str">
        <f t="shared" si="49"/>
        <v>dd - Missing Data</v>
      </c>
    </row>
    <row r="744" spans="1:23">
      <c r="A744">
        <f>IF(ISBLANK('Data Input'!A744),"",'Data Input'!A744)</f>
        <v>168</v>
      </c>
      <c r="B744" t="str">
        <f>IF(ISBLANK('Data Input'!B744),"",'Data Input'!B744)</f>
        <v>JB008</v>
      </c>
      <c r="C744" t="str">
        <f>IF(ISBLANK('Data Input'!C744),"",'Data Input'!C744)</f>
        <v>8/15/18 0700</v>
      </c>
      <c r="E744" t="str">
        <f>IF(ISBLANK('Data Input'!D744),"",'Data Input'!D744)</f>
        <v>dd - Missing Data</v>
      </c>
      <c r="G744">
        <f>IF(ISBLANK('Data Input'!E744),"",'Data Input'!E744)</f>
        <v>36</v>
      </c>
      <c r="H744" t="str">
        <f>IF(ISBLANK('Data Input'!F744),"",'Data Input'!F744)</f>
        <v>bb - Black</v>
      </c>
      <c r="I744" t="str">
        <f>IF(ISBLANK('Data Input'!G744),"",'Data Input'!G744)</f>
        <v>Caesarean</v>
      </c>
      <c r="J744" t="str">
        <f>IF(ISBLANK('Data Input'!I744),"",'Data Input'!I744)</f>
        <v>8=16=18 1954</v>
      </c>
      <c r="K744" t="str">
        <f>IF(ISBLANK('Data Input'!J744),"",'Data Input'!J744)</f>
        <v>bb - Ibuprofen</v>
      </c>
      <c r="L744">
        <f>IF(ISBLANK('Data Input'!K744),"",'Data Input'!K744)</f>
        <v>800</v>
      </c>
      <c r="M744">
        <f>IF(ISBLANK('Data Input'!L744),"",'Data Input'!L744)</f>
        <v>7</v>
      </c>
      <c r="N744">
        <f>IF(ISBLANK('Data Input'!M744),"",'Data Input'!M744)</f>
        <v>2</v>
      </c>
      <c r="O744" t="str">
        <f>IF(ISBLANK('Data Input'!N744),"",'Data Input'!N744)</f>
        <v/>
      </c>
      <c r="P744" t="str">
        <f>IF(ISBLANK('Data Input'!O744),"",'Data Input'!O744)</f>
        <v/>
      </c>
      <c r="Q744" t="str">
        <f>IF(ISBLANK('Data Input'!P744),"",'Data Input'!P744)</f>
        <v/>
      </c>
      <c r="R744" t="b">
        <f>IF(ISBLANK('Data Input'!Q744),"",'Data Input'!Q744)</f>
        <v>0</v>
      </c>
      <c r="T744" s="2">
        <f t="shared" si="46"/>
        <v>43327</v>
      </c>
      <c r="U744" s="12">
        <f t="shared" si="47"/>
        <v>0.29166666666666669</v>
      </c>
      <c r="V744" s="2" t="str">
        <f t="shared" si="48"/>
        <v>dd - Missing Data</v>
      </c>
      <c r="W744" s="12" t="str">
        <f t="shared" si="49"/>
        <v>dd - Missing Data</v>
      </c>
    </row>
    <row r="745" spans="1:23">
      <c r="A745">
        <f>IF(ISBLANK('Data Input'!A745),"",'Data Input'!A745)</f>
        <v>168</v>
      </c>
      <c r="B745" t="str">
        <f>IF(ISBLANK('Data Input'!B745),"",'Data Input'!B745)</f>
        <v>JB008</v>
      </c>
      <c r="C745" t="str">
        <f>IF(ISBLANK('Data Input'!C745),"",'Data Input'!C745)</f>
        <v>8/15/18 0700</v>
      </c>
      <c r="E745" t="str">
        <f>IF(ISBLANK('Data Input'!D745),"",'Data Input'!D745)</f>
        <v>dd - Missing Data</v>
      </c>
      <c r="G745">
        <f>IF(ISBLANK('Data Input'!E745),"",'Data Input'!E745)</f>
        <v>36</v>
      </c>
      <c r="H745" t="str">
        <f>IF(ISBLANK('Data Input'!F745),"",'Data Input'!F745)</f>
        <v>bb - Black</v>
      </c>
      <c r="I745" t="str">
        <f>IF(ISBLANK('Data Input'!G745),"",'Data Input'!G745)</f>
        <v>Caesarean</v>
      </c>
      <c r="J745" t="str">
        <f>IF(ISBLANK('Data Input'!I745),"",'Data Input'!I745)</f>
        <v>8=16=18 1954</v>
      </c>
      <c r="K745" t="str">
        <f>IF(ISBLANK('Data Input'!J745),"",'Data Input'!J745)</f>
        <v>rr - Percocet</v>
      </c>
      <c r="L745">
        <f>IF(ISBLANK('Data Input'!K745),"",'Data Input'!K745)</f>
        <v>2</v>
      </c>
      <c r="M745">
        <f>IF(ISBLANK('Data Input'!L745),"",'Data Input'!L745)</f>
        <v>7</v>
      </c>
      <c r="N745">
        <f>IF(ISBLANK('Data Input'!M745),"",'Data Input'!M745)</f>
        <v>2</v>
      </c>
      <c r="O745" t="str">
        <f>IF(ISBLANK('Data Input'!N745),"",'Data Input'!N745)</f>
        <v/>
      </c>
      <c r="P745" t="str">
        <f>IF(ISBLANK('Data Input'!O745),"",'Data Input'!O745)</f>
        <v/>
      </c>
      <c r="Q745" t="str">
        <f>IF(ISBLANK('Data Input'!P745),"",'Data Input'!P745)</f>
        <v/>
      </c>
      <c r="R745" t="b">
        <f>IF(ISBLANK('Data Input'!Q745),"",'Data Input'!Q745)</f>
        <v>0</v>
      </c>
      <c r="T745" s="2">
        <f t="shared" si="46"/>
        <v>43327</v>
      </c>
      <c r="U745" s="12">
        <f t="shared" si="47"/>
        <v>0.29166666666666669</v>
      </c>
      <c r="V745" s="2" t="str">
        <f t="shared" si="48"/>
        <v>dd - Missing Data</v>
      </c>
      <c r="W745" s="12" t="str">
        <f t="shared" si="49"/>
        <v>dd - Missing Data</v>
      </c>
    </row>
    <row r="746" spans="1:23">
      <c r="A746">
        <f>IF(ISBLANK('Data Input'!A746),"",'Data Input'!A746)</f>
        <v>168</v>
      </c>
      <c r="B746" t="str">
        <f>IF(ISBLANK('Data Input'!B746),"",'Data Input'!B746)</f>
        <v>JB008</v>
      </c>
      <c r="C746" t="str">
        <f>IF(ISBLANK('Data Input'!C746),"",'Data Input'!C746)</f>
        <v>8/15/18 0700</v>
      </c>
      <c r="E746" t="str">
        <f>IF(ISBLANK('Data Input'!D746),"",'Data Input'!D746)</f>
        <v>dd - Missing Data</v>
      </c>
      <c r="G746">
        <f>IF(ISBLANK('Data Input'!E746),"",'Data Input'!E746)</f>
        <v>36</v>
      </c>
      <c r="H746" t="str">
        <f>IF(ISBLANK('Data Input'!F746),"",'Data Input'!F746)</f>
        <v>bb - Black</v>
      </c>
      <c r="I746" t="str">
        <f>IF(ISBLANK('Data Input'!G746),"",'Data Input'!G746)</f>
        <v>Caesarean</v>
      </c>
      <c r="J746" t="str">
        <f>IF(ISBLANK('Data Input'!I746),"",'Data Input'!I746)</f>
        <v>8=17=18 0229</v>
      </c>
      <c r="K746" t="str">
        <f>IF(ISBLANK('Data Input'!J746),"",'Data Input'!J746)</f>
        <v>bb - Ibuprofen</v>
      </c>
      <c r="L746">
        <f>IF(ISBLANK('Data Input'!K746),"",'Data Input'!K746)</f>
        <v>800</v>
      </c>
      <c r="M746">
        <f>IF(ISBLANK('Data Input'!L746),"",'Data Input'!L746)</f>
        <v>10</v>
      </c>
      <c r="N746">
        <f>IF(ISBLANK('Data Input'!M746),"",'Data Input'!M746)</f>
        <v>3</v>
      </c>
      <c r="O746" t="str">
        <f>IF(ISBLANK('Data Input'!N746),"",'Data Input'!N746)</f>
        <v/>
      </c>
      <c r="P746" t="str">
        <f>IF(ISBLANK('Data Input'!O746),"",'Data Input'!O746)</f>
        <v/>
      </c>
      <c r="Q746" t="str">
        <f>IF(ISBLANK('Data Input'!P746),"",'Data Input'!P746)</f>
        <v/>
      </c>
      <c r="R746" t="b">
        <f>IF(ISBLANK('Data Input'!Q746),"",'Data Input'!Q746)</f>
        <v>0</v>
      </c>
      <c r="T746" s="2">
        <f t="shared" si="46"/>
        <v>43327</v>
      </c>
      <c r="U746" s="12">
        <f t="shared" si="47"/>
        <v>0.29166666666666669</v>
      </c>
      <c r="V746" s="2" t="str">
        <f t="shared" si="48"/>
        <v>dd - Missing Data</v>
      </c>
      <c r="W746" s="12" t="str">
        <f t="shared" si="49"/>
        <v>dd - Missing Data</v>
      </c>
    </row>
    <row r="747" spans="1:23">
      <c r="A747">
        <f>IF(ISBLANK('Data Input'!A747),"",'Data Input'!A747)</f>
        <v>168</v>
      </c>
      <c r="B747" t="str">
        <f>IF(ISBLANK('Data Input'!B747),"",'Data Input'!B747)</f>
        <v>JB008</v>
      </c>
      <c r="C747" t="str">
        <f>IF(ISBLANK('Data Input'!C747),"",'Data Input'!C747)</f>
        <v>8/15/18 0700</v>
      </c>
      <c r="E747" t="str">
        <f>IF(ISBLANK('Data Input'!D747),"",'Data Input'!D747)</f>
        <v>dd - Missing Data</v>
      </c>
      <c r="G747">
        <f>IF(ISBLANK('Data Input'!E747),"",'Data Input'!E747)</f>
        <v>36</v>
      </c>
      <c r="H747" t="str">
        <f>IF(ISBLANK('Data Input'!F747),"",'Data Input'!F747)</f>
        <v>bb - Black</v>
      </c>
      <c r="I747" t="str">
        <f>IF(ISBLANK('Data Input'!G747),"",'Data Input'!G747)</f>
        <v>Caesarean</v>
      </c>
      <c r="J747" t="str">
        <f>IF(ISBLANK('Data Input'!I747),"",'Data Input'!I747)</f>
        <v>8=17=18 0229</v>
      </c>
      <c r="K747" t="str">
        <f>IF(ISBLANK('Data Input'!J747),"",'Data Input'!J747)</f>
        <v>rr - Percocet</v>
      </c>
      <c r="L747">
        <f>IF(ISBLANK('Data Input'!K747),"",'Data Input'!K747)</f>
        <v>2</v>
      </c>
      <c r="M747">
        <f>IF(ISBLANK('Data Input'!L747),"",'Data Input'!L747)</f>
        <v>10</v>
      </c>
      <c r="N747" t="str">
        <f>IF(ISBLANK('Data Input'!M747),"",'Data Input'!M747)</f>
        <v/>
      </c>
      <c r="O747" t="str">
        <f>IF(ISBLANK('Data Input'!N747),"",'Data Input'!N747)</f>
        <v/>
      </c>
      <c r="P747" t="str">
        <f>IF(ISBLANK('Data Input'!O747),"",'Data Input'!O747)</f>
        <v/>
      </c>
      <c r="Q747" t="str">
        <f>IF(ISBLANK('Data Input'!P747),"",'Data Input'!P747)</f>
        <v/>
      </c>
      <c r="R747" t="b">
        <f>IF(ISBLANK('Data Input'!Q747),"",'Data Input'!Q747)</f>
        <v>0</v>
      </c>
      <c r="T747" s="2">
        <f t="shared" si="46"/>
        <v>43327</v>
      </c>
      <c r="U747" s="12">
        <f t="shared" si="47"/>
        <v>0.29166666666666669</v>
      </c>
      <c r="V747" s="2" t="str">
        <f t="shared" si="48"/>
        <v>dd - Missing Data</v>
      </c>
      <c r="W747" s="12" t="str">
        <f t="shared" si="49"/>
        <v>dd - Missing Data</v>
      </c>
    </row>
    <row r="748" spans="1:23">
      <c r="A748">
        <f>IF(ISBLANK('Data Input'!A748),"",'Data Input'!A748)</f>
        <v>168</v>
      </c>
      <c r="B748" t="str">
        <f>IF(ISBLANK('Data Input'!B748),"",'Data Input'!B748)</f>
        <v>JB008</v>
      </c>
      <c r="C748" t="str">
        <f>IF(ISBLANK('Data Input'!C748),"",'Data Input'!C748)</f>
        <v>8/15/18 0700</v>
      </c>
      <c r="E748" t="str">
        <f>IF(ISBLANK('Data Input'!D748),"",'Data Input'!D748)</f>
        <v>dd - Missing Data</v>
      </c>
      <c r="G748">
        <f>IF(ISBLANK('Data Input'!E748),"",'Data Input'!E748)</f>
        <v>36</v>
      </c>
      <c r="H748" t="str">
        <f>IF(ISBLANK('Data Input'!F748),"",'Data Input'!F748)</f>
        <v>bb - Black</v>
      </c>
      <c r="I748" t="str">
        <f>IF(ISBLANK('Data Input'!G748),"",'Data Input'!G748)</f>
        <v>Caesarean</v>
      </c>
      <c r="J748" t="str">
        <f>IF(ISBLANK('Data Input'!I748),"",'Data Input'!I748)</f>
        <v>8=17=18 0831</v>
      </c>
      <c r="K748" t="str">
        <f>IF(ISBLANK('Data Input'!J748),"",'Data Input'!J748)</f>
        <v>bb - Ibuprofen</v>
      </c>
      <c r="L748">
        <f>IF(ISBLANK('Data Input'!K748),"",'Data Input'!K748)</f>
        <v>800</v>
      </c>
      <c r="M748">
        <f>IF(ISBLANK('Data Input'!L748),"",'Data Input'!L748)</f>
        <v>8</v>
      </c>
      <c r="N748">
        <f>IF(ISBLANK('Data Input'!M748),"",'Data Input'!M748)</f>
        <v>5</v>
      </c>
      <c r="O748" t="str">
        <f>IF(ISBLANK('Data Input'!N748),"",'Data Input'!N748)</f>
        <v/>
      </c>
      <c r="P748" t="str">
        <f>IF(ISBLANK('Data Input'!O748),"",'Data Input'!O748)</f>
        <v/>
      </c>
      <c r="Q748" t="str">
        <f>IF(ISBLANK('Data Input'!P748),"",'Data Input'!P748)</f>
        <v/>
      </c>
      <c r="R748" t="b">
        <f>IF(ISBLANK('Data Input'!Q748),"",'Data Input'!Q748)</f>
        <v>0</v>
      </c>
      <c r="T748" s="2">
        <f t="shared" si="46"/>
        <v>43327</v>
      </c>
      <c r="U748" s="12">
        <f t="shared" si="47"/>
        <v>0.29166666666666669</v>
      </c>
      <c r="V748" s="2" t="str">
        <f t="shared" si="48"/>
        <v>dd - Missing Data</v>
      </c>
      <c r="W748" s="12" t="str">
        <f t="shared" si="49"/>
        <v>dd - Missing Data</v>
      </c>
    </row>
    <row r="749" spans="1:23">
      <c r="A749">
        <f>IF(ISBLANK('Data Input'!A749),"",'Data Input'!A749)</f>
        <v>168</v>
      </c>
      <c r="B749" t="str">
        <f>IF(ISBLANK('Data Input'!B749),"",'Data Input'!B749)</f>
        <v>JB008</v>
      </c>
      <c r="C749" t="str">
        <f>IF(ISBLANK('Data Input'!C749),"",'Data Input'!C749)</f>
        <v>8/15/18 0700</v>
      </c>
      <c r="E749" t="str">
        <f>IF(ISBLANK('Data Input'!D749),"",'Data Input'!D749)</f>
        <v>dd - Missing Data</v>
      </c>
      <c r="G749">
        <f>IF(ISBLANK('Data Input'!E749),"",'Data Input'!E749)</f>
        <v>36</v>
      </c>
      <c r="H749" t="str">
        <f>IF(ISBLANK('Data Input'!F749),"",'Data Input'!F749)</f>
        <v>bb - Black</v>
      </c>
      <c r="I749" t="str">
        <f>IF(ISBLANK('Data Input'!G749),"",'Data Input'!G749)</f>
        <v>Caesarean</v>
      </c>
      <c r="J749" t="str">
        <f>IF(ISBLANK('Data Input'!I749),"",'Data Input'!I749)</f>
        <v>8=17=18 0831</v>
      </c>
      <c r="K749" t="str">
        <f>IF(ISBLANK('Data Input'!J749),"",'Data Input'!J749)</f>
        <v>rr - Percocet</v>
      </c>
      <c r="L749">
        <f>IF(ISBLANK('Data Input'!K749),"",'Data Input'!K749)</f>
        <v>2</v>
      </c>
      <c r="M749">
        <f>IF(ISBLANK('Data Input'!L749),"",'Data Input'!L749)</f>
        <v>8</v>
      </c>
      <c r="N749">
        <f>IF(ISBLANK('Data Input'!M749),"",'Data Input'!M749)</f>
        <v>5</v>
      </c>
      <c r="O749" t="str">
        <f>IF(ISBLANK('Data Input'!N749),"",'Data Input'!N749)</f>
        <v/>
      </c>
      <c r="P749" t="str">
        <f>IF(ISBLANK('Data Input'!O749),"",'Data Input'!O749)</f>
        <v/>
      </c>
      <c r="Q749" t="str">
        <f>IF(ISBLANK('Data Input'!P749),"",'Data Input'!P749)</f>
        <v/>
      </c>
      <c r="R749" t="b">
        <f>IF(ISBLANK('Data Input'!Q749),"",'Data Input'!Q749)</f>
        <v>0</v>
      </c>
      <c r="T749" s="2">
        <f t="shared" si="46"/>
        <v>43327</v>
      </c>
      <c r="U749" s="12">
        <f t="shared" si="47"/>
        <v>0.29166666666666669</v>
      </c>
      <c r="V749" s="2" t="str">
        <f t="shared" si="48"/>
        <v>dd - Missing Data</v>
      </c>
      <c r="W749" s="12" t="str">
        <f t="shared" si="49"/>
        <v>dd - Missing Data</v>
      </c>
    </row>
    <row r="750" spans="1:23">
      <c r="A750">
        <f>IF(ISBLANK('Data Input'!A750),"",'Data Input'!A750)</f>
        <v>168</v>
      </c>
      <c r="B750" t="str">
        <f>IF(ISBLANK('Data Input'!B750),"",'Data Input'!B750)</f>
        <v>JB008</v>
      </c>
      <c r="C750" t="str">
        <f>IF(ISBLANK('Data Input'!C750),"",'Data Input'!C750)</f>
        <v>8/15/18 0700</v>
      </c>
      <c r="E750" t="str">
        <f>IF(ISBLANK('Data Input'!D750),"",'Data Input'!D750)</f>
        <v>dd - Missing Data</v>
      </c>
      <c r="G750">
        <f>IF(ISBLANK('Data Input'!E750),"",'Data Input'!E750)</f>
        <v>36</v>
      </c>
      <c r="H750" t="str">
        <f>IF(ISBLANK('Data Input'!F750),"",'Data Input'!F750)</f>
        <v>bb - Black</v>
      </c>
      <c r="I750" t="str">
        <f>IF(ISBLANK('Data Input'!G750),"",'Data Input'!G750)</f>
        <v>Caesarean</v>
      </c>
      <c r="J750" t="str">
        <f>IF(ISBLANK('Data Input'!I750),"",'Data Input'!I750)</f>
        <v>8=17=18 1438</v>
      </c>
      <c r="K750" t="str">
        <f>IF(ISBLANK('Data Input'!J750),"",'Data Input'!J750)</f>
        <v>bb - Ibuprofen</v>
      </c>
      <c r="L750">
        <f>IF(ISBLANK('Data Input'!K750),"",'Data Input'!K750)</f>
        <v>800</v>
      </c>
      <c r="M750">
        <f>IF(ISBLANK('Data Input'!L750),"",'Data Input'!L750)</f>
        <v>6</v>
      </c>
      <c r="N750">
        <f>IF(ISBLANK('Data Input'!M750),"",'Data Input'!M750)</f>
        <v>4</v>
      </c>
      <c r="O750" t="str">
        <f>IF(ISBLANK('Data Input'!N750),"",'Data Input'!N750)</f>
        <v/>
      </c>
      <c r="P750" t="str">
        <f>IF(ISBLANK('Data Input'!O750),"",'Data Input'!O750)</f>
        <v/>
      </c>
      <c r="Q750" t="str">
        <f>IF(ISBLANK('Data Input'!P750),"",'Data Input'!P750)</f>
        <v/>
      </c>
      <c r="R750" t="b">
        <f>IF(ISBLANK('Data Input'!Q750),"",'Data Input'!Q750)</f>
        <v>0</v>
      </c>
      <c r="T750" s="2">
        <f t="shared" si="46"/>
        <v>43327</v>
      </c>
      <c r="U750" s="12">
        <f t="shared" si="47"/>
        <v>0.29166666666666669</v>
      </c>
      <c r="V750" s="2" t="str">
        <f t="shared" si="48"/>
        <v>dd - Missing Data</v>
      </c>
      <c r="W750" s="12" t="str">
        <f t="shared" si="49"/>
        <v>dd - Missing Data</v>
      </c>
    </row>
    <row r="751" spans="1:23">
      <c r="A751">
        <f>IF(ISBLANK('Data Input'!A751),"",'Data Input'!A751)</f>
        <v>168</v>
      </c>
      <c r="B751" t="str">
        <f>IF(ISBLANK('Data Input'!B751),"",'Data Input'!B751)</f>
        <v>JB008</v>
      </c>
      <c r="C751" t="str">
        <f>IF(ISBLANK('Data Input'!C751),"",'Data Input'!C751)</f>
        <v>8/15/18 0700</v>
      </c>
      <c r="E751" t="str">
        <f>IF(ISBLANK('Data Input'!D751),"",'Data Input'!D751)</f>
        <v>dd - Missing Data</v>
      </c>
      <c r="G751">
        <f>IF(ISBLANK('Data Input'!E751),"",'Data Input'!E751)</f>
        <v>36</v>
      </c>
      <c r="H751" t="str">
        <f>IF(ISBLANK('Data Input'!F751),"",'Data Input'!F751)</f>
        <v>bb - Black</v>
      </c>
      <c r="I751" t="str">
        <f>IF(ISBLANK('Data Input'!G751),"",'Data Input'!G751)</f>
        <v>Caesarean</v>
      </c>
      <c r="J751" t="str">
        <f>IF(ISBLANK('Data Input'!I751),"",'Data Input'!I751)</f>
        <v>8=17=18 1438</v>
      </c>
      <c r="K751" t="str">
        <f>IF(ISBLANK('Data Input'!J751),"",'Data Input'!J751)</f>
        <v>rr - Percocet</v>
      </c>
      <c r="L751">
        <f>IF(ISBLANK('Data Input'!K751),"",'Data Input'!K751)</f>
        <v>2</v>
      </c>
      <c r="M751">
        <f>IF(ISBLANK('Data Input'!L751),"",'Data Input'!L751)</f>
        <v>6</v>
      </c>
      <c r="N751">
        <f>IF(ISBLANK('Data Input'!M751),"",'Data Input'!M751)</f>
        <v>4</v>
      </c>
      <c r="O751" t="str">
        <f>IF(ISBLANK('Data Input'!N751),"",'Data Input'!N751)</f>
        <v/>
      </c>
      <c r="P751" t="str">
        <f>IF(ISBLANK('Data Input'!O751),"",'Data Input'!O751)</f>
        <v/>
      </c>
      <c r="Q751" t="str">
        <f>IF(ISBLANK('Data Input'!P751),"",'Data Input'!P751)</f>
        <v/>
      </c>
      <c r="R751" t="b">
        <f>IF(ISBLANK('Data Input'!Q751),"",'Data Input'!Q751)</f>
        <v>0</v>
      </c>
      <c r="T751" s="2">
        <f t="shared" si="46"/>
        <v>43327</v>
      </c>
      <c r="U751" s="12">
        <f t="shared" si="47"/>
        <v>0.29166666666666669</v>
      </c>
      <c r="V751" s="2" t="str">
        <f t="shared" si="48"/>
        <v>dd - Missing Data</v>
      </c>
      <c r="W751" s="12" t="str">
        <f t="shared" si="49"/>
        <v>dd - Missing Data</v>
      </c>
    </row>
    <row r="752" spans="1:23">
      <c r="A752">
        <f>IF(ISBLANK('Data Input'!A752),"",'Data Input'!A752)</f>
        <v>169</v>
      </c>
      <c r="B752" t="str">
        <f>IF(ISBLANK('Data Input'!B752),"",'Data Input'!B752)</f>
        <v>EE010</v>
      </c>
      <c r="C752" t="str">
        <f>IF(ISBLANK('Data Input'!C752),"",'Data Input'!C752)</f>
        <v>8/01/18 1040</v>
      </c>
      <c r="E752" t="str">
        <f>IF(ISBLANK('Data Input'!D752),"",'Data Input'!D752)</f>
        <v>dd - Missing Data</v>
      </c>
      <c r="G752">
        <f>IF(ISBLANK('Data Input'!E752),"",'Data Input'!E752)</f>
        <v>31</v>
      </c>
      <c r="H752" t="str">
        <f>IF(ISBLANK('Data Input'!F752),"",'Data Input'!F752)</f>
        <v>White</v>
      </c>
      <c r="I752" t="str">
        <f>IF(ISBLANK('Data Input'!G752),"",'Data Input'!G752)</f>
        <v>Caesarean</v>
      </c>
      <c r="J752" t="str">
        <f>IF(ISBLANK('Data Input'!I752),"",'Data Input'!I752)</f>
        <v>8=01=18 1155</v>
      </c>
      <c r="K752" t="str">
        <f>IF(ISBLANK('Data Input'!J752),"",'Data Input'!J752)</f>
        <v>tr - Toradol</v>
      </c>
      <c r="L752">
        <f>IF(ISBLANK('Data Input'!K752),"",'Data Input'!K752)</f>
        <v>30</v>
      </c>
      <c r="M752">
        <f>IF(ISBLANK('Data Input'!L752),"",'Data Input'!L752)</f>
        <v>3</v>
      </c>
      <c r="N752">
        <f>IF(ISBLANK('Data Input'!M752),"",'Data Input'!M752)</f>
        <v>0</v>
      </c>
      <c r="O752" t="str">
        <f>IF(ISBLANK('Data Input'!N752),"",'Data Input'!N752)</f>
        <v/>
      </c>
      <c r="P752" t="str">
        <f>IF(ISBLANK('Data Input'!O752),"",'Data Input'!O752)</f>
        <v/>
      </c>
      <c r="Q752" t="str">
        <f>IF(ISBLANK('Data Input'!P752),"",'Data Input'!P752)</f>
        <v>Pt laying in bed in dark room 3 older children in room/ eyes closed + resting @ end of session</v>
      </c>
      <c r="R752" t="b">
        <f>IF(ISBLANK('Data Input'!Q752),"",'Data Input'!Q752)</f>
        <v>1</v>
      </c>
      <c r="T752" s="2">
        <f t="shared" si="46"/>
        <v>43313</v>
      </c>
      <c r="U752" s="12">
        <f t="shared" si="47"/>
        <v>0.44444444444444442</v>
      </c>
      <c r="V752" s="2" t="str">
        <f t="shared" si="48"/>
        <v>dd - Missing Data</v>
      </c>
      <c r="W752" s="12" t="str">
        <f t="shared" si="49"/>
        <v>dd - Missing Data</v>
      </c>
    </row>
    <row r="753" spans="1:23">
      <c r="A753">
        <f>IF(ISBLANK('Data Input'!A753),"",'Data Input'!A753)</f>
        <v>169</v>
      </c>
      <c r="B753" t="str">
        <f>IF(ISBLANK('Data Input'!B753),"",'Data Input'!B753)</f>
        <v>EE010</v>
      </c>
      <c r="C753" t="str">
        <f>IF(ISBLANK('Data Input'!C753),"",'Data Input'!C753)</f>
        <v>8/01/18 1040</v>
      </c>
      <c r="E753" t="str">
        <f>IF(ISBLANK('Data Input'!D753),"",'Data Input'!D753)</f>
        <v>dd - Missing Data</v>
      </c>
      <c r="G753">
        <f>IF(ISBLANK('Data Input'!E753),"",'Data Input'!E753)</f>
        <v>31</v>
      </c>
      <c r="H753" t="str">
        <f>IF(ISBLANK('Data Input'!F753),"",'Data Input'!F753)</f>
        <v>White</v>
      </c>
      <c r="I753" t="str">
        <f>IF(ISBLANK('Data Input'!G753),"",'Data Input'!G753)</f>
        <v>Caesarean</v>
      </c>
      <c r="J753" t="str">
        <f>IF(ISBLANK('Data Input'!I753),"",'Data Input'!I753)</f>
        <v>8=01=18 1827</v>
      </c>
      <c r="K753" t="str">
        <f>IF(ISBLANK('Data Input'!J753),"",'Data Input'!J753)</f>
        <v>tr - Toradol</v>
      </c>
      <c r="L753">
        <f>IF(ISBLANK('Data Input'!K753),"",'Data Input'!K753)</f>
        <v>30</v>
      </c>
      <c r="M753">
        <f>IF(ISBLANK('Data Input'!L753),"",'Data Input'!L753)</f>
        <v>3</v>
      </c>
      <c r="N753">
        <f>IF(ISBLANK('Data Input'!M753),"",'Data Input'!M753)</f>
        <v>2</v>
      </c>
      <c r="O753" t="str">
        <f>IF(ISBLANK('Data Input'!N753),"",'Data Input'!N753)</f>
        <v/>
      </c>
      <c r="P753" t="str">
        <f>IF(ISBLANK('Data Input'!O753),"",'Data Input'!O753)</f>
        <v/>
      </c>
      <c r="Q753" t="str">
        <f>IF(ISBLANK('Data Input'!P753),"",'Data Input'!P753)</f>
        <v/>
      </c>
      <c r="R753" t="b">
        <f>IF(ISBLANK('Data Input'!Q753),"",'Data Input'!Q753)</f>
        <v>1</v>
      </c>
      <c r="T753" s="2">
        <f t="shared" si="46"/>
        <v>43313</v>
      </c>
      <c r="U753" s="12">
        <f t="shared" si="47"/>
        <v>0.44444444444444442</v>
      </c>
      <c r="V753" s="2" t="str">
        <f t="shared" si="48"/>
        <v>dd - Missing Data</v>
      </c>
      <c r="W753" s="12" t="str">
        <f t="shared" si="49"/>
        <v>dd - Missing Data</v>
      </c>
    </row>
    <row r="754" spans="1:23">
      <c r="A754">
        <f>IF(ISBLANK('Data Input'!A754),"",'Data Input'!A754)</f>
        <v>169</v>
      </c>
      <c r="B754" t="str">
        <f>IF(ISBLANK('Data Input'!B754),"",'Data Input'!B754)</f>
        <v>EE010</v>
      </c>
      <c r="C754" t="str">
        <f>IF(ISBLANK('Data Input'!C754),"",'Data Input'!C754)</f>
        <v>8/01/18 1040</v>
      </c>
      <c r="E754" t="str">
        <f>IF(ISBLANK('Data Input'!D754),"",'Data Input'!D754)</f>
        <v>dd - Missing Data</v>
      </c>
      <c r="G754">
        <f>IF(ISBLANK('Data Input'!E754),"",'Data Input'!E754)</f>
        <v>31</v>
      </c>
      <c r="H754" t="str">
        <f>IF(ISBLANK('Data Input'!F754),"",'Data Input'!F754)</f>
        <v>White</v>
      </c>
      <c r="I754" t="str">
        <f>IF(ISBLANK('Data Input'!G754),"",'Data Input'!G754)</f>
        <v>Caesarean</v>
      </c>
      <c r="J754" t="str">
        <f>IF(ISBLANK('Data Input'!I754),"",'Data Input'!I754)</f>
        <v>8=02=18 0049</v>
      </c>
      <c r="K754" t="str">
        <f>IF(ISBLANK('Data Input'!J754),"",'Data Input'!J754)</f>
        <v>tr - Toradol</v>
      </c>
      <c r="L754">
        <f>IF(ISBLANK('Data Input'!K754),"",'Data Input'!K754)</f>
        <v>30</v>
      </c>
      <c r="M754">
        <f>IF(ISBLANK('Data Input'!L754),"",'Data Input'!L754)</f>
        <v>3</v>
      </c>
      <c r="N754">
        <f>IF(ISBLANK('Data Input'!M754),"",'Data Input'!M754)</f>
        <v>0</v>
      </c>
      <c r="O754" t="str">
        <f>IF(ISBLANK('Data Input'!N754),"",'Data Input'!N754)</f>
        <v/>
      </c>
      <c r="P754" t="str">
        <f>IF(ISBLANK('Data Input'!O754),"",'Data Input'!O754)</f>
        <v/>
      </c>
      <c r="Q754" t="str">
        <f>IF(ISBLANK('Data Input'!P754),"",'Data Input'!P754)</f>
        <v/>
      </c>
      <c r="R754" t="b">
        <f>IF(ISBLANK('Data Input'!Q754),"",'Data Input'!Q754)</f>
        <v>1</v>
      </c>
      <c r="T754" s="2">
        <f t="shared" si="46"/>
        <v>43313</v>
      </c>
      <c r="U754" s="12">
        <f t="shared" si="47"/>
        <v>0.44444444444444442</v>
      </c>
      <c r="V754" s="2" t="str">
        <f t="shared" si="48"/>
        <v>dd - Missing Data</v>
      </c>
      <c r="W754" s="12" t="str">
        <f t="shared" si="49"/>
        <v>dd - Missing Data</v>
      </c>
    </row>
    <row r="755" spans="1:23">
      <c r="A755">
        <f>IF(ISBLANK('Data Input'!A755),"",'Data Input'!A755)</f>
        <v>169</v>
      </c>
      <c r="B755" t="str">
        <f>IF(ISBLANK('Data Input'!B755),"",'Data Input'!B755)</f>
        <v>EE010</v>
      </c>
      <c r="C755" t="str">
        <f>IF(ISBLANK('Data Input'!C755),"",'Data Input'!C755)</f>
        <v>8/01/18 1040</v>
      </c>
      <c r="E755" t="str">
        <f>IF(ISBLANK('Data Input'!D755),"",'Data Input'!D755)</f>
        <v>dd - Missing Data</v>
      </c>
      <c r="G755">
        <f>IF(ISBLANK('Data Input'!E755),"",'Data Input'!E755)</f>
        <v>31</v>
      </c>
      <c r="H755" t="str">
        <f>IF(ISBLANK('Data Input'!F755),"",'Data Input'!F755)</f>
        <v>White</v>
      </c>
      <c r="I755" t="str">
        <f>IF(ISBLANK('Data Input'!G755),"",'Data Input'!G755)</f>
        <v>Caesarean</v>
      </c>
      <c r="J755" t="str">
        <f>IF(ISBLANK('Data Input'!I755),"",'Data Input'!I755)</f>
        <v>8=02=18 0651</v>
      </c>
      <c r="K755" t="str">
        <f>IF(ISBLANK('Data Input'!J755),"",'Data Input'!J755)</f>
        <v>tr - Toradol</v>
      </c>
      <c r="L755">
        <f>IF(ISBLANK('Data Input'!K755),"",'Data Input'!K755)</f>
        <v>30</v>
      </c>
      <c r="M755">
        <f>IF(ISBLANK('Data Input'!L755),"",'Data Input'!L755)</f>
        <v>4</v>
      </c>
      <c r="N755">
        <f>IF(ISBLANK('Data Input'!M755),"",'Data Input'!M755)</f>
        <v>0</v>
      </c>
      <c r="O755" t="str">
        <f>IF(ISBLANK('Data Input'!N755),"",'Data Input'!N755)</f>
        <v/>
      </c>
      <c r="P755" t="str">
        <f>IF(ISBLANK('Data Input'!O755),"",'Data Input'!O755)</f>
        <v/>
      </c>
      <c r="Q755" t="str">
        <f>IF(ISBLANK('Data Input'!P755),"",'Data Input'!P755)</f>
        <v/>
      </c>
      <c r="R755" t="b">
        <f>IF(ISBLANK('Data Input'!Q755),"",'Data Input'!Q755)</f>
        <v>1</v>
      </c>
      <c r="T755" s="2">
        <f t="shared" si="46"/>
        <v>43313</v>
      </c>
      <c r="U755" s="12">
        <f t="shared" si="47"/>
        <v>0.44444444444444442</v>
      </c>
      <c r="V755" s="2" t="str">
        <f t="shared" si="48"/>
        <v>dd - Missing Data</v>
      </c>
      <c r="W755" s="12" t="str">
        <f t="shared" si="49"/>
        <v>dd - Missing Data</v>
      </c>
    </row>
    <row r="756" spans="1:23">
      <c r="A756">
        <f>IF(ISBLANK('Data Input'!A756),"",'Data Input'!A756)</f>
        <v>169</v>
      </c>
      <c r="B756" t="str">
        <f>IF(ISBLANK('Data Input'!B756),"",'Data Input'!B756)</f>
        <v>EE010</v>
      </c>
      <c r="C756" t="str">
        <f>IF(ISBLANK('Data Input'!C756),"",'Data Input'!C756)</f>
        <v>8/01/18 1040</v>
      </c>
      <c r="E756" t="str">
        <f>IF(ISBLANK('Data Input'!D756),"",'Data Input'!D756)</f>
        <v>dd - Missing Data</v>
      </c>
      <c r="G756">
        <f>IF(ISBLANK('Data Input'!E756),"",'Data Input'!E756)</f>
        <v>31</v>
      </c>
      <c r="H756" t="str">
        <f>IF(ISBLANK('Data Input'!F756),"",'Data Input'!F756)</f>
        <v>White</v>
      </c>
      <c r="I756" t="str">
        <f>IF(ISBLANK('Data Input'!G756),"",'Data Input'!G756)</f>
        <v>Caesarean</v>
      </c>
      <c r="J756" t="str">
        <f>IF(ISBLANK('Data Input'!I756),"",'Data Input'!I756)</f>
        <v>8=02=18 0937</v>
      </c>
      <c r="K756" t="str">
        <f>IF(ISBLANK('Data Input'!J756),"",'Data Input'!J756)</f>
        <v>rr - Percocet</v>
      </c>
      <c r="L756">
        <f>IF(ISBLANK('Data Input'!K756),"",'Data Input'!K756)</f>
        <v>1</v>
      </c>
      <c r="M756">
        <f>IF(ISBLANK('Data Input'!L756),"",'Data Input'!L756)</f>
        <v>5</v>
      </c>
      <c r="N756">
        <f>IF(ISBLANK('Data Input'!M756),"",'Data Input'!M756)</f>
        <v>1</v>
      </c>
      <c r="O756" t="str">
        <f>IF(ISBLANK('Data Input'!N756),"",'Data Input'!N756)</f>
        <v/>
      </c>
      <c r="P756" t="str">
        <f>IF(ISBLANK('Data Input'!O756),"",'Data Input'!O756)</f>
        <v/>
      </c>
      <c r="Q756" t="str">
        <f>IF(ISBLANK('Data Input'!P756),"",'Data Input'!P756)</f>
        <v/>
      </c>
      <c r="R756" t="b">
        <f>IF(ISBLANK('Data Input'!Q756),"",'Data Input'!Q756)</f>
        <v>1</v>
      </c>
      <c r="T756" s="2">
        <f t="shared" si="46"/>
        <v>43313</v>
      </c>
      <c r="U756" s="12">
        <f t="shared" si="47"/>
        <v>0.44444444444444442</v>
      </c>
      <c r="V756" s="2" t="str">
        <f t="shared" si="48"/>
        <v>dd - Missing Data</v>
      </c>
      <c r="W756" s="12" t="str">
        <f t="shared" si="49"/>
        <v>dd - Missing Data</v>
      </c>
    </row>
    <row r="757" spans="1:23">
      <c r="A757">
        <f>IF(ISBLANK('Data Input'!A757),"",'Data Input'!A757)</f>
        <v>169</v>
      </c>
      <c r="B757" t="str">
        <f>IF(ISBLANK('Data Input'!B757),"",'Data Input'!B757)</f>
        <v>EE010</v>
      </c>
      <c r="C757" t="str">
        <f>IF(ISBLANK('Data Input'!C757),"",'Data Input'!C757)</f>
        <v>8/01/18 1040</v>
      </c>
      <c r="E757" t="str">
        <f>IF(ISBLANK('Data Input'!D757),"",'Data Input'!D757)</f>
        <v>dd - Missing Data</v>
      </c>
      <c r="G757">
        <f>IF(ISBLANK('Data Input'!E757),"",'Data Input'!E757)</f>
        <v>31</v>
      </c>
      <c r="H757" t="str">
        <f>IF(ISBLANK('Data Input'!F757),"",'Data Input'!F757)</f>
        <v>White</v>
      </c>
      <c r="I757" t="str">
        <f>IF(ISBLANK('Data Input'!G757),"",'Data Input'!G757)</f>
        <v>Caesarean</v>
      </c>
      <c r="J757" t="str">
        <f>IF(ISBLANK('Data Input'!I757),"",'Data Input'!I757)</f>
        <v>8=02=18 1055</v>
      </c>
      <c r="K757" t="str">
        <f>IF(ISBLANK('Data Input'!J757),"",'Data Input'!J757)</f>
        <v>dd - Dilaudid</v>
      </c>
      <c r="L757">
        <f>IF(ISBLANK('Data Input'!K757),"",'Data Input'!K757)</f>
        <v>2</v>
      </c>
      <c r="M757">
        <f>IF(ISBLANK('Data Input'!L757),"",'Data Input'!L757)</f>
        <v>5</v>
      </c>
      <c r="N757">
        <f>IF(ISBLANK('Data Input'!M757),"",'Data Input'!M757)</f>
        <v>1</v>
      </c>
      <c r="O757" t="str">
        <f>IF(ISBLANK('Data Input'!N757),"",'Data Input'!N757)</f>
        <v/>
      </c>
      <c r="P757" t="str">
        <f>IF(ISBLANK('Data Input'!O757),"",'Data Input'!O757)</f>
        <v/>
      </c>
      <c r="Q757" t="str">
        <f>IF(ISBLANK('Data Input'!P757),"",'Data Input'!P757)</f>
        <v/>
      </c>
      <c r="R757" t="b">
        <f>IF(ISBLANK('Data Input'!Q757),"",'Data Input'!Q757)</f>
        <v>1</v>
      </c>
      <c r="T757" s="2">
        <f t="shared" si="46"/>
        <v>43313</v>
      </c>
      <c r="U757" s="12">
        <f t="shared" si="47"/>
        <v>0.44444444444444442</v>
      </c>
      <c r="V757" s="2" t="str">
        <f t="shared" si="48"/>
        <v>dd - Missing Data</v>
      </c>
      <c r="W757" s="12" t="str">
        <f t="shared" si="49"/>
        <v>dd - Missing Data</v>
      </c>
    </row>
    <row r="758" spans="1:23">
      <c r="A758">
        <f>IF(ISBLANK('Data Input'!A758),"",'Data Input'!A758)</f>
        <v>169</v>
      </c>
      <c r="B758" t="str">
        <f>IF(ISBLANK('Data Input'!B758),"",'Data Input'!B758)</f>
        <v>EE010</v>
      </c>
      <c r="C758" t="str">
        <f>IF(ISBLANK('Data Input'!C758),"",'Data Input'!C758)</f>
        <v>8/01/18 1040</v>
      </c>
      <c r="E758" t="str">
        <f>IF(ISBLANK('Data Input'!D758),"",'Data Input'!D758)</f>
        <v>dd - Missing Data</v>
      </c>
      <c r="G758">
        <f>IF(ISBLANK('Data Input'!E758),"",'Data Input'!E758)</f>
        <v>31</v>
      </c>
      <c r="H758" t="str">
        <f>IF(ISBLANK('Data Input'!F758),"",'Data Input'!F758)</f>
        <v>White</v>
      </c>
      <c r="I758" t="str">
        <f>IF(ISBLANK('Data Input'!G758),"",'Data Input'!G758)</f>
        <v>Caesarean</v>
      </c>
      <c r="J758" t="str">
        <f>IF(ISBLANK('Data Input'!I758),"",'Data Input'!I758)</f>
        <v>8=02=18 1250</v>
      </c>
      <c r="K758" t="str">
        <f>IF(ISBLANK('Data Input'!J758),"",'Data Input'!J758)</f>
        <v>tr - Toradol</v>
      </c>
      <c r="L758">
        <f>IF(ISBLANK('Data Input'!K758),"",'Data Input'!K758)</f>
        <v>30</v>
      </c>
      <c r="M758">
        <f>IF(ISBLANK('Data Input'!L758),"",'Data Input'!L758)</f>
        <v>6</v>
      </c>
      <c r="N758">
        <f>IF(ISBLANK('Data Input'!M758),"",'Data Input'!M758)</f>
        <v>0</v>
      </c>
      <c r="O758" t="str">
        <f>IF(ISBLANK('Data Input'!N758),"",'Data Input'!N758)</f>
        <v/>
      </c>
      <c r="P758" t="str">
        <f>IF(ISBLANK('Data Input'!O758),"",'Data Input'!O758)</f>
        <v>Is pain rating after medication 0 or 1?</v>
      </c>
      <c r="Q758" t="str">
        <f>IF(ISBLANK('Data Input'!P758),"",'Data Input'!P758)</f>
        <v/>
      </c>
      <c r="R758" t="b">
        <f>IF(ISBLANK('Data Input'!Q758),"",'Data Input'!Q758)</f>
        <v>1</v>
      </c>
      <c r="T758" s="2">
        <f t="shared" si="46"/>
        <v>43313</v>
      </c>
      <c r="U758" s="12">
        <f t="shared" si="47"/>
        <v>0.44444444444444442</v>
      </c>
      <c r="V758" s="2" t="str">
        <f t="shared" si="48"/>
        <v>dd - Missing Data</v>
      </c>
      <c r="W758" s="12" t="str">
        <f t="shared" si="49"/>
        <v>dd - Missing Data</v>
      </c>
    </row>
    <row r="759" spans="1:23">
      <c r="A759">
        <f>IF(ISBLANK('Data Input'!A759),"",'Data Input'!A759)</f>
        <v>169</v>
      </c>
      <c r="B759" t="str">
        <f>IF(ISBLANK('Data Input'!B759),"",'Data Input'!B759)</f>
        <v>EE010</v>
      </c>
      <c r="C759" t="str">
        <f>IF(ISBLANK('Data Input'!C759),"",'Data Input'!C759)</f>
        <v>8/01/18 1040</v>
      </c>
      <c r="E759" t="str">
        <f>IF(ISBLANK('Data Input'!D759),"",'Data Input'!D759)</f>
        <v>dd - Missing Data</v>
      </c>
      <c r="G759">
        <f>IF(ISBLANK('Data Input'!E759),"",'Data Input'!E759)</f>
        <v>31</v>
      </c>
      <c r="H759" t="str">
        <f>IF(ISBLANK('Data Input'!F759),"",'Data Input'!F759)</f>
        <v>White</v>
      </c>
      <c r="I759" t="str">
        <f>IF(ISBLANK('Data Input'!G759),"",'Data Input'!G759)</f>
        <v>Caesarean</v>
      </c>
      <c r="J759" t="str">
        <f>IF(ISBLANK('Data Input'!I759),"",'Data Input'!I759)</f>
        <v>8=02=18 1637</v>
      </c>
      <c r="K759" t="str">
        <f>IF(ISBLANK('Data Input'!J759),"",'Data Input'!J759)</f>
        <v>dd - Dilaudid</v>
      </c>
      <c r="L759">
        <f>IF(ISBLANK('Data Input'!K759),"",'Data Input'!K759)</f>
        <v>2</v>
      </c>
      <c r="M759">
        <f>IF(ISBLANK('Data Input'!L759),"",'Data Input'!L759)</f>
        <v>6</v>
      </c>
      <c r="N759">
        <f>IF(ISBLANK('Data Input'!M759),"",'Data Input'!M759)</f>
        <v>3</v>
      </c>
      <c r="O759" t="str">
        <f>IF(ISBLANK('Data Input'!N759),"",'Data Input'!N759)</f>
        <v/>
      </c>
      <c r="P759" t="str">
        <f>IF(ISBLANK('Data Input'!O759),"",'Data Input'!O759)</f>
        <v/>
      </c>
      <c r="Q759" t="str">
        <f>IF(ISBLANK('Data Input'!P759),"",'Data Input'!P759)</f>
        <v/>
      </c>
      <c r="R759" t="b">
        <f>IF(ISBLANK('Data Input'!Q759),"",'Data Input'!Q759)</f>
        <v>1</v>
      </c>
      <c r="T759" s="2">
        <f t="shared" si="46"/>
        <v>43313</v>
      </c>
      <c r="U759" s="12">
        <f t="shared" si="47"/>
        <v>0.44444444444444442</v>
      </c>
      <c r="V759" s="2" t="str">
        <f t="shared" si="48"/>
        <v>dd - Missing Data</v>
      </c>
      <c r="W759" s="12" t="str">
        <f t="shared" si="49"/>
        <v>dd - Missing Data</v>
      </c>
    </row>
    <row r="760" spans="1:23">
      <c r="A760">
        <f>IF(ISBLANK('Data Input'!A760),"",'Data Input'!A760)</f>
        <v>169</v>
      </c>
      <c r="B760" t="str">
        <f>IF(ISBLANK('Data Input'!B760),"",'Data Input'!B760)</f>
        <v>EE010</v>
      </c>
      <c r="C760" t="str">
        <f>IF(ISBLANK('Data Input'!C760),"",'Data Input'!C760)</f>
        <v>8/01/18 1040</v>
      </c>
      <c r="E760" t="str">
        <f>IF(ISBLANK('Data Input'!D760),"",'Data Input'!D760)</f>
        <v>dd - Missing Data</v>
      </c>
      <c r="G760">
        <f>IF(ISBLANK('Data Input'!E760),"",'Data Input'!E760)</f>
        <v>31</v>
      </c>
      <c r="H760" t="str">
        <f>IF(ISBLANK('Data Input'!F760),"",'Data Input'!F760)</f>
        <v>White</v>
      </c>
      <c r="I760" t="str">
        <f>IF(ISBLANK('Data Input'!G760),"",'Data Input'!G760)</f>
        <v>Caesarean</v>
      </c>
      <c r="J760" t="str">
        <f>IF(ISBLANK('Data Input'!I760),"",'Data Input'!I760)</f>
        <v>8=02=18 1818</v>
      </c>
      <c r="K760" t="str">
        <f>IF(ISBLANK('Data Input'!J760),"",'Data Input'!J760)</f>
        <v>tr - Toradol</v>
      </c>
      <c r="L760">
        <f>IF(ISBLANK('Data Input'!K760),"",'Data Input'!K760)</f>
        <v>30</v>
      </c>
      <c r="M760">
        <f>IF(ISBLANK('Data Input'!L760),"",'Data Input'!L760)</f>
        <v>4</v>
      </c>
      <c r="N760">
        <f>IF(ISBLANK('Data Input'!M760),"",'Data Input'!M760)</f>
        <v>0</v>
      </c>
      <c r="O760" t="str">
        <f>IF(ISBLANK('Data Input'!N760),"",'Data Input'!N760)</f>
        <v/>
      </c>
      <c r="P760" t="str">
        <f>IF(ISBLANK('Data Input'!O760),"",'Data Input'!O760)</f>
        <v/>
      </c>
      <c r="Q760" t="str">
        <f>IF(ISBLANK('Data Input'!P760),"",'Data Input'!P760)</f>
        <v/>
      </c>
      <c r="R760" t="b">
        <f>IF(ISBLANK('Data Input'!Q760),"",'Data Input'!Q760)</f>
        <v>1</v>
      </c>
      <c r="T760" s="2">
        <f t="shared" si="46"/>
        <v>43313</v>
      </c>
      <c r="U760" s="12">
        <f t="shared" si="47"/>
        <v>0.44444444444444442</v>
      </c>
      <c r="V760" s="2" t="str">
        <f t="shared" si="48"/>
        <v>dd - Missing Data</v>
      </c>
      <c r="W760" s="12" t="str">
        <f t="shared" si="49"/>
        <v>dd - Missing Data</v>
      </c>
    </row>
    <row r="761" spans="1:23">
      <c r="A761">
        <f>IF(ISBLANK('Data Input'!A761),"",'Data Input'!A761)</f>
        <v>169</v>
      </c>
      <c r="B761" t="str">
        <f>IF(ISBLANK('Data Input'!B761),"",'Data Input'!B761)</f>
        <v>EE010</v>
      </c>
      <c r="C761" t="str">
        <f>IF(ISBLANK('Data Input'!C761),"",'Data Input'!C761)</f>
        <v>8/01/18 1040</v>
      </c>
      <c r="E761" t="str">
        <f>IF(ISBLANK('Data Input'!D761),"",'Data Input'!D761)</f>
        <v>dd - Missing Data</v>
      </c>
      <c r="G761">
        <f>IF(ISBLANK('Data Input'!E761),"",'Data Input'!E761)</f>
        <v>31</v>
      </c>
      <c r="H761" t="str">
        <f>IF(ISBLANK('Data Input'!F761),"",'Data Input'!F761)</f>
        <v>White</v>
      </c>
      <c r="I761" t="str">
        <f>IF(ISBLANK('Data Input'!G761),"",'Data Input'!G761)</f>
        <v>Caesarean</v>
      </c>
      <c r="J761" t="str">
        <f>IF(ISBLANK('Data Input'!I761),"",'Data Input'!I761)</f>
        <v>8=02=18 2221</v>
      </c>
      <c r="K761" t="str">
        <f>IF(ISBLANK('Data Input'!J761),"",'Data Input'!J761)</f>
        <v>dd - Dilaudid</v>
      </c>
      <c r="L761">
        <f>IF(ISBLANK('Data Input'!K761),"",'Data Input'!K761)</f>
        <v>2</v>
      </c>
      <c r="M761">
        <f>IF(ISBLANK('Data Input'!L761),"",'Data Input'!L761)</f>
        <v>4</v>
      </c>
      <c r="N761">
        <f>IF(ISBLANK('Data Input'!M761),"",'Data Input'!M761)</f>
        <v>0</v>
      </c>
      <c r="O761" t="str">
        <f>IF(ISBLANK('Data Input'!N761),"",'Data Input'!N761)</f>
        <v/>
      </c>
      <c r="P761" t="str">
        <f>IF(ISBLANK('Data Input'!O761),"",'Data Input'!O761)</f>
        <v/>
      </c>
      <c r="Q761" t="str">
        <f>IF(ISBLANK('Data Input'!P761),"",'Data Input'!P761)</f>
        <v/>
      </c>
      <c r="R761" t="b">
        <f>IF(ISBLANK('Data Input'!Q761),"",'Data Input'!Q761)</f>
        <v>1</v>
      </c>
      <c r="T761" s="2">
        <f t="shared" si="46"/>
        <v>43313</v>
      </c>
      <c r="U761" s="12">
        <f t="shared" si="47"/>
        <v>0.44444444444444442</v>
      </c>
      <c r="V761" s="2" t="str">
        <f t="shared" si="48"/>
        <v>dd - Missing Data</v>
      </c>
      <c r="W761" s="12" t="str">
        <f t="shared" si="49"/>
        <v>dd - Missing Data</v>
      </c>
    </row>
    <row r="762" spans="1:23">
      <c r="A762">
        <f>IF(ISBLANK('Data Input'!A762),"",'Data Input'!A762)</f>
        <v>169</v>
      </c>
      <c r="B762" t="str">
        <f>IF(ISBLANK('Data Input'!B762),"",'Data Input'!B762)</f>
        <v>EE010</v>
      </c>
      <c r="C762" t="str">
        <f>IF(ISBLANK('Data Input'!C762),"",'Data Input'!C762)</f>
        <v>8/01/18 1040</v>
      </c>
      <c r="E762" t="str">
        <f>IF(ISBLANK('Data Input'!D762),"",'Data Input'!D762)</f>
        <v>dd - Missing Data</v>
      </c>
      <c r="G762">
        <f>IF(ISBLANK('Data Input'!E762),"",'Data Input'!E762)</f>
        <v>31</v>
      </c>
      <c r="H762" t="str">
        <f>IF(ISBLANK('Data Input'!F762),"",'Data Input'!F762)</f>
        <v>White</v>
      </c>
      <c r="I762" t="str">
        <f>IF(ISBLANK('Data Input'!G762),"",'Data Input'!G762)</f>
        <v>Caesarean</v>
      </c>
      <c r="J762" t="str">
        <f>IF(ISBLANK('Data Input'!I762),"",'Data Input'!I762)</f>
        <v>8=03=18 0139</v>
      </c>
      <c r="K762" t="str">
        <f>IF(ISBLANK('Data Input'!J762),"",'Data Input'!J762)</f>
        <v>bb - Ibuprofen</v>
      </c>
      <c r="L762">
        <f>IF(ISBLANK('Data Input'!K762),"",'Data Input'!K762)</f>
        <v>800</v>
      </c>
      <c r="M762">
        <f>IF(ISBLANK('Data Input'!L762),"",'Data Input'!L762)</f>
        <v>8</v>
      </c>
      <c r="N762">
        <f>IF(ISBLANK('Data Input'!M762),"",'Data Input'!M762)</f>
        <v>0</v>
      </c>
      <c r="O762" t="str">
        <f>IF(ISBLANK('Data Input'!N762),"",'Data Input'!N762)</f>
        <v/>
      </c>
      <c r="P762" t="str">
        <f>IF(ISBLANK('Data Input'!O762),"",'Data Input'!O762)</f>
        <v/>
      </c>
      <c r="Q762" t="str">
        <f>IF(ISBLANK('Data Input'!P762),"",'Data Input'!P762)</f>
        <v/>
      </c>
      <c r="R762" t="b">
        <f>IF(ISBLANK('Data Input'!Q762),"",'Data Input'!Q762)</f>
        <v>1</v>
      </c>
      <c r="T762" s="2">
        <f t="shared" si="46"/>
        <v>43313</v>
      </c>
      <c r="U762" s="12">
        <f t="shared" si="47"/>
        <v>0.44444444444444442</v>
      </c>
      <c r="V762" s="2" t="str">
        <f t="shared" si="48"/>
        <v>dd - Missing Data</v>
      </c>
      <c r="W762" s="12" t="str">
        <f t="shared" si="49"/>
        <v>dd - Missing Data</v>
      </c>
    </row>
    <row r="763" spans="1:23">
      <c r="A763">
        <f>IF(ISBLANK('Data Input'!A763),"",'Data Input'!A763)</f>
        <v>169</v>
      </c>
      <c r="B763" t="str">
        <f>IF(ISBLANK('Data Input'!B763),"",'Data Input'!B763)</f>
        <v>EE010</v>
      </c>
      <c r="C763" t="str">
        <f>IF(ISBLANK('Data Input'!C763),"",'Data Input'!C763)</f>
        <v>8/01/18 1040</v>
      </c>
      <c r="E763" t="str">
        <f>IF(ISBLANK('Data Input'!D763),"",'Data Input'!D763)</f>
        <v>dd - Missing Data</v>
      </c>
      <c r="G763">
        <f>IF(ISBLANK('Data Input'!E763),"",'Data Input'!E763)</f>
        <v>31</v>
      </c>
      <c r="H763" t="str">
        <f>IF(ISBLANK('Data Input'!F763),"",'Data Input'!F763)</f>
        <v>White</v>
      </c>
      <c r="I763" t="str">
        <f>IF(ISBLANK('Data Input'!G763),"",'Data Input'!G763)</f>
        <v>Caesarean</v>
      </c>
      <c r="J763" t="str">
        <f>IF(ISBLANK('Data Input'!I763),"",'Data Input'!I763)</f>
        <v>8=03=18 0408</v>
      </c>
      <c r="K763" t="str">
        <f>IF(ISBLANK('Data Input'!J763),"",'Data Input'!J763)</f>
        <v>dd - Dilaudid</v>
      </c>
      <c r="L763">
        <f>IF(ISBLANK('Data Input'!K763),"",'Data Input'!K763)</f>
        <v>2</v>
      </c>
      <c r="M763">
        <f>IF(ISBLANK('Data Input'!L763),"",'Data Input'!L763)</f>
        <v>4</v>
      </c>
      <c r="N763">
        <f>IF(ISBLANK('Data Input'!M763),"",'Data Input'!M763)</f>
        <v>0</v>
      </c>
      <c r="O763" t="str">
        <f>IF(ISBLANK('Data Input'!N763),"",'Data Input'!N763)</f>
        <v/>
      </c>
      <c r="P763" t="str">
        <f>IF(ISBLANK('Data Input'!O763),"",'Data Input'!O763)</f>
        <v/>
      </c>
      <c r="Q763" t="str">
        <f>IF(ISBLANK('Data Input'!P763),"",'Data Input'!P763)</f>
        <v/>
      </c>
      <c r="R763" t="b">
        <f>IF(ISBLANK('Data Input'!Q763),"",'Data Input'!Q763)</f>
        <v>1</v>
      </c>
      <c r="T763" s="2">
        <f t="shared" si="46"/>
        <v>43313</v>
      </c>
      <c r="U763" s="12">
        <f t="shared" si="47"/>
        <v>0.44444444444444442</v>
      </c>
      <c r="V763" s="2" t="str">
        <f t="shared" si="48"/>
        <v>dd - Missing Data</v>
      </c>
      <c r="W763" s="12" t="str">
        <f t="shared" si="49"/>
        <v>dd - Missing Data</v>
      </c>
    </row>
    <row r="764" spans="1:23">
      <c r="A764">
        <f>IF(ISBLANK('Data Input'!A764),"",'Data Input'!A764)</f>
        <v>169</v>
      </c>
      <c r="B764" t="str">
        <f>IF(ISBLANK('Data Input'!B764),"",'Data Input'!B764)</f>
        <v>EE010</v>
      </c>
      <c r="C764" t="str">
        <f>IF(ISBLANK('Data Input'!C764),"",'Data Input'!C764)</f>
        <v>8/01/18 1040</v>
      </c>
      <c r="E764" t="str">
        <f>IF(ISBLANK('Data Input'!D764),"",'Data Input'!D764)</f>
        <v>dd - Missing Data</v>
      </c>
      <c r="G764">
        <f>IF(ISBLANK('Data Input'!E764),"",'Data Input'!E764)</f>
        <v>31</v>
      </c>
      <c r="H764" t="str">
        <f>IF(ISBLANK('Data Input'!F764),"",'Data Input'!F764)</f>
        <v>White</v>
      </c>
      <c r="I764" t="str">
        <f>IF(ISBLANK('Data Input'!G764),"",'Data Input'!G764)</f>
        <v>Caesarean</v>
      </c>
      <c r="J764" t="str">
        <f>IF(ISBLANK('Data Input'!I764),"",'Data Input'!I764)</f>
        <v>8=03=18 1000</v>
      </c>
      <c r="K764" t="str">
        <f>IF(ISBLANK('Data Input'!J764),"",'Data Input'!J764)</f>
        <v>dd - Dilaudid</v>
      </c>
      <c r="L764">
        <f>IF(ISBLANK('Data Input'!K764),"",'Data Input'!K764)</f>
        <v>2</v>
      </c>
      <c r="M764">
        <f>IF(ISBLANK('Data Input'!L764),"",'Data Input'!L764)</f>
        <v>5</v>
      </c>
      <c r="N764">
        <f>IF(ISBLANK('Data Input'!M764),"",'Data Input'!M764)</f>
        <v>0</v>
      </c>
      <c r="O764" t="str">
        <f>IF(ISBLANK('Data Input'!N764),"",'Data Input'!N764)</f>
        <v/>
      </c>
      <c r="P764" t="str">
        <f>IF(ISBLANK('Data Input'!O764),"",'Data Input'!O764)</f>
        <v/>
      </c>
      <c r="Q764" t="str">
        <f>IF(ISBLANK('Data Input'!P764),"",'Data Input'!P764)</f>
        <v/>
      </c>
      <c r="R764" t="b">
        <f>IF(ISBLANK('Data Input'!Q764),"",'Data Input'!Q764)</f>
        <v>1</v>
      </c>
      <c r="T764" s="2">
        <f t="shared" si="46"/>
        <v>43313</v>
      </c>
      <c r="U764" s="12">
        <f t="shared" si="47"/>
        <v>0.44444444444444442</v>
      </c>
      <c r="V764" s="2" t="str">
        <f t="shared" si="48"/>
        <v>dd - Missing Data</v>
      </c>
      <c r="W764" s="12" t="str">
        <f t="shared" si="49"/>
        <v>dd - Missing Data</v>
      </c>
    </row>
    <row r="765" spans="1:23">
      <c r="A765">
        <f>IF(ISBLANK('Data Input'!A765),"",'Data Input'!A765)</f>
        <v>169</v>
      </c>
      <c r="B765" t="str">
        <f>IF(ISBLANK('Data Input'!B765),"",'Data Input'!B765)</f>
        <v>EE010</v>
      </c>
      <c r="C765" t="str">
        <f>IF(ISBLANK('Data Input'!C765),"",'Data Input'!C765)</f>
        <v>8/01/18 1040</v>
      </c>
      <c r="E765" t="str">
        <f>IF(ISBLANK('Data Input'!D765),"",'Data Input'!D765)</f>
        <v>dd - Missing Data</v>
      </c>
      <c r="G765">
        <f>IF(ISBLANK('Data Input'!E765),"",'Data Input'!E765)</f>
        <v>31</v>
      </c>
      <c r="H765" t="str">
        <f>IF(ISBLANK('Data Input'!F765),"",'Data Input'!F765)</f>
        <v>White</v>
      </c>
      <c r="I765" t="str">
        <f>IF(ISBLANK('Data Input'!G765),"",'Data Input'!G765)</f>
        <v>Caesarean</v>
      </c>
      <c r="J765" t="str">
        <f>IF(ISBLANK('Data Input'!I765),"",'Data Input'!I765)</f>
        <v>8=03=18 1000</v>
      </c>
      <c r="K765" t="str">
        <f>IF(ISBLANK('Data Input'!J765),"",'Data Input'!J765)</f>
        <v>bb - Ibuprofen</v>
      </c>
      <c r="L765">
        <f>IF(ISBLANK('Data Input'!K765),"",'Data Input'!K765)</f>
        <v>800</v>
      </c>
      <c r="M765">
        <f>IF(ISBLANK('Data Input'!L765),"",'Data Input'!L765)</f>
        <v>5</v>
      </c>
      <c r="N765">
        <f>IF(ISBLANK('Data Input'!M765),"",'Data Input'!M765)</f>
        <v>0</v>
      </c>
      <c r="O765" t="str">
        <f>IF(ISBLANK('Data Input'!N765),"",'Data Input'!N765)</f>
        <v/>
      </c>
      <c r="P765" t="str">
        <f>IF(ISBLANK('Data Input'!O765),"",'Data Input'!O765)</f>
        <v/>
      </c>
      <c r="Q765" t="str">
        <f>IF(ISBLANK('Data Input'!P765),"",'Data Input'!P765)</f>
        <v/>
      </c>
      <c r="R765" t="b">
        <f>IF(ISBLANK('Data Input'!Q765),"",'Data Input'!Q765)</f>
        <v>1</v>
      </c>
      <c r="T765" s="2">
        <f t="shared" si="46"/>
        <v>43313</v>
      </c>
      <c r="U765" s="12">
        <f t="shared" si="47"/>
        <v>0.44444444444444442</v>
      </c>
      <c r="V765" s="2" t="str">
        <f t="shared" si="48"/>
        <v>dd - Missing Data</v>
      </c>
      <c r="W765" s="12" t="str">
        <f t="shared" si="49"/>
        <v>dd - Missing Data</v>
      </c>
    </row>
    <row r="766" spans="1:23">
      <c r="A766">
        <f>IF(ISBLANK('Data Input'!A766),"",'Data Input'!A766)</f>
        <v>170</v>
      </c>
      <c r="B766" t="str">
        <f>IF(ISBLANK('Data Input'!B766),"",'Data Input'!B766)</f>
        <v>LB011</v>
      </c>
      <c r="C766" t="str">
        <f>IF(ISBLANK('Data Input'!C766),"",'Data Input'!C766)</f>
        <v>8=1=18 1800</v>
      </c>
      <c r="E766" t="str">
        <f>IF(ISBLANK('Data Input'!D766),"",'Data Input'!D766)</f>
        <v>8=3=18 1418</v>
      </c>
      <c r="G766">
        <f>IF(ISBLANK('Data Input'!E766),"",'Data Input'!E766)</f>
        <v>42</v>
      </c>
      <c r="H766" t="str">
        <f>IF(ISBLANK('Data Input'!F766),"",'Data Input'!F766)</f>
        <v>White</v>
      </c>
      <c r="I766" t="str">
        <f>IF(ISBLANK('Data Input'!G766),"",'Data Input'!G766)</f>
        <v>SVD</v>
      </c>
      <c r="J766" t="str">
        <f>IF(ISBLANK('Data Input'!I766),"",'Data Input'!I766)</f>
        <v>8=1=18 2053</v>
      </c>
      <c r="K766" t="str">
        <f>IF(ISBLANK('Data Input'!J766),"",'Data Input'!J766)</f>
        <v>tt - Tylenol</v>
      </c>
      <c r="L766">
        <f>IF(ISBLANK('Data Input'!K766),"",'Data Input'!K766)</f>
        <v>650</v>
      </c>
      <c r="M766">
        <f>IF(ISBLANK('Data Input'!L766),"",'Data Input'!L766)</f>
        <v>5</v>
      </c>
      <c r="N766">
        <f>IF(ISBLANK('Data Input'!M766),"",'Data Input'!M766)</f>
        <v>4</v>
      </c>
      <c r="O766" t="str">
        <f>IF(ISBLANK('Data Input'!N766),"",'Data Input'!N766)</f>
        <v/>
      </c>
      <c r="P766" t="str">
        <f>IF(ISBLANK('Data Input'!O766),"",'Data Input'!O766)</f>
        <v/>
      </c>
      <c r="Q766" t="str">
        <f>IF(ISBLANK('Data Input'!P766),"",'Data Input'!P766)</f>
        <v/>
      </c>
      <c r="R766" t="b">
        <f>IF(ISBLANK('Data Input'!Q766),"",'Data Input'!Q766)</f>
        <v>0</v>
      </c>
      <c r="T766" s="2" t="e">
        <f t="shared" si="46"/>
        <v>#VALUE!</v>
      </c>
      <c r="U766" s="12">
        <f t="shared" si="47"/>
        <v>0.75</v>
      </c>
      <c r="V766" s="2" t="str">
        <f t="shared" si="48"/>
        <v>8=3=18 1418</v>
      </c>
      <c r="W766" s="12">
        <f t="shared" si="49"/>
        <v>0.59583333333333333</v>
      </c>
    </row>
    <row r="767" spans="1:23">
      <c r="A767">
        <f>IF(ISBLANK('Data Input'!A767),"",'Data Input'!A767)</f>
        <v>170</v>
      </c>
      <c r="B767" t="str">
        <f>IF(ISBLANK('Data Input'!B767),"",'Data Input'!B767)</f>
        <v>LB011</v>
      </c>
      <c r="C767" t="str">
        <f>IF(ISBLANK('Data Input'!C767),"",'Data Input'!C767)</f>
        <v>8=1=18 1800</v>
      </c>
      <c r="E767" t="str">
        <f>IF(ISBLANK('Data Input'!D767),"",'Data Input'!D767)</f>
        <v>8=3=18 1418</v>
      </c>
      <c r="G767">
        <f>IF(ISBLANK('Data Input'!E767),"",'Data Input'!E767)</f>
        <v>42</v>
      </c>
      <c r="H767" t="str">
        <f>IF(ISBLANK('Data Input'!F767),"",'Data Input'!F767)</f>
        <v>White</v>
      </c>
      <c r="I767" t="str">
        <f>IF(ISBLANK('Data Input'!G767),"",'Data Input'!G767)</f>
        <v>SVD</v>
      </c>
      <c r="J767" t="str">
        <f>IF(ISBLANK('Data Input'!I767),"",'Data Input'!I767)</f>
        <v>8=1=18 2259</v>
      </c>
      <c r="K767" t="str">
        <f>IF(ISBLANK('Data Input'!J767),"",'Data Input'!J767)</f>
        <v>bb - Ibuprofen</v>
      </c>
      <c r="L767">
        <f>IF(ISBLANK('Data Input'!K767),"",'Data Input'!K767)</f>
        <v>800</v>
      </c>
      <c r="M767">
        <f>IF(ISBLANK('Data Input'!L767),"",'Data Input'!L767)</f>
        <v>8</v>
      </c>
      <c r="N767">
        <f>IF(ISBLANK('Data Input'!M767),"",'Data Input'!M767)</f>
        <v>4</v>
      </c>
      <c r="O767" t="str">
        <f>IF(ISBLANK('Data Input'!N767),"",'Data Input'!N767)</f>
        <v/>
      </c>
      <c r="P767" t="str">
        <f>IF(ISBLANK('Data Input'!O767),"",'Data Input'!O767)</f>
        <v/>
      </c>
      <c r="Q767" t="str">
        <f>IF(ISBLANK('Data Input'!P767),"",'Data Input'!P767)</f>
        <v/>
      </c>
      <c r="R767" t="b">
        <f>IF(ISBLANK('Data Input'!Q767),"",'Data Input'!Q767)</f>
        <v>0</v>
      </c>
      <c r="T767" s="2" t="e">
        <f t="shared" si="46"/>
        <v>#VALUE!</v>
      </c>
      <c r="U767" s="12">
        <f t="shared" si="47"/>
        <v>0.75</v>
      </c>
      <c r="V767" s="2" t="str">
        <f t="shared" si="48"/>
        <v>8=3=18 1418</v>
      </c>
      <c r="W767" s="12">
        <f t="shared" si="49"/>
        <v>0.59583333333333333</v>
      </c>
    </row>
    <row r="768" spans="1:23">
      <c r="A768">
        <f>IF(ISBLANK('Data Input'!A768),"",'Data Input'!A768)</f>
        <v>170</v>
      </c>
      <c r="B768" t="str">
        <f>IF(ISBLANK('Data Input'!B768),"",'Data Input'!B768)</f>
        <v>LB011</v>
      </c>
      <c r="C768" t="str">
        <f>IF(ISBLANK('Data Input'!C768),"",'Data Input'!C768)</f>
        <v>8=1=18 1800</v>
      </c>
      <c r="E768" t="str">
        <f>IF(ISBLANK('Data Input'!D768),"",'Data Input'!D768)</f>
        <v>8=3=18 1418</v>
      </c>
      <c r="G768">
        <f>IF(ISBLANK('Data Input'!E768),"",'Data Input'!E768)</f>
        <v>42</v>
      </c>
      <c r="H768" t="str">
        <f>IF(ISBLANK('Data Input'!F768),"",'Data Input'!F768)</f>
        <v>White</v>
      </c>
      <c r="I768" t="str">
        <f>IF(ISBLANK('Data Input'!G768),"",'Data Input'!G768)</f>
        <v>SVD</v>
      </c>
      <c r="J768" t="str">
        <f>IF(ISBLANK('Data Input'!I768),"",'Data Input'!I768)</f>
        <v>8=2=18 0549</v>
      </c>
      <c r="K768" t="str">
        <f>IF(ISBLANK('Data Input'!J768),"",'Data Input'!J768)</f>
        <v>bb - Ibuprofen</v>
      </c>
      <c r="L768">
        <f>IF(ISBLANK('Data Input'!K768),"",'Data Input'!K768)</f>
        <v>800</v>
      </c>
      <c r="M768">
        <f>IF(ISBLANK('Data Input'!L768),"",'Data Input'!L768)</f>
        <v>6</v>
      </c>
      <c r="N768">
        <f>IF(ISBLANK('Data Input'!M768),"",'Data Input'!M768)</f>
        <v>2</v>
      </c>
      <c r="O768" t="str">
        <f>IF(ISBLANK('Data Input'!N768),"",'Data Input'!N768)</f>
        <v/>
      </c>
      <c r="P768" t="str">
        <f>IF(ISBLANK('Data Input'!O768),"",'Data Input'!O768)</f>
        <v/>
      </c>
      <c r="Q768" t="str">
        <f>IF(ISBLANK('Data Input'!P768),"",'Data Input'!P768)</f>
        <v/>
      </c>
      <c r="R768" t="b">
        <f>IF(ISBLANK('Data Input'!Q768),"",'Data Input'!Q768)</f>
        <v>0</v>
      </c>
      <c r="T768" s="2" t="e">
        <f t="shared" si="46"/>
        <v>#VALUE!</v>
      </c>
      <c r="U768" s="12">
        <f t="shared" si="47"/>
        <v>0.75</v>
      </c>
      <c r="V768" s="2" t="str">
        <f t="shared" si="48"/>
        <v>8=3=18 1418</v>
      </c>
      <c r="W768" s="12">
        <f t="shared" si="49"/>
        <v>0.59583333333333333</v>
      </c>
    </row>
    <row r="769" spans="1:23">
      <c r="A769">
        <f>IF(ISBLANK('Data Input'!A769),"",'Data Input'!A769)</f>
        <v>170</v>
      </c>
      <c r="B769" t="str">
        <f>IF(ISBLANK('Data Input'!B769),"",'Data Input'!B769)</f>
        <v>LB011</v>
      </c>
      <c r="C769" t="str">
        <f>IF(ISBLANK('Data Input'!C769),"",'Data Input'!C769)</f>
        <v>8=1=18 1800</v>
      </c>
      <c r="E769" t="str">
        <f>IF(ISBLANK('Data Input'!D769),"",'Data Input'!D769)</f>
        <v>8=3=18 1418</v>
      </c>
      <c r="G769">
        <f>IF(ISBLANK('Data Input'!E769),"",'Data Input'!E769)</f>
        <v>42</v>
      </c>
      <c r="H769" t="str">
        <f>IF(ISBLANK('Data Input'!F769),"",'Data Input'!F769)</f>
        <v>White</v>
      </c>
      <c r="I769" t="str">
        <f>IF(ISBLANK('Data Input'!G769),"",'Data Input'!G769)</f>
        <v>SVD</v>
      </c>
      <c r="J769" t="str">
        <f>IF(ISBLANK('Data Input'!I769),"",'Data Input'!I769)</f>
        <v>8=2=18 1130</v>
      </c>
      <c r="K769" t="str">
        <f>IF(ISBLANK('Data Input'!J769),"",'Data Input'!J769)</f>
        <v>tt - Tylenol</v>
      </c>
      <c r="L769">
        <f>IF(ISBLANK('Data Input'!K769),"",'Data Input'!K769)</f>
        <v>650</v>
      </c>
      <c r="M769">
        <f>IF(ISBLANK('Data Input'!L769),"",'Data Input'!L769)</f>
        <v>5</v>
      </c>
      <c r="N769">
        <f>IF(ISBLANK('Data Input'!M769),"",'Data Input'!M769)</f>
        <v>3</v>
      </c>
      <c r="O769" t="str">
        <f>IF(ISBLANK('Data Input'!N769),"",'Data Input'!N769)</f>
        <v/>
      </c>
      <c r="P769" t="str">
        <f>IF(ISBLANK('Data Input'!O769),"",'Data Input'!O769)</f>
        <v/>
      </c>
      <c r="Q769" t="str">
        <f>IF(ISBLANK('Data Input'!P769),"",'Data Input'!P769)</f>
        <v/>
      </c>
      <c r="R769" t="b">
        <f>IF(ISBLANK('Data Input'!Q769),"",'Data Input'!Q769)</f>
        <v>0</v>
      </c>
      <c r="T769" s="2" t="e">
        <f t="shared" si="46"/>
        <v>#VALUE!</v>
      </c>
      <c r="U769" s="12">
        <f t="shared" si="47"/>
        <v>0.75</v>
      </c>
      <c r="V769" s="2" t="str">
        <f t="shared" si="48"/>
        <v>8=3=18 1418</v>
      </c>
      <c r="W769" s="12">
        <f t="shared" si="49"/>
        <v>0.59583333333333333</v>
      </c>
    </row>
    <row r="770" spans="1:23">
      <c r="A770">
        <f>IF(ISBLANK('Data Input'!A770),"",'Data Input'!A770)</f>
        <v>170</v>
      </c>
      <c r="B770" t="str">
        <f>IF(ISBLANK('Data Input'!B770),"",'Data Input'!B770)</f>
        <v>LB011</v>
      </c>
      <c r="C770" t="str">
        <f>IF(ISBLANK('Data Input'!C770),"",'Data Input'!C770)</f>
        <v>8=1=18 1800</v>
      </c>
      <c r="E770" t="str">
        <f>IF(ISBLANK('Data Input'!D770),"",'Data Input'!D770)</f>
        <v>8=3=18 1418</v>
      </c>
      <c r="G770">
        <f>IF(ISBLANK('Data Input'!E770),"",'Data Input'!E770)</f>
        <v>42</v>
      </c>
      <c r="H770" t="str">
        <f>IF(ISBLANK('Data Input'!F770),"",'Data Input'!F770)</f>
        <v>White</v>
      </c>
      <c r="I770" t="str">
        <f>IF(ISBLANK('Data Input'!G770),"",'Data Input'!G770)</f>
        <v>SVD</v>
      </c>
      <c r="J770" t="str">
        <f>IF(ISBLANK('Data Input'!I770),"",'Data Input'!I770)</f>
        <v>8=2=18 1202</v>
      </c>
      <c r="K770" t="str">
        <f>IF(ISBLANK('Data Input'!J770),"",'Data Input'!J770)</f>
        <v>bb - Ibuprofen</v>
      </c>
      <c r="L770">
        <f>IF(ISBLANK('Data Input'!K770),"",'Data Input'!K770)</f>
        <v>800</v>
      </c>
      <c r="M770">
        <f>IF(ISBLANK('Data Input'!L770),"",'Data Input'!L770)</f>
        <v>4</v>
      </c>
      <c r="N770">
        <f>IF(ISBLANK('Data Input'!M770),"",'Data Input'!M770)</f>
        <v>2</v>
      </c>
      <c r="O770" t="str">
        <f>IF(ISBLANK('Data Input'!N770),"",'Data Input'!N770)</f>
        <v/>
      </c>
      <c r="P770" t="str">
        <f>IF(ISBLANK('Data Input'!O770),"",'Data Input'!O770)</f>
        <v/>
      </c>
      <c r="Q770" t="str">
        <f>IF(ISBLANK('Data Input'!P770),"",'Data Input'!P770)</f>
        <v/>
      </c>
      <c r="R770" t="b">
        <f>IF(ISBLANK('Data Input'!Q770),"",'Data Input'!Q770)</f>
        <v>0</v>
      </c>
      <c r="T770" s="2" t="e">
        <f t="shared" si="46"/>
        <v>#VALUE!</v>
      </c>
      <c r="U770" s="12">
        <f t="shared" si="47"/>
        <v>0.75</v>
      </c>
      <c r="V770" s="2" t="str">
        <f t="shared" si="48"/>
        <v>8=3=18 1418</v>
      </c>
      <c r="W770" s="12">
        <f t="shared" si="49"/>
        <v>0.59583333333333333</v>
      </c>
    </row>
    <row r="771" spans="1:23">
      <c r="A771">
        <f>IF(ISBLANK('Data Input'!A771),"",'Data Input'!A771)</f>
        <v>170</v>
      </c>
      <c r="B771" t="str">
        <f>IF(ISBLANK('Data Input'!B771),"",'Data Input'!B771)</f>
        <v>LB011</v>
      </c>
      <c r="C771" t="str">
        <f>IF(ISBLANK('Data Input'!C771),"",'Data Input'!C771)</f>
        <v>8=1=18 1800</v>
      </c>
      <c r="E771" t="str">
        <f>IF(ISBLANK('Data Input'!D771),"",'Data Input'!D771)</f>
        <v>8=3=18 1418</v>
      </c>
      <c r="G771">
        <f>IF(ISBLANK('Data Input'!E771),"",'Data Input'!E771)</f>
        <v>42</v>
      </c>
      <c r="H771" t="str">
        <f>IF(ISBLANK('Data Input'!F771),"",'Data Input'!F771)</f>
        <v>White</v>
      </c>
      <c r="I771" t="str">
        <f>IF(ISBLANK('Data Input'!G771),"",'Data Input'!G771)</f>
        <v>SVD</v>
      </c>
      <c r="J771" t="str">
        <f>IF(ISBLANK('Data Input'!I771),"",'Data Input'!I771)</f>
        <v>8=2=18 1806</v>
      </c>
      <c r="K771" t="str">
        <f>IF(ISBLANK('Data Input'!J771),"",'Data Input'!J771)</f>
        <v>bb - Ibuprofen</v>
      </c>
      <c r="L771">
        <f>IF(ISBLANK('Data Input'!K771),"",'Data Input'!K771)</f>
        <v>800</v>
      </c>
      <c r="M771">
        <f>IF(ISBLANK('Data Input'!L771),"",'Data Input'!L771)</f>
        <v>4</v>
      </c>
      <c r="N771">
        <f>IF(ISBLANK('Data Input'!M771),"",'Data Input'!M771)</f>
        <v>2</v>
      </c>
      <c r="O771" t="str">
        <f>IF(ISBLANK('Data Input'!N771),"",'Data Input'!N771)</f>
        <v/>
      </c>
      <c r="P771" t="str">
        <f>IF(ISBLANK('Data Input'!O771),"",'Data Input'!O771)</f>
        <v/>
      </c>
      <c r="Q771" t="str">
        <f>IF(ISBLANK('Data Input'!P771),"",'Data Input'!P771)</f>
        <v/>
      </c>
      <c r="R771" t="b">
        <f>IF(ISBLANK('Data Input'!Q771),"",'Data Input'!Q771)</f>
        <v>0</v>
      </c>
      <c r="T771" s="2" t="e">
        <f t="shared" ref="T771:T834" si="50">DATEVALUE(LEFT(C771,FIND(" ",C771)))</f>
        <v>#VALUE!</v>
      </c>
      <c r="U771" s="12">
        <f t="shared" ref="U771:U834" si="51">TIMEVALUE(CONCATENATE(MID(C771,FIND(" ",C771)+1,2),":",RIGHT(C771,LEN(C771)-FIND(" ",C771)-2)))</f>
        <v>0.75</v>
      </c>
      <c r="V771" s="2" t="str">
        <f t="shared" si="48"/>
        <v>8=3=18 1418</v>
      </c>
      <c r="W771" s="12">
        <f t="shared" si="49"/>
        <v>0.59583333333333333</v>
      </c>
    </row>
    <row r="772" spans="1:23">
      <c r="A772">
        <f>IF(ISBLANK('Data Input'!A772),"",'Data Input'!A772)</f>
        <v>170</v>
      </c>
      <c r="B772" t="str">
        <f>IF(ISBLANK('Data Input'!B772),"",'Data Input'!B772)</f>
        <v>LB011</v>
      </c>
      <c r="C772" t="str">
        <f>IF(ISBLANK('Data Input'!C772),"",'Data Input'!C772)</f>
        <v>8=1=18 1800</v>
      </c>
      <c r="E772" t="str">
        <f>IF(ISBLANK('Data Input'!D772),"",'Data Input'!D772)</f>
        <v>8=3=18 1418</v>
      </c>
      <c r="G772">
        <f>IF(ISBLANK('Data Input'!E772),"",'Data Input'!E772)</f>
        <v>42</v>
      </c>
      <c r="H772" t="str">
        <f>IF(ISBLANK('Data Input'!F772),"",'Data Input'!F772)</f>
        <v>White</v>
      </c>
      <c r="I772" t="str">
        <f>IF(ISBLANK('Data Input'!G772),"",'Data Input'!G772)</f>
        <v>SVD</v>
      </c>
      <c r="J772" t="str">
        <f>IF(ISBLANK('Data Input'!I772),"",'Data Input'!I772)</f>
        <v>8=2=18 2211</v>
      </c>
      <c r="K772" t="str">
        <f>IF(ISBLANK('Data Input'!J772),"",'Data Input'!J772)</f>
        <v>tt - Tylenol</v>
      </c>
      <c r="L772">
        <f>IF(ISBLANK('Data Input'!K772),"",'Data Input'!K772)</f>
        <v>650</v>
      </c>
      <c r="M772">
        <f>IF(ISBLANK('Data Input'!L772),"",'Data Input'!L772)</f>
        <v>4</v>
      </c>
      <c r="N772">
        <f>IF(ISBLANK('Data Input'!M772),"",'Data Input'!M772)</f>
        <v>0</v>
      </c>
      <c r="O772" t="str">
        <f>IF(ISBLANK('Data Input'!N772),"",'Data Input'!N772)</f>
        <v/>
      </c>
      <c r="P772" t="str">
        <f>IF(ISBLANK('Data Input'!O772),"",'Data Input'!O772)</f>
        <v/>
      </c>
      <c r="Q772" t="str">
        <f>IF(ISBLANK('Data Input'!P772),"",'Data Input'!P772)</f>
        <v/>
      </c>
      <c r="R772" t="b">
        <f>IF(ISBLANK('Data Input'!Q772),"",'Data Input'!Q772)</f>
        <v>0</v>
      </c>
      <c r="T772" s="2" t="e">
        <f t="shared" si="50"/>
        <v>#VALUE!</v>
      </c>
      <c r="U772" s="12">
        <f t="shared" si="51"/>
        <v>0.75</v>
      </c>
      <c r="V772" s="2" t="str">
        <f t="shared" si="48"/>
        <v>8=3=18 1418</v>
      </c>
      <c r="W772" s="12">
        <f t="shared" si="49"/>
        <v>0.59583333333333333</v>
      </c>
    </row>
    <row r="773" spans="1:23">
      <c r="A773">
        <f>IF(ISBLANK('Data Input'!A773),"",'Data Input'!A773)</f>
        <v>171</v>
      </c>
      <c r="B773" t="str">
        <f>IF(ISBLANK('Data Input'!B773),"",'Data Input'!B773)</f>
        <v>RB012</v>
      </c>
      <c r="C773" t="str">
        <f>IF(ISBLANK('Data Input'!C773),"",'Data Input'!C773)</f>
        <v>8=4=18 0615</v>
      </c>
      <c r="E773" t="str">
        <f>IF(ISBLANK('Data Input'!D773),"",'Data Input'!D773)</f>
        <v>8=7=18 1630</v>
      </c>
      <c r="G773">
        <f>IF(ISBLANK('Data Input'!E773),"",'Data Input'!E773)</f>
        <v>40</v>
      </c>
      <c r="H773" t="str">
        <f>IF(ISBLANK('Data Input'!F773),"",'Data Input'!F773)</f>
        <v>White</v>
      </c>
      <c r="I773" t="str">
        <f>IF(ISBLANK('Data Input'!G773),"",'Data Input'!G773)</f>
        <v>Caesarean</v>
      </c>
      <c r="J773" t="str">
        <f>IF(ISBLANK('Data Input'!I773),"",'Data Input'!I773)</f>
        <v>8=4=18 0634</v>
      </c>
      <c r="K773" t="str">
        <f>IF(ISBLANK('Data Input'!J773),"",'Data Input'!J773)</f>
        <v>tr - Toradol</v>
      </c>
      <c r="L773">
        <f>IF(ISBLANK('Data Input'!K773),"",'Data Input'!K773)</f>
        <v>30</v>
      </c>
      <c r="M773">
        <f>IF(ISBLANK('Data Input'!L773),"",'Data Input'!L773)</f>
        <v>1</v>
      </c>
      <c r="N773">
        <f>IF(ISBLANK('Data Input'!M773),"",'Data Input'!M773)</f>
        <v>0</v>
      </c>
      <c r="O773" t="str">
        <f>IF(ISBLANK('Data Input'!N773),"",'Data Input'!N773)</f>
        <v/>
      </c>
      <c r="P773" t="str">
        <f>IF(ISBLANK('Data Input'!O773),"",'Data Input'!O773)</f>
        <v/>
      </c>
      <c r="Q773" t="str">
        <f>IF(ISBLANK('Data Input'!P773),"",'Data Input'!P773)</f>
        <v>Pt. had headache + wanted to nap</v>
      </c>
      <c r="R773" t="b">
        <f>IF(ISBLANK('Data Input'!Q773),"",'Data Input'!Q773)</f>
        <v>1</v>
      </c>
      <c r="T773" s="2" t="e">
        <f t="shared" si="50"/>
        <v>#VALUE!</v>
      </c>
      <c r="U773" s="12">
        <f t="shared" si="51"/>
        <v>0.26041666666666669</v>
      </c>
      <c r="V773" s="2" t="str">
        <f t="shared" si="48"/>
        <v>8=7=18 1630</v>
      </c>
      <c r="W773" s="12">
        <f t="shared" si="49"/>
        <v>0.6875</v>
      </c>
    </row>
    <row r="774" spans="1:23">
      <c r="A774">
        <f>IF(ISBLANK('Data Input'!A774),"",'Data Input'!A774)</f>
        <v>171</v>
      </c>
      <c r="B774" t="str">
        <f>IF(ISBLANK('Data Input'!B774),"",'Data Input'!B774)</f>
        <v>RB012</v>
      </c>
      <c r="C774" t="str">
        <f>IF(ISBLANK('Data Input'!C774),"",'Data Input'!C774)</f>
        <v>8=4=18 0615</v>
      </c>
      <c r="E774" t="str">
        <f>IF(ISBLANK('Data Input'!D774),"",'Data Input'!D774)</f>
        <v>8=7=18 1630</v>
      </c>
      <c r="G774">
        <f>IF(ISBLANK('Data Input'!E774),"",'Data Input'!E774)</f>
        <v>40</v>
      </c>
      <c r="H774" t="str">
        <f>IF(ISBLANK('Data Input'!F774),"",'Data Input'!F774)</f>
        <v>White</v>
      </c>
      <c r="I774" t="str">
        <f>IF(ISBLANK('Data Input'!G774),"",'Data Input'!G774)</f>
        <v>Caesarean</v>
      </c>
      <c r="J774" t="str">
        <f>IF(ISBLANK('Data Input'!I774),"",'Data Input'!I774)</f>
        <v>8=4=18 1159</v>
      </c>
      <c r="K774" t="str">
        <f>IF(ISBLANK('Data Input'!J774),"",'Data Input'!J774)</f>
        <v>tr - Toradol</v>
      </c>
      <c r="L774">
        <f>IF(ISBLANK('Data Input'!K774),"",'Data Input'!K774)</f>
        <v>30</v>
      </c>
      <c r="M774">
        <f>IF(ISBLANK('Data Input'!L774),"",'Data Input'!L774)</f>
        <v>3</v>
      </c>
      <c r="N774">
        <f>IF(ISBLANK('Data Input'!M774),"",'Data Input'!M774)</f>
        <v>0</v>
      </c>
      <c r="O774" t="str">
        <f>IF(ISBLANK('Data Input'!N774),"",'Data Input'!N774)</f>
        <v/>
      </c>
      <c r="P774" t="str">
        <f>IF(ISBLANK('Data Input'!O774),"",'Data Input'!O774)</f>
        <v/>
      </c>
      <c r="Q774" t="str">
        <f>IF(ISBLANK('Data Input'!P774),"",'Data Input'!P774)</f>
        <v>Pt. had headache + wanted to nap</v>
      </c>
      <c r="R774" t="b">
        <f>IF(ISBLANK('Data Input'!Q774),"",'Data Input'!Q774)</f>
        <v>1</v>
      </c>
      <c r="T774" s="2" t="e">
        <f t="shared" si="50"/>
        <v>#VALUE!</v>
      </c>
      <c r="U774" s="12">
        <f t="shared" si="51"/>
        <v>0.26041666666666669</v>
      </c>
      <c r="V774" s="2" t="str">
        <f t="shared" si="48"/>
        <v>8=7=18 1630</v>
      </c>
      <c r="W774" s="12">
        <f t="shared" si="49"/>
        <v>0.6875</v>
      </c>
    </row>
    <row r="775" spans="1:23">
      <c r="A775">
        <f>IF(ISBLANK('Data Input'!A775),"",'Data Input'!A775)</f>
        <v>171</v>
      </c>
      <c r="B775" t="str">
        <f>IF(ISBLANK('Data Input'!B775),"",'Data Input'!B775)</f>
        <v>RB012</v>
      </c>
      <c r="C775" t="str">
        <f>IF(ISBLANK('Data Input'!C775),"",'Data Input'!C775)</f>
        <v>8=4=18 0615</v>
      </c>
      <c r="E775" t="str">
        <f>IF(ISBLANK('Data Input'!D775),"",'Data Input'!D775)</f>
        <v>8=7=18 1630</v>
      </c>
      <c r="G775">
        <f>IF(ISBLANK('Data Input'!E775),"",'Data Input'!E775)</f>
        <v>40</v>
      </c>
      <c r="H775" t="str">
        <f>IF(ISBLANK('Data Input'!F775),"",'Data Input'!F775)</f>
        <v>White</v>
      </c>
      <c r="I775" t="str">
        <f>IF(ISBLANK('Data Input'!G775),"",'Data Input'!G775)</f>
        <v>Caesarean</v>
      </c>
      <c r="J775" t="str">
        <f>IF(ISBLANK('Data Input'!I775),"",'Data Input'!I775)</f>
        <v>8=4=18 1810</v>
      </c>
      <c r="K775" t="str">
        <f>IF(ISBLANK('Data Input'!J775),"",'Data Input'!J775)</f>
        <v>tr - Toradol</v>
      </c>
      <c r="L775">
        <f>IF(ISBLANK('Data Input'!K775),"",'Data Input'!K775)</f>
        <v>30</v>
      </c>
      <c r="M775">
        <f>IF(ISBLANK('Data Input'!L775),"",'Data Input'!L775)</f>
        <v>4</v>
      </c>
      <c r="N775">
        <f>IF(ISBLANK('Data Input'!M775),"",'Data Input'!M775)</f>
        <v>2</v>
      </c>
      <c r="O775" t="str">
        <f>IF(ISBLANK('Data Input'!N775),"",'Data Input'!N775)</f>
        <v/>
      </c>
      <c r="P775" t="str">
        <f>IF(ISBLANK('Data Input'!O775),"",'Data Input'!O775)</f>
        <v/>
      </c>
      <c r="Q775" t="str">
        <f>IF(ISBLANK('Data Input'!P775),"",'Data Input'!P775)</f>
        <v>Pt. had headache + wanted to nap</v>
      </c>
      <c r="R775" t="b">
        <f>IF(ISBLANK('Data Input'!Q775),"",'Data Input'!Q775)</f>
        <v>1</v>
      </c>
      <c r="T775" s="2" t="e">
        <f t="shared" si="50"/>
        <v>#VALUE!</v>
      </c>
      <c r="U775" s="12">
        <f t="shared" si="51"/>
        <v>0.26041666666666669</v>
      </c>
      <c r="V775" s="2" t="str">
        <f t="shared" ref="V775:V838" si="52">IFERROR(DATEVALUE(LEFT(E775,FIND(" ",E775))),E775)</f>
        <v>8=7=18 1630</v>
      </c>
      <c r="W775" s="12">
        <f t="shared" ref="W775:W838" si="53">IFERROR(TIMEVALUE(CONCATENATE(MID(E775,FIND(" ",E775)+1,2),":",RIGHT(E775,LEN(E775)-FIND(" ",E775)-2))),E775)</f>
        <v>0.6875</v>
      </c>
    </row>
    <row r="776" spans="1:23">
      <c r="A776">
        <f>IF(ISBLANK('Data Input'!A776),"",'Data Input'!A776)</f>
        <v>171</v>
      </c>
      <c r="B776" t="str">
        <f>IF(ISBLANK('Data Input'!B776),"",'Data Input'!B776)</f>
        <v>RB012</v>
      </c>
      <c r="C776" t="str">
        <f>IF(ISBLANK('Data Input'!C776),"",'Data Input'!C776)</f>
        <v>8=4=18 0615</v>
      </c>
      <c r="E776" t="str">
        <f>IF(ISBLANK('Data Input'!D776),"",'Data Input'!D776)</f>
        <v>8=7=18 1630</v>
      </c>
      <c r="G776">
        <f>IF(ISBLANK('Data Input'!E776),"",'Data Input'!E776)</f>
        <v>40</v>
      </c>
      <c r="H776" t="str">
        <f>IF(ISBLANK('Data Input'!F776),"",'Data Input'!F776)</f>
        <v>White</v>
      </c>
      <c r="I776" t="str">
        <f>IF(ISBLANK('Data Input'!G776),"",'Data Input'!G776)</f>
        <v>Caesarean</v>
      </c>
      <c r="J776" t="str">
        <f>IF(ISBLANK('Data Input'!I776),"",'Data Input'!I776)</f>
        <v>8=4=18 1810</v>
      </c>
      <c r="K776" t="str">
        <f>IF(ISBLANK('Data Input'!J776),"",'Data Input'!J776)</f>
        <v>rr - Percocet</v>
      </c>
      <c r="L776">
        <f>IF(ISBLANK('Data Input'!K776),"",'Data Input'!K776)</f>
        <v>1</v>
      </c>
      <c r="M776">
        <f>IF(ISBLANK('Data Input'!L776),"",'Data Input'!L776)</f>
        <v>4</v>
      </c>
      <c r="N776">
        <f>IF(ISBLANK('Data Input'!M776),"",'Data Input'!M776)</f>
        <v>2</v>
      </c>
      <c r="O776" t="str">
        <f>IF(ISBLANK('Data Input'!N776),"",'Data Input'!N776)</f>
        <v/>
      </c>
      <c r="P776" t="str">
        <f>IF(ISBLANK('Data Input'!O776),"",'Data Input'!O776)</f>
        <v/>
      </c>
      <c r="Q776" t="str">
        <f>IF(ISBLANK('Data Input'!P776),"",'Data Input'!P776)</f>
        <v>Pt. had headache + wanted to nap</v>
      </c>
      <c r="R776" t="b">
        <f>IF(ISBLANK('Data Input'!Q776),"",'Data Input'!Q776)</f>
        <v>1</v>
      </c>
      <c r="T776" s="2" t="e">
        <f t="shared" si="50"/>
        <v>#VALUE!</v>
      </c>
      <c r="U776" s="12">
        <f t="shared" si="51"/>
        <v>0.26041666666666669</v>
      </c>
      <c r="V776" s="2" t="str">
        <f t="shared" si="52"/>
        <v>8=7=18 1630</v>
      </c>
      <c r="W776" s="12">
        <f t="shared" si="53"/>
        <v>0.6875</v>
      </c>
    </row>
    <row r="777" spans="1:23">
      <c r="A777">
        <f>IF(ISBLANK('Data Input'!A777),"",'Data Input'!A777)</f>
        <v>171</v>
      </c>
      <c r="B777" t="str">
        <f>IF(ISBLANK('Data Input'!B777),"",'Data Input'!B777)</f>
        <v>RB012</v>
      </c>
      <c r="C777" t="str">
        <f>IF(ISBLANK('Data Input'!C777),"",'Data Input'!C777)</f>
        <v>8=4=18 0615</v>
      </c>
      <c r="E777" t="str">
        <f>IF(ISBLANK('Data Input'!D777),"",'Data Input'!D777)</f>
        <v>8=7=18 1630</v>
      </c>
      <c r="G777">
        <f>IF(ISBLANK('Data Input'!E777),"",'Data Input'!E777)</f>
        <v>40</v>
      </c>
      <c r="H777" t="str">
        <f>IF(ISBLANK('Data Input'!F777),"",'Data Input'!F777)</f>
        <v>White</v>
      </c>
      <c r="I777" t="str">
        <f>IF(ISBLANK('Data Input'!G777),"",'Data Input'!G777)</f>
        <v>Caesarean</v>
      </c>
      <c r="J777" t="str">
        <f>IF(ISBLANK('Data Input'!I777),"",'Data Input'!I777)</f>
        <v>8=4=18 2228</v>
      </c>
      <c r="K777" t="str">
        <f>IF(ISBLANK('Data Input'!J777),"",'Data Input'!J777)</f>
        <v>rr - Percocet</v>
      </c>
      <c r="L777">
        <f>IF(ISBLANK('Data Input'!K777),"",'Data Input'!K777)</f>
        <v>1</v>
      </c>
      <c r="M777">
        <f>IF(ISBLANK('Data Input'!L777),"",'Data Input'!L777)</f>
        <v>2</v>
      </c>
      <c r="N777">
        <f>IF(ISBLANK('Data Input'!M777),"",'Data Input'!M777)</f>
        <v>0</v>
      </c>
      <c r="O777" t="str">
        <f>IF(ISBLANK('Data Input'!N777),"",'Data Input'!N777)</f>
        <v/>
      </c>
      <c r="P777" t="str">
        <f>IF(ISBLANK('Data Input'!O777),"",'Data Input'!O777)</f>
        <v/>
      </c>
      <c r="Q777" t="str">
        <f>IF(ISBLANK('Data Input'!P777),"",'Data Input'!P777)</f>
        <v>Pt. had headache + wanted to nap</v>
      </c>
      <c r="R777" t="b">
        <f>IF(ISBLANK('Data Input'!Q777),"",'Data Input'!Q777)</f>
        <v>1</v>
      </c>
      <c r="T777" s="2" t="e">
        <f t="shared" si="50"/>
        <v>#VALUE!</v>
      </c>
      <c r="U777" s="12">
        <f t="shared" si="51"/>
        <v>0.26041666666666669</v>
      </c>
      <c r="V777" s="2" t="str">
        <f t="shared" si="52"/>
        <v>8=7=18 1630</v>
      </c>
      <c r="W777" s="12">
        <f t="shared" si="53"/>
        <v>0.6875</v>
      </c>
    </row>
    <row r="778" spans="1:23">
      <c r="A778">
        <f>IF(ISBLANK('Data Input'!A778),"",'Data Input'!A778)</f>
        <v>171</v>
      </c>
      <c r="B778" t="str">
        <f>IF(ISBLANK('Data Input'!B778),"",'Data Input'!B778)</f>
        <v>RB012</v>
      </c>
      <c r="C778" t="str">
        <f>IF(ISBLANK('Data Input'!C778),"",'Data Input'!C778)</f>
        <v>8=4=18 0615</v>
      </c>
      <c r="E778" t="str">
        <f>IF(ISBLANK('Data Input'!D778),"",'Data Input'!D778)</f>
        <v>8=7=18 1630</v>
      </c>
      <c r="G778">
        <f>IF(ISBLANK('Data Input'!E778),"",'Data Input'!E778)</f>
        <v>40</v>
      </c>
      <c r="H778" t="str">
        <f>IF(ISBLANK('Data Input'!F778),"",'Data Input'!F778)</f>
        <v>White</v>
      </c>
      <c r="I778" t="str">
        <f>IF(ISBLANK('Data Input'!G778),"",'Data Input'!G778)</f>
        <v>Caesarean</v>
      </c>
      <c r="J778" t="str">
        <f>IF(ISBLANK('Data Input'!I778),"",'Data Input'!I778)</f>
        <v>8=4=18 2351</v>
      </c>
      <c r="K778" t="str">
        <f>IF(ISBLANK('Data Input'!J778),"",'Data Input'!J778)</f>
        <v>tr - Toradol</v>
      </c>
      <c r="L778">
        <f>IF(ISBLANK('Data Input'!K778),"",'Data Input'!K778)</f>
        <v>30</v>
      </c>
      <c r="M778">
        <f>IF(ISBLANK('Data Input'!L778),"",'Data Input'!L778)</f>
        <v>2</v>
      </c>
      <c r="N778">
        <f>IF(ISBLANK('Data Input'!M778),"",'Data Input'!M778)</f>
        <v>0</v>
      </c>
      <c r="O778" t="str">
        <f>IF(ISBLANK('Data Input'!N778),"",'Data Input'!N778)</f>
        <v/>
      </c>
      <c r="P778" t="str">
        <f>IF(ISBLANK('Data Input'!O778),"",'Data Input'!O778)</f>
        <v/>
      </c>
      <c r="Q778" t="str">
        <f>IF(ISBLANK('Data Input'!P778),"",'Data Input'!P778)</f>
        <v>Pt. had headache + wanted to nap</v>
      </c>
      <c r="R778" t="b">
        <f>IF(ISBLANK('Data Input'!Q778),"",'Data Input'!Q778)</f>
        <v>1</v>
      </c>
      <c r="T778" s="2" t="e">
        <f t="shared" si="50"/>
        <v>#VALUE!</v>
      </c>
      <c r="U778" s="12">
        <f t="shared" si="51"/>
        <v>0.26041666666666669</v>
      </c>
      <c r="V778" s="2" t="str">
        <f t="shared" si="52"/>
        <v>8=7=18 1630</v>
      </c>
      <c r="W778" s="12">
        <f t="shared" si="53"/>
        <v>0.6875</v>
      </c>
    </row>
    <row r="779" spans="1:23">
      <c r="A779">
        <f>IF(ISBLANK('Data Input'!A779),"",'Data Input'!A779)</f>
        <v>171</v>
      </c>
      <c r="B779" t="str">
        <f>IF(ISBLANK('Data Input'!B779),"",'Data Input'!B779)</f>
        <v>RB012</v>
      </c>
      <c r="C779" t="str">
        <f>IF(ISBLANK('Data Input'!C779),"",'Data Input'!C779)</f>
        <v>8=4=18 0615</v>
      </c>
      <c r="E779" t="str">
        <f>IF(ISBLANK('Data Input'!D779),"",'Data Input'!D779)</f>
        <v>8=7=18 1630</v>
      </c>
      <c r="G779">
        <f>IF(ISBLANK('Data Input'!E779),"",'Data Input'!E779)</f>
        <v>40</v>
      </c>
      <c r="H779" t="str">
        <f>IF(ISBLANK('Data Input'!F779),"",'Data Input'!F779)</f>
        <v>White</v>
      </c>
      <c r="I779" t="str">
        <f>IF(ISBLANK('Data Input'!G779),"",'Data Input'!G779)</f>
        <v>Caesarean</v>
      </c>
      <c r="J779" t="str">
        <f>IF(ISBLANK('Data Input'!I779),"",'Data Input'!I779)</f>
        <v>8=5=18 0343</v>
      </c>
      <c r="K779" t="str">
        <f>IF(ISBLANK('Data Input'!J779),"",'Data Input'!J779)</f>
        <v>rr - Percocet</v>
      </c>
      <c r="L779">
        <f>IF(ISBLANK('Data Input'!K779),"",'Data Input'!K779)</f>
        <v>2</v>
      </c>
      <c r="M779">
        <f>IF(ISBLANK('Data Input'!L779),"",'Data Input'!L779)</f>
        <v>4</v>
      </c>
      <c r="N779">
        <f>IF(ISBLANK('Data Input'!M779),"",'Data Input'!M779)</f>
        <v>0</v>
      </c>
      <c r="O779" t="str">
        <f>IF(ISBLANK('Data Input'!N779),"",'Data Input'!N779)</f>
        <v/>
      </c>
      <c r="P779" t="str">
        <f>IF(ISBLANK('Data Input'!O779),"",'Data Input'!O779)</f>
        <v/>
      </c>
      <c r="Q779" t="str">
        <f>IF(ISBLANK('Data Input'!P779),"",'Data Input'!P779)</f>
        <v>Pt. had headache + wanted to nap</v>
      </c>
      <c r="R779" t="b">
        <f>IF(ISBLANK('Data Input'!Q779),"",'Data Input'!Q779)</f>
        <v>1</v>
      </c>
      <c r="T779" s="2" t="e">
        <f t="shared" si="50"/>
        <v>#VALUE!</v>
      </c>
      <c r="U779" s="12">
        <f t="shared" si="51"/>
        <v>0.26041666666666669</v>
      </c>
      <c r="V779" s="2" t="str">
        <f t="shared" si="52"/>
        <v>8=7=18 1630</v>
      </c>
      <c r="W779" s="12">
        <f t="shared" si="53"/>
        <v>0.6875</v>
      </c>
    </row>
    <row r="780" spans="1:23">
      <c r="A780">
        <f>IF(ISBLANK('Data Input'!A780),"",'Data Input'!A780)</f>
        <v>171</v>
      </c>
      <c r="B780" t="str">
        <f>IF(ISBLANK('Data Input'!B780),"",'Data Input'!B780)</f>
        <v>RB012</v>
      </c>
      <c r="C780" t="str">
        <f>IF(ISBLANK('Data Input'!C780),"",'Data Input'!C780)</f>
        <v>8=4=18 0615</v>
      </c>
      <c r="E780" t="str">
        <f>IF(ISBLANK('Data Input'!D780),"",'Data Input'!D780)</f>
        <v>8=7=18 1630</v>
      </c>
      <c r="G780">
        <f>IF(ISBLANK('Data Input'!E780),"",'Data Input'!E780)</f>
        <v>40</v>
      </c>
      <c r="H780" t="str">
        <f>IF(ISBLANK('Data Input'!F780),"",'Data Input'!F780)</f>
        <v>White</v>
      </c>
      <c r="I780" t="str">
        <f>IF(ISBLANK('Data Input'!G780),"",'Data Input'!G780)</f>
        <v>Caesarean</v>
      </c>
      <c r="J780" t="str">
        <f>IF(ISBLANK('Data Input'!I780),"",'Data Input'!I780)</f>
        <v>8=5=13 0813</v>
      </c>
      <c r="K780" t="str">
        <f>IF(ISBLANK('Data Input'!J780),"",'Data Input'!J780)</f>
        <v>bb - Ibuprofen</v>
      </c>
      <c r="L780">
        <f>IF(ISBLANK('Data Input'!K780),"",'Data Input'!K780)</f>
        <v>800</v>
      </c>
      <c r="M780">
        <f>IF(ISBLANK('Data Input'!L780),"",'Data Input'!L780)</f>
        <v>2</v>
      </c>
      <c r="N780">
        <f>IF(ISBLANK('Data Input'!M780),"",'Data Input'!M780)</f>
        <v>1</v>
      </c>
      <c r="O780" t="str">
        <f>IF(ISBLANK('Data Input'!N780),"",'Data Input'!N780)</f>
        <v/>
      </c>
      <c r="P780" t="str">
        <f>IF(ISBLANK('Data Input'!O780),"",'Data Input'!O780)</f>
        <v/>
      </c>
      <c r="Q780" t="str">
        <f>IF(ISBLANK('Data Input'!P780),"",'Data Input'!P780)</f>
        <v>Pt. had headache + wanted to nap</v>
      </c>
      <c r="R780" t="b">
        <f>IF(ISBLANK('Data Input'!Q780),"",'Data Input'!Q780)</f>
        <v>1</v>
      </c>
      <c r="T780" s="2" t="e">
        <f t="shared" si="50"/>
        <v>#VALUE!</v>
      </c>
      <c r="U780" s="12">
        <f t="shared" si="51"/>
        <v>0.26041666666666669</v>
      </c>
      <c r="V780" s="2" t="str">
        <f t="shared" si="52"/>
        <v>8=7=18 1630</v>
      </c>
      <c r="W780" s="12">
        <f t="shared" si="53"/>
        <v>0.6875</v>
      </c>
    </row>
    <row r="781" spans="1:23">
      <c r="A781">
        <f>IF(ISBLANK('Data Input'!A781),"",'Data Input'!A781)</f>
        <v>171</v>
      </c>
      <c r="B781" t="str">
        <f>IF(ISBLANK('Data Input'!B781),"",'Data Input'!B781)</f>
        <v>RB012</v>
      </c>
      <c r="C781" t="str">
        <f>IF(ISBLANK('Data Input'!C781),"",'Data Input'!C781)</f>
        <v>8=4=18 0615</v>
      </c>
      <c r="E781" t="str">
        <f>IF(ISBLANK('Data Input'!D781),"",'Data Input'!D781)</f>
        <v>8=7=18 1630</v>
      </c>
      <c r="G781">
        <f>IF(ISBLANK('Data Input'!E781),"",'Data Input'!E781)</f>
        <v>40</v>
      </c>
      <c r="H781" t="str">
        <f>IF(ISBLANK('Data Input'!F781),"",'Data Input'!F781)</f>
        <v>White</v>
      </c>
      <c r="I781" t="str">
        <f>IF(ISBLANK('Data Input'!G781),"",'Data Input'!G781)</f>
        <v>Caesarean</v>
      </c>
      <c r="J781" t="str">
        <f>IF(ISBLANK('Data Input'!I781),"",'Data Input'!I781)</f>
        <v>8=5=13 0813</v>
      </c>
      <c r="K781" t="str">
        <f>IF(ISBLANK('Data Input'!J781),"",'Data Input'!J781)</f>
        <v>rr - Percocet</v>
      </c>
      <c r="L781">
        <f>IF(ISBLANK('Data Input'!K781),"",'Data Input'!K781)</f>
        <v>2</v>
      </c>
      <c r="M781">
        <f>IF(ISBLANK('Data Input'!L781),"",'Data Input'!L781)</f>
        <v>2</v>
      </c>
      <c r="N781">
        <f>IF(ISBLANK('Data Input'!M781),"",'Data Input'!M781)</f>
        <v>1</v>
      </c>
      <c r="O781" t="str">
        <f>IF(ISBLANK('Data Input'!N781),"",'Data Input'!N781)</f>
        <v/>
      </c>
      <c r="P781" t="str">
        <f>IF(ISBLANK('Data Input'!O781),"",'Data Input'!O781)</f>
        <v/>
      </c>
      <c r="Q781" t="str">
        <f>IF(ISBLANK('Data Input'!P781),"",'Data Input'!P781)</f>
        <v>Pt. had headache + wanted to nap</v>
      </c>
      <c r="R781" t="b">
        <f>IF(ISBLANK('Data Input'!Q781),"",'Data Input'!Q781)</f>
        <v>1</v>
      </c>
      <c r="T781" s="2" t="e">
        <f t="shared" si="50"/>
        <v>#VALUE!</v>
      </c>
      <c r="U781" s="12">
        <f t="shared" si="51"/>
        <v>0.26041666666666669</v>
      </c>
      <c r="V781" s="2" t="str">
        <f t="shared" si="52"/>
        <v>8=7=18 1630</v>
      </c>
      <c r="W781" s="12">
        <f t="shared" si="53"/>
        <v>0.6875</v>
      </c>
    </row>
    <row r="782" spans="1:23">
      <c r="A782">
        <f>IF(ISBLANK('Data Input'!A782),"",'Data Input'!A782)</f>
        <v>171</v>
      </c>
      <c r="B782" t="str">
        <f>IF(ISBLANK('Data Input'!B782),"",'Data Input'!B782)</f>
        <v>RB012</v>
      </c>
      <c r="C782" t="str">
        <f>IF(ISBLANK('Data Input'!C782),"",'Data Input'!C782)</f>
        <v>8=4=18 0615</v>
      </c>
      <c r="E782" t="str">
        <f>IF(ISBLANK('Data Input'!D782),"",'Data Input'!D782)</f>
        <v>8=7=18 1630</v>
      </c>
      <c r="G782">
        <f>IF(ISBLANK('Data Input'!E782),"",'Data Input'!E782)</f>
        <v>40</v>
      </c>
      <c r="H782" t="str">
        <f>IF(ISBLANK('Data Input'!F782),"",'Data Input'!F782)</f>
        <v>White</v>
      </c>
      <c r="I782" t="str">
        <f>IF(ISBLANK('Data Input'!G782),"",'Data Input'!G782)</f>
        <v>Caesarean</v>
      </c>
      <c r="J782" t="str">
        <f>IF(ISBLANK('Data Input'!I782),"",'Data Input'!I782)</f>
        <v>8=5=13 1445</v>
      </c>
      <c r="K782" t="str">
        <f>IF(ISBLANK('Data Input'!J782),"",'Data Input'!J782)</f>
        <v>bb - Ibuprofen</v>
      </c>
      <c r="L782">
        <f>IF(ISBLANK('Data Input'!K782),"",'Data Input'!K782)</f>
        <v>800</v>
      </c>
      <c r="M782">
        <f>IF(ISBLANK('Data Input'!L782),"",'Data Input'!L782)</f>
        <v>2</v>
      </c>
      <c r="N782">
        <f>IF(ISBLANK('Data Input'!M782),"",'Data Input'!M782)</f>
        <v>1</v>
      </c>
      <c r="O782" t="str">
        <f>IF(ISBLANK('Data Input'!N782),"",'Data Input'!N782)</f>
        <v/>
      </c>
      <c r="P782" t="str">
        <f>IF(ISBLANK('Data Input'!O782),"",'Data Input'!O782)</f>
        <v/>
      </c>
      <c r="Q782" t="str">
        <f>IF(ISBLANK('Data Input'!P782),"",'Data Input'!P782)</f>
        <v>Pt. had headache + wanted to nap</v>
      </c>
      <c r="R782" t="b">
        <f>IF(ISBLANK('Data Input'!Q782),"",'Data Input'!Q782)</f>
        <v>1</v>
      </c>
      <c r="T782" s="2" t="e">
        <f t="shared" si="50"/>
        <v>#VALUE!</v>
      </c>
      <c r="U782" s="12">
        <f t="shared" si="51"/>
        <v>0.26041666666666669</v>
      </c>
      <c r="V782" s="2" t="str">
        <f t="shared" si="52"/>
        <v>8=7=18 1630</v>
      </c>
      <c r="W782" s="12">
        <f t="shared" si="53"/>
        <v>0.6875</v>
      </c>
    </row>
    <row r="783" spans="1:23">
      <c r="A783">
        <f>IF(ISBLANK('Data Input'!A783),"",'Data Input'!A783)</f>
        <v>171</v>
      </c>
      <c r="B783" t="str">
        <f>IF(ISBLANK('Data Input'!B783),"",'Data Input'!B783)</f>
        <v>RB012</v>
      </c>
      <c r="C783" t="str">
        <f>IF(ISBLANK('Data Input'!C783),"",'Data Input'!C783)</f>
        <v>8=4=18 0615</v>
      </c>
      <c r="E783" t="str">
        <f>IF(ISBLANK('Data Input'!D783),"",'Data Input'!D783)</f>
        <v>8=7=18 1630</v>
      </c>
      <c r="G783">
        <f>IF(ISBLANK('Data Input'!E783),"",'Data Input'!E783)</f>
        <v>40</v>
      </c>
      <c r="H783" t="str">
        <f>IF(ISBLANK('Data Input'!F783),"",'Data Input'!F783)</f>
        <v>White</v>
      </c>
      <c r="I783" t="str">
        <f>IF(ISBLANK('Data Input'!G783),"",'Data Input'!G783)</f>
        <v>Caesarean</v>
      </c>
      <c r="J783" t="str">
        <f>IF(ISBLANK('Data Input'!I783),"",'Data Input'!I783)</f>
        <v>8=5=13 1445</v>
      </c>
      <c r="K783" t="str">
        <f>IF(ISBLANK('Data Input'!J783),"",'Data Input'!J783)</f>
        <v>rr - Percocet</v>
      </c>
      <c r="L783">
        <f>IF(ISBLANK('Data Input'!K783),"",'Data Input'!K783)</f>
        <v>2</v>
      </c>
      <c r="M783">
        <f>IF(ISBLANK('Data Input'!L783),"",'Data Input'!L783)</f>
        <v>2</v>
      </c>
      <c r="N783">
        <f>IF(ISBLANK('Data Input'!M783),"",'Data Input'!M783)</f>
        <v>1</v>
      </c>
      <c r="O783" t="str">
        <f>IF(ISBLANK('Data Input'!N783),"",'Data Input'!N783)</f>
        <v/>
      </c>
      <c r="P783" t="str">
        <f>IF(ISBLANK('Data Input'!O783),"",'Data Input'!O783)</f>
        <v/>
      </c>
      <c r="Q783" t="str">
        <f>IF(ISBLANK('Data Input'!P783),"",'Data Input'!P783)</f>
        <v>Pt. had headache + wanted to nap</v>
      </c>
      <c r="R783" t="b">
        <f>IF(ISBLANK('Data Input'!Q783),"",'Data Input'!Q783)</f>
        <v>1</v>
      </c>
      <c r="T783" s="2" t="e">
        <f t="shared" si="50"/>
        <v>#VALUE!</v>
      </c>
      <c r="U783" s="12">
        <f t="shared" si="51"/>
        <v>0.26041666666666669</v>
      </c>
      <c r="V783" s="2" t="str">
        <f t="shared" si="52"/>
        <v>8=7=18 1630</v>
      </c>
      <c r="W783" s="12">
        <f t="shared" si="53"/>
        <v>0.6875</v>
      </c>
    </row>
    <row r="784" spans="1:23">
      <c r="A784">
        <f>IF(ISBLANK('Data Input'!A784),"",'Data Input'!A784)</f>
        <v>171</v>
      </c>
      <c r="B784" t="str">
        <f>IF(ISBLANK('Data Input'!B784),"",'Data Input'!B784)</f>
        <v>RB012</v>
      </c>
      <c r="C784" t="str">
        <f>IF(ISBLANK('Data Input'!C784),"",'Data Input'!C784)</f>
        <v>8=4=18 0615</v>
      </c>
      <c r="E784" t="str">
        <f>IF(ISBLANK('Data Input'!D784),"",'Data Input'!D784)</f>
        <v>8=7=18 1630</v>
      </c>
      <c r="G784">
        <f>IF(ISBLANK('Data Input'!E784),"",'Data Input'!E784)</f>
        <v>40</v>
      </c>
      <c r="H784" t="str">
        <f>IF(ISBLANK('Data Input'!F784),"",'Data Input'!F784)</f>
        <v>White</v>
      </c>
      <c r="I784" t="str">
        <f>IF(ISBLANK('Data Input'!G784),"",'Data Input'!G784)</f>
        <v>Caesarean</v>
      </c>
      <c r="J784" t="str">
        <f>IF(ISBLANK('Data Input'!I784),"",'Data Input'!I784)</f>
        <v>8=5=13 2143</v>
      </c>
      <c r="K784" t="str">
        <f>IF(ISBLANK('Data Input'!J784),"",'Data Input'!J784)</f>
        <v>bb - Ibuprofen</v>
      </c>
      <c r="L784">
        <f>IF(ISBLANK('Data Input'!K784),"",'Data Input'!K784)</f>
        <v>800</v>
      </c>
      <c r="M784">
        <f>IF(ISBLANK('Data Input'!L784),"",'Data Input'!L784)</f>
        <v>1</v>
      </c>
      <c r="N784">
        <f>IF(ISBLANK('Data Input'!M784),"",'Data Input'!M784)</f>
        <v>1</v>
      </c>
      <c r="O784" t="str">
        <f>IF(ISBLANK('Data Input'!N784),"",'Data Input'!N784)</f>
        <v/>
      </c>
      <c r="P784" t="str">
        <f>IF(ISBLANK('Data Input'!O784),"",'Data Input'!O784)</f>
        <v/>
      </c>
      <c r="Q784" t="str">
        <f>IF(ISBLANK('Data Input'!P784),"",'Data Input'!P784)</f>
        <v>Pt. had headache + wanted to nap</v>
      </c>
      <c r="R784" t="b">
        <f>IF(ISBLANK('Data Input'!Q784),"",'Data Input'!Q784)</f>
        <v>1</v>
      </c>
      <c r="T784" s="2" t="e">
        <f t="shared" si="50"/>
        <v>#VALUE!</v>
      </c>
      <c r="U784" s="12">
        <f t="shared" si="51"/>
        <v>0.26041666666666669</v>
      </c>
      <c r="V784" s="2" t="str">
        <f t="shared" si="52"/>
        <v>8=7=18 1630</v>
      </c>
      <c r="W784" s="12">
        <f t="shared" si="53"/>
        <v>0.6875</v>
      </c>
    </row>
    <row r="785" spans="1:23">
      <c r="A785">
        <f>IF(ISBLANK('Data Input'!A785),"",'Data Input'!A785)</f>
        <v>171</v>
      </c>
      <c r="B785" t="str">
        <f>IF(ISBLANK('Data Input'!B785),"",'Data Input'!B785)</f>
        <v>RB012</v>
      </c>
      <c r="C785" t="str">
        <f>IF(ISBLANK('Data Input'!C785),"",'Data Input'!C785)</f>
        <v>8=4=18 0615</v>
      </c>
      <c r="E785" t="str">
        <f>IF(ISBLANK('Data Input'!D785),"",'Data Input'!D785)</f>
        <v>8=7=18 1630</v>
      </c>
      <c r="G785">
        <f>IF(ISBLANK('Data Input'!E785),"",'Data Input'!E785)</f>
        <v>40</v>
      </c>
      <c r="H785" t="str">
        <f>IF(ISBLANK('Data Input'!F785),"",'Data Input'!F785)</f>
        <v>White</v>
      </c>
      <c r="I785" t="str">
        <f>IF(ISBLANK('Data Input'!G785),"",'Data Input'!G785)</f>
        <v>Caesarean</v>
      </c>
      <c r="J785" t="str">
        <f>IF(ISBLANK('Data Input'!I785),"",'Data Input'!I785)</f>
        <v>8=5=13 2143</v>
      </c>
      <c r="K785" t="str">
        <f>IF(ISBLANK('Data Input'!J785),"",'Data Input'!J785)</f>
        <v>rr - Percocet</v>
      </c>
      <c r="L785">
        <f>IF(ISBLANK('Data Input'!K785),"",'Data Input'!K785)</f>
        <v>1</v>
      </c>
      <c r="M785">
        <f>IF(ISBLANK('Data Input'!L785),"",'Data Input'!L785)</f>
        <v>1</v>
      </c>
      <c r="N785">
        <f>IF(ISBLANK('Data Input'!M785),"",'Data Input'!M785)</f>
        <v>1</v>
      </c>
      <c r="O785" t="str">
        <f>IF(ISBLANK('Data Input'!N785),"",'Data Input'!N785)</f>
        <v/>
      </c>
      <c r="P785" t="str">
        <f>IF(ISBLANK('Data Input'!O785),"",'Data Input'!O785)</f>
        <v/>
      </c>
      <c r="Q785" t="str">
        <f>IF(ISBLANK('Data Input'!P785),"",'Data Input'!P785)</f>
        <v>Pt. had headache + wanted to nap</v>
      </c>
      <c r="R785" t="b">
        <f>IF(ISBLANK('Data Input'!Q785),"",'Data Input'!Q785)</f>
        <v>1</v>
      </c>
      <c r="T785" s="2" t="e">
        <f t="shared" si="50"/>
        <v>#VALUE!</v>
      </c>
      <c r="U785" s="12">
        <f t="shared" si="51"/>
        <v>0.26041666666666669</v>
      </c>
      <c r="V785" s="2" t="str">
        <f t="shared" si="52"/>
        <v>8=7=18 1630</v>
      </c>
      <c r="W785" s="12">
        <f t="shared" si="53"/>
        <v>0.6875</v>
      </c>
    </row>
    <row r="786" spans="1:23">
      <c r="A786">
        <f>IF(ISBLANK('Data Input'!A786),"",'Data Input'!A786)</f>
        <v>171</v>
      </c>
      <c r="B786" t="str">
        <f>IF(ISBLANK('Data Input'!B786),"",'Data Input'!B786)</f>
        <v>RB012</v>
      </c>
      <c r="C786" t="str">
        <f>IF(ISBLANK('Data Input'!C786),"",'Data Input'!C786)</f>
        <v>8=4=18 0615</v>
      </c>
      <c r="E786" t="str">
        <f>IF(ISBLANK('Data Input'!D786),"",'Data Input'!D786)</f>
        <v>8=7=18 1630</v>
      </c>
      <c r="G786">
        <f>IF(ISBLANK('Data Input'!E786),"",'Data Input'!E786)</f>
        <v>40</v>
      </c>
      <c r="H786" t="str">
        <f>IF(ISBLANK('Data Input'!F786),"",'Data Input'!F786)</f>
        <v>White</v>
      </c>
      <c r="I786" t="str">
        <f>IF(ISBLANK('Data Input'!G786),"",'Data Input'!G786)</f>
        <v>Caesarean</v>
      </c>
      <c r="J786" t="str">
        <f>IF(ISBLANK('Data Input'!I786),"",'Data Input'!I786)</f>
        <v>8=6=18 0709</v>
      </c>
      <c r="K786" t="str">
        <f>IF(ISBLANK('Data Input'!J786),"",'Data Input'!J786)</f>
        <v>bb - Ibuprofen</v>
      </c>
      <c r="L786">
        <f>IF(ISBLANK('Data Input'!K786),"",'Data Input'!K786)</f>
        <v>800</v>
      </c>
      <c r="M786">
        <f>IF(ISBLANK('Data Input'!L786),"",'Data Input'!L786)</f>
        <v>2</v>
      </c>
      <c r="N786">
        <f>IF(ISBLANK('Data Input'!M786),"",'Data Input'!M786)</f>
        <v>1</v>
      </c>
      <c r="O786" t="str">
        <f>IF(ISBLANK('Data Input'!N786),"",'Data Input'!N786)</f>
        <v/>
      </c>
      <c r="P786" t="str">
        <f>IF(ISBLANK('Data Input'!O786),"",'Data Input'!O786)</f>
        <v/>
      </c>
      <c r="Q786" t="str">
        <f>IF(ISBLANK('Data Input'!P786),"",'Data Input'!P786)</f>
        <v>Pt. had headache + wanted to nap</v>
      </c>
      <c r="R786" t="b">
        <f>IF(ISBLANK('Data Input'!Q786),"",'Data Input'!Q786)</f>
        <v>1</v>
      </c>
      <c r="T786" s="2" t="e">
        <f t="shared" si="50"/>
        <v>#VALUE!</v>
      </c>
      <c r="U786" s="12">
        <f t="shared" si="51"/>
        <v>0.26041666666666669</v>
      </c>
      <c r="V786" s="2" t="str">
        <f t="shared" si="52"/>
        <v>8=7=18 1630</v>
      </c>
      <c r="W786" s="12">
        <f t="shared" si="53"/>
        <v>0.6875</v>
      </c>
    </row>
    <row r="787" spans="1:23">
      <c r="A787">
        <f>IF(ISBLANK('Data Input'!A787),"",'Data Input'!A787)</f>
        <v>171</v>
      </c>
      <c r="B787" t="str">
        <f>IF(ISBLANK('Data Input'!B787),"",'Data Input'!B787)</f>
        <v>RB012</v>
      </c>
      <c r="C787" t="str">
        <f>IF(ISBLANK('Data Input'!C787),"",'Data Input'!C787)</f>
        <v>8=4=18 0615</v>
      </c>
      <c r="E787" t="str">
        <f>IF(ISBLANK('Data Input'!D787),"",'Data Input'!D787)</f>
        <v>8=7=18 1630</v>
      </c>
      <c r="G787">
        <f>IF(ISBLANK('Data Input'!E787),"",'Data Input'!E787)</f>
        <v>40</v>
      </c>
      <c r="H787" t="str">
        <f>IF(ISBLANK('Data Input'!F787),"",'Data Input'!F787)</f>
        <v>White</v>
      </c>
      <c r="I787" t="str">
        <f>IF(ISBLANK('Data Input'!G787),"",'Data Input'!G787)</f>
        <v>Caesarean</v>
      </c>
      <c r="J787" t="str">
        <f>IF(ISBLANK('Data Input'!I787),"",'Data Input'!I787)</f>
        <v>8=6=18 0709</v>
      </c>
      <c r="K787" t="str">
        <f>IF(ISBLANK('Data Input'!J787),"",'Data Input'!J787)</f>
        <v>rr - Percocet</v>
      </c>
      <c r="L787">
        <f>IF(ISBLANK('Data Input'!K787),"",'Data Input'!K787)</f>
        <v>1</v>
      </c>
      <c r="M787">
        <f>IF(ISBLANK('Data Input'!L787),"",'Data Input'!L787)</f>
        <v>2</v>
      </c>
      <c r="N787">
        <f>IF(ISBLANK('Data Input'!M787),"",'Data Input'!M787)</f>
        <v>1</v>
      </c>
      <c r="O787" t="str">
        <f>IF(ISBLANK('Data Input'!N787),"",'Data Input'!N787)</f>
        <v/>
      </c>
      <c r="P787" t="str">
        <f>IF(ISBLANK('Data Input'!O787),"",'Data Input'!O787)</f>
        <v/>
      </c>
      <c r="Q787" t="str">
        <f>IF(ISBLANK('Data Input'!P787),"",'Data Input'!P787)</f>
        <v>Pt. had headache + wanted to nap</v>
      </c>
      <c r="R787" t="b">
        <f>IF(ISBLANK('Data Input'!Q787),"",'Data Input'!Q787)</f>
        <v>1</v>
      </c>
      <c r="T787" s="2" t="e">
        <f t="shared" si="50"/>
        <v>#VALUE!</v>
      </c>
      <c r="U787" s="12">
        <f t="shared" si="51"/>
        <v>0.26041666666666669</v>
      </c>
      <c r="V787" s="2" t="str">
        <f t="shared" si="52"/>
        <v>8=7=18 1630</v>
      </c>
      <c r="W787" s="12">
        <f t="shared" si="53"/>
        <v>0.6875</v>
      </c>
    </row>
    <row r="788" spans="1:23">
      <c r="A788">
        <f>IF(ISBLANK('Data Input'!A788),"",'Data Input'!A788)</f>
        <v>171</v>
      </c>
      <c r="B788" t="str">
        <f>IF(ISBLANK('Data Input'!B788),"",'Data Input'!B788)</f>
        <v>RB012</v>
      </c>
      <c r="C788" t="str">
        <f>IF(ISBLANK('Data Input'!C788),"",'Data Input'!C788)</f>
        <v>8=4=18 0615</v>
      </c>
      <c r="E788" t="str">
        <f>IF(ISBLANK('Data Input'!D788),"",'Data Input'!D788)</f>
        <v>8=7=18 1630</v>
      </c>
      <c r="G788">
        <f>IF(ISBLANK('Data Input'!E788),"",'Data Input'!E788)</f>
        <v>40</v>
      </c>
      <c r="H788" t="str">
        <f>IF(ISBLANK('Data Input'!F788),"",'Data Input'!F788)</f>
        <v>White</v>
      </c>
      <c r="I788" t="str">
        <f>IF(ISBLANK('Data Input'!G788),"",'Data Input'!G788)</f>
        <v>Caesarean</v>
      </c>
      <c r="J788" t="str">
        <f>IF(ISBLANK('Data Input'!I788),"",'Data Input'!I788)</f>
        <v>8=6=18 1256</v>
      </c>
      <c r="K788" t="str">
        <f>IF(ISBLANK('Data Input'!J788),"",'Data Input'!J788)</f>
        <v>bb - Ibuprofen</v>
      </c>
      <c r="L788">
        <f>IF(ISBLANK('Data Input'!K788),"",'Data Input'!K788)</f>
        <v>800</v>
      </c>
      <c r="M788">
        <f>IF(ISBLANK('Data Input'!L788),"",'Data Input'!L788)</f>
        <v>3</v>
      </c>
      <c r="N788">
        <f>IF(ISBLANK('Data Input'!M788),"",'Data Input'!M788)</f>
        <v>1</v>
      </c>
      <c r="O788" t="str">
        <f>IF(ISBLANK('Data Input'!N788),"",'Data Input'!N788)</f>
        <v/>
      </c>
      <c r="P788" t="str">
        <f>IF(ISBLANK('Data Input'!O788),"",'Data Input'!O788)</f>
        <v/>
      </c>
      <c r="Q788" t="str">
        <f>IF(ISBLANK('Data Input'!P788),"",'Data Input'!P788)</f>
        <v>Pt. had headache + wanted to nap</v>
      </c>
      <c r="R788" t="b">
        <f>IF(ISBLANK('Data Input'!Q788),"",'Data Input'!Q788)</f>
        <v>1</v>
      </c>
      <c r="T788" s="2" t="e">
        <f t="shared" si="50"/>
        <v>#VALUE!</v>
      </c>
      <c r="U788" s="12">
        <f t="shared" si="51"/>
        <v>0.26041666666666669</v>
      </c>
      <c r="V788" s="2" t="str">
        <f t="shared" si="52"/>
        <v>8=7=18 1630</v>
      </c>
      <c r="W788" s="12">
        <f t="shared" si="53"/>
        <v>0.6875</v>
      </c>
    </row>
    <row r="789" spans="1:23">
      <c r="A789">
        <f>IF(ISBLANK('Data Input'!A789),"",'Data Input'!A789)</f>
        <v>171</v>
      </c>
      <c r="B789" t="str">
        <f>IF(ISBLANK('Data Input'!B789),"",'Data Input'!B789)</f>
        <v>RB012</v>
      </c>
      <c r="C789" t="str">
        <f>IF(ISBLANK('Data Input'!C789),"",'Data Input'!C789)</f>
        <v>8=4=18 0615</v>
      </c>
      <c r="E789" t="str">
        <f>IF(ISBLANK('Data Input'!D789),"",'Data Input'!D789)</f>
        <v>8=7=18 1630</v>
      </c>
      <c r="G789">
        <f>IF(ISBLANK('Data Input'!E789),"",'Data Input'!E789)</f>
        <v>40</v>
      </c>
      <c r="H789" t="str">
        <f>IF(ISBLANK('Data Input'!F789),"",'Data Input'!F789)</f>
        <v>White</v>
      </c>
      <c r="I789" t="str">
        <f>IF(ISBLANK('Data Input'!G789),"",'Data Input'!G789)</f>
        <v>Caesarean</v>
      </c>
      <c r="J789" t="str">
        <f>IF(ISBLANK('Data Input'!I789),"",'Data Input'!I789)</f>
        <v>8=6=18 1256</v>
      </c>
      <c r="K789" t="str">
        <f>IF(ISBLANK('Data Input'!J789),"",'Data Input'!J789)</f>
        <v>rr - Percocet</v>
      </c>
      <c r="L789">
        <f>IF(ISBLANK('Data Input'!K789),"",'Data Input'!K789)</f>
        <v>2</v>
      </c>
      <c r="M789">
        <f>IF(ISBLANK('Data Input'!L789),"",'Data Input'!L789)</f>
        <v>3</v>
      </c>
      <c r="N789">
        <f>IF(ISBLANK('Data Input'!M789),"",'Data Input'!M789)</f>
        <v>1</v>
      </c>
      <c r="O789" t="str">
        <f>IF(ISBLANK('Data Input'!N789),"",'Data Input'!N789)</f>
        <v/>
      </c>
      <c r="P789" t="str">
        <f>IF(ISBLANK('Data Input'!O789),"",'Data Input'!O789)</f>
        <v/>
      </c>
      <c r="Q789" t="str">
        <f>IF(ISBLANK('Data Input'!P789),"",'Data Input'!P789)</f>
        <v>Pt. had headache + wanted to nap</v>
      </c>
      <c r="R789" t="b">
        <f>IF(ISBLANK('Data Input'!Q789),"",'Data Input'!Q789)</f>
        <v>1</v>
      </c>
      <c r="T789" s="2" t="e">
        <f t="shared" si="50"/>
        <v>#VALUE!</v>
      </c>
      <c r="U789" s="12">
        <f t="shared" si="51"/>
        <v>0.26041666666666669</v>
      </c>
      <c r="V789" s="2" t="str">
        <f t="shared" si="52"/>
        <v>8=7=18 1630</v>
      </c>
      <c r="W789" s="12">
        <f t="shared" si="53"/>
        <v>0.6875</v>
      </c>
    </row>
    <row r="790" spans="1:23">
      <c r="A790">
        <f>IF(ISBLANK('Data Input'!A790),"",'Data Input'!A790)</f>
        <v>172</v>
      </c>
      <c r="B790" t="str">
        <f>IF(ISBLANK('Data Input'!B790),"",'Data Input'!B790)</f>
        <v>AP013</v>
      </c>
      <c r="C790" t="str">
        <f>IF(ISBLANK('Data Input'!C790),"",'Data Input'!C790)</f>
        <v>8=12=18 0930</v>
      </c>
      <c r="E790" t="str">
        <f>IF(ISBLANK('Data Input'!D790),"",'Data Input'!D790)</f>
        <v>8=14=18 0800</v>
      </c>
      <c r="G790">
        <f>IF(ISBLANK('Data Input'!E790),"",'Data Input'!E790)</f>
        <v>27</v>
      </c>
      <c r="H790" t="str">
        <f>IF(ISBLANK('Data Input'!F790),"",'Data Input'!F790)</f>
        <v>bb - Black</v>
      </c>
      <c r="I790" t="str">
        <f>IF(ISBLANK('Data Input'!G790),"",'Data Input'!G790)</f>
        <v>SVD</v>
      </c>
      <c r="J790" t="str">
        <f>IF(ISBLANK('Data Input'!I790),"",'Data Input'!I790)</f>
        <v>8=12=18 1158</v>
      </c>
      <c r="K790" t="str">
        <f>IF(ISBLANK('Data Input'!J790),"",'Data Input'!J790)</f>
        <v>bb - Ibuprofen</v>
      </c>
      <c r="L790">
        <f>IF(ISBLANK('Data Input'!K790),"",'Data Input'!K790)</f>
        <v>800</v>
      </c>
      <c r="M790">
        <f>IF(ISBLANK('Data Input'!L790),"",'Data Input'!L790)</f>
        <v>5</v>
      </c>
      <c r="N790">
        <f>IF(ISBLANK('Data Input'!M790),"",'Data Input'!M790)</f>
        <v>3</v>
      </c>
      <c r="O790" t="str">
        <f>IF(ISBLANK('Data Input'!N790),"",'Data Input'!N790)</f>
        <v/>
      </c>
      <c r="P790" t="str">
        <f>IF(ISBLANK('Data Input'!O790),"",'Data Input'!O790)</f>
        <v/>
      </c>
      <c r="Q790" t="str">
        <f>IF(ISBLANK('Data Input'!P790),"",'Data Input'!P790)</f>
        <v>Pt. states that TT session helped [decrease] pain a lot</v>
      </c>
      <c r="R790" t="b">
        <f>IF(ISBLANK('Data Input'!Q790),"",'Data Input'!Q790)</f>
        <v>0</v>
      </c>
      <c r="T790" s="2" t="e">
        <f t="shared" si="50"/>
        <v>#VALUE!</v>
      </c>
      <c r="U790" s="12">
        <f t="shared" si="51"/>
        <v>0.39583333333333331</v>
      </c>
      <c r="V790" s="2" t="str">
        <f t="shared" si="52"/>
        <v>8=14=18 0800</v>
      </c>
      <c r="W790" s="12">
        <f t="shared" si="53"/>
        <v>0.33333333333333331</v>
      </c>
    </row>
    <row r="791" spans="1:23">
      <c r="A791">
        <f>IF(ISBLANK('Data Input'!A791),"",'Data Input'!A791)</f>
        <v>172</v>
      </c>
      <c r="B791" t="str">
        <f>IF(ISBLANK('Data Input'!B791),"",'Data Input'!B791)</f>
        <v>AP013</v>
      </c>
      <c r="C791" t="str">
        <f>IF(ISBLANK('Data Input'!C791),"",'Data Input'!C791)</f>
        <v>8=12=18 0930</v>
      </c>
      <c r="E791" t="str">
        <f>IF(ISBLANK('Data Input'!D791),"",'Data Input'!D791)</f>
        <v>8=14=18 0800</v>
      </c>
      <c r="G791">
        <f>IF(ISBLANK('Data Input'!E791),"",'Data Input'!E791)</f>
        <v>27</v>
      </c>
      <c r="H791" t="str">
        <f>IF(ISBLANK('Data Input'!F791),"",'Data Input'!F791)</f>
        <v>bb - Black</v>
      </c>
      <c r="I791" t="str">
        <f>IF(ISBLANK('Data Input'!G791),"",'Data Input'!G791)</f>
        <v>SVD</v>
      </c>
      <c r="J791" t="str">
        <f>IF(ISBLANK('Data Input'!I791),"",'Data Input'!I791)</f>
        <v>8=12=18 1158</v>
      </c>
      <c r="K791" t="str">
        <f>IF(ISBLANK('Data Input'!J791),"",'Data Input'!J791)</f>
        <v>rr - Percocet</v>
      </c>
      <c r="L791">
        <f>IF(ISBLANK('Data Input'!K791),"",'Data Input'!K791)</f>
        <v>1</v>
      </c>
      <c r="M791">
        <f>IF(ISBLANK('Data Input'!L791),"",'Data Input'!L791)</f>
        <v>5</v>
      </c>
      <c r="N791">
        <f>IF(ISBLANK('Data Input'!M791),"",'Data Input'!M791)</f>
        <v>3</v>
      </c>
      <c r="O791" t="str">
        <f>IF(ISBLANK('Data Input'!N791),"",'Data Input'!N791)</f>
        <v/>
      </c>
      <c r="P791" t="str">
        <f>IF(ISBLANK('Data Input'!O791),"",'Data Input'!O791)</f>
        <v/>
      </c>
      <c r="Q791" t="str">
        <f>IF(ISBLANK('Data Input'!P791),"",'Data Input'!P791)</f>
        <v>Pt. states that TT session helped [decrease] pain a lot</v>
      </c>
      <c r="R791" t="b">
        <f>IF(ISBLANK('Data Input'!Q791),"",'Data Input'!Q791)</f>
        <v>0</v>
      </c>
      <c r="T791" s="2" t="e">
        <f t="shared" si="50"/>
        <v>#VALUE!</v>
      </c>
      <c r="U791" s="12">
        <f t="shared" si="51"/>
        <v>0.39583333333333331</v>
      </c>
      <c r="V791" s="2" t="str">
        <f t="shared" si="52"/>
        <v>8=14=18 0800</v>
      </c>
      <c r="W791" s="12">
        <f t="shared" si="53"/>
        <v>0.33333333333333331</v>
      </c>
    </row>
    <row r="792" spans="1:23">
      <c r="A792">
        <f>IF(ISBLANK('Data Input'!A792),"",'Data Input'!A792)</f>
        <v>172</v>
      </c>
      <c r="B792" t="str">
        <f>IF(ISBLANK('Data Input'!B792),"",'Data Input'!B792)</f>
        <v>AP013</v>
      </c>
      <c r="C792" t="str">
        <f>IF(ISBLANK('Data Input'!C792),"",'Data Input'!C792)</f>
        <v>8=12=18 0930</v>
      </c>
      <c r="E792" t="str">
        <f>IF(ISBLANK('Data Input'!D792),"",'Data Input'!D792)</f>
        <v>8=14=18 0800</v>
      </c>
      <c r="G792">
        <f>IF(ISBLANK('Data Input'!E792),"",'Data Input'!E792)</f>
        <v>27</v>
      </c>
      <c r="H792" t="str">
        <f>IF(ISBLANK('Data Input'!F792),"",'Data Input'!F792)</f>
        <v>bb - Black</v>
      </c>
      <c r="I792" t="str">
        <f>IF(ISBLANK('Data Input'!G792),"",'Data Input'!G792)</f>
        <v>SVD</v>
      </c>
      <c r="J792" t="str">
        <f>IF(ISBLANK('Data Input'!I792),"",'Data Input'!I792)</f>
        <v>8=12=18 2144</v>
      </c>
      <c r="K792" t="str">
        <f>IF(ISBLANK('Data Input'!J792),"",'Data Input'!J792)</f>
        <v>bb - Ibuprofen</v>
      </c>
      <c r="L792">
        <f>IF(ISBLANK('Data Input'!K792),"",'Data Input'!K792)</f>
        <v>800</v>
      </c>
      <c r="M792">
        <f>IF(ISBLANK('Data Input'!L792),"",'Data Input'!L792)</f>
        <v>6</v>
      </c>
      <c r="N792">
        <f>IF(ISBLANK('Data Input'!M792),"",'Data Input'!M792)</f>
        <v>2</v>
      </c>
      <c r="O792" t="str">
        <f>IF(ISBLANK('Data Input'!N792),"",'Data Input'!N792)</f>
        <v/>
      </c>
      <c r="P792" t="str">
        <f>IF(ISBLANK('Data Input'!O792),"",'Data Input'!O792)</f>
        <v/>
      </c>
      <c r="Q792" t="str">
        <f>IF(ISBLANK('Data Input'!P792),"",'Data Input'!P792)</f>
        <v>Pt. states that TT session helped [decrease] pain a lot</v>
      </c>
      <c r="R792" t="b">
        <f>IF(ISBLANK('Data Input'!Q792),"",'Data Input'!Q792)</f>
        <v>0</v>
      </c>
      <c r="T792" s="2" t="e">
        <f t="shared" si="50"/>
        <v>#VALUE!</v>
      </c>
      <c r="U792" s="12">
        <f t="shared" si="51"/>
        <v>0.39583333333333331</v>
      </c>
      <c r="V792" s="2" t="str">
        <f t="shared" si="52"/>
        <v>8=14=18 0800</v>
      </c>
      <c r="W792" s="12">
        <f t="shared" si="53"/>
        <v>0.33333333333333331</v>
      </c>
    </row>
    <row r="793" spans="1:23">
      <c r="A793">
        <f>IF(ISBLANK('Data Input'!A793),"",'Data Input'!A793)</f>
        <v>172</v>
      </c>
      <c r="B793" t="str">
        <f>IF(ISBLANK('Data Input'!B793),"",'Data Input'!B793)</f>
        <v>AP013</v>
      </c>
      <c r="C793" t="str">
        <f>IF(ISBLANK('Data Input'!C793),"",'Data Input'!C793)</f>
        <v>8=12=18 0930</v>
      </c>
      <c r="E793" t="str">
        <f>IF(ISBLANK('Data Input'!D793),"",'Data Input'!D793)</f>
        <v>8=14=18 0800</v>
      </c>
      <c r="G793">
        <f>IF(ISBLANK('Data Input'!E793),"",'Data Input'!E793)</f>
        <v>27</v>
      </c>
      <c r="H793" t="str">
        <f>IF(ISBLANK('Data Input'!F793),"",'Data Input'!F793)</f>
        <v>bb - Black</v>
      </c>
      <c r="I793" t="str">
        <f>IF(ISBLANK('Data Input'!G793),"",'Data Input'!G793)</f>
        <v>SVD</v>
      </c>
      <c r="J793" t="str">
        <f>IF(ISBLANK('Data Input'!I793),"",'Data Input'!I793)</f>
        <v>8=12=18 2144</v>
      </c>
      <c r="K793" t="str">
        <f>IF(ISBLANK('Data Input'!J793),"",'Data Input'!J793)</f>
        <v>rr - Percocet</v>
      </c>
      <c r="L793">
        <f>IF(ISBLANK('Data Input'!K793),"",'Data Input'!K793)</f>
        <v>1</v>
      </c>
      <c r="M793">
        <f>IF(ISBLANK('Data Input'!L793),"",'Data Input'!L793)</f>
        <v>6</v>
      </c>
      <c r="N793">
        <f>IF(ISBLANK('Data Input'!M793),"",'Data Input'!M793)</f>
        <v>2</v>
      </c>
      <c r="O793" t="str">
        <f>IF(ISBLANK('Data Input'!N793),"",'Data Input'!N793)</f>
        <v/>
      </c>
      <c r="P793" t="str">
        <f>IF(ISBLANK('Data Input'!O793),"",'Data Input'!O793)</f>
        <v/>
      </c>
      <c r="Q793" t="str">
        <f>IF(ISBLANK('Data Input'!P793),"",'Data Input'!P793)</f>
        <v>Pt. states that TT session helped [decrease] pain a lot</v>
      </c>
      <c r="R793" t="b">
        <f>IF(ISBLANK('Data Input'!Q793),"",'Data Input'!Q793)</f>
        <v>0</v>
      </c>
      <c r="T793" s="2" t="e">
        <f t="shared" si="50"/>
        <v>#VALUE!</v>
      </c>
      <c r="U793" s="12">
        <f t="shared" si="51"/>
        <v>0.39583333333333331</v>
      </c>
      <c r="V793" s="2" t="str">
        <f t="shared" si="52"/>
        <v>8=14=18 0800</v>
      </c>
      <c r="W793" s="12">
        <f t="shared" si="53"/>
        <v>0.33333333333333331</v>
      </c>
    </row>
    <row r="794" spans="1:23">
      <c r="A794">
        <f>IF(ISBLANK('Data Input'!A794),"",'Data Input'!A794)</f>
        <v>172</v>
      </c>
      <c r="B794" t="str">
        <f>IF(ISBLANK('Data Input'!B794),"",'Data Input'!B794)</f>
        <v>AP013</v>
      </c>
      <c r="C794" t="str">
        <f>IF(ISBLANK('Data Input'!C794),"",'Data Input'!C794)</f>
        <v>8=12=18 0930</v>
      </c>
      <c r="E794" t="str">
        <f>IF(ISBLANK('Data Input'!D794),"",'Data Input'!D794)</f>
        <v>8=14=18 0800</v>
      </c>
      <c r="G794">
        <f>IF(ISBLANK('Data Input'!E794),"",'Data Input'!E794)</f>
        <v>27</v>
      </c>
      <c r="H794" t="str">
        <f>IF(ISBLANK('Data Input'!F794),"",'Data Input'!F794)</f>
        <v>bb - Black</v>
      </c>
      <c r="I794" t="str">
        <f>IF(ISBLANK('Data Input'!G794),"",'Data Input'!G794)</f>
        <v>SVD</v>
      </c>
      <c r="J794" t="str">
        <f>IF(ISBLANK('Data Input'!I794),"",'Data Input'!I794)</f>
        <v>8=13=18 0425</v>
      </c>
      <c r="K794" t="str">
        <f>IF(ISBLANK('Data Input'!J794),"",'Data Input'!J794)</f>
        <v>bb - Ibuprofen</v>
      </c>
      <c r="L794">
        <f>IF(ISBLANK('Data Input'!K794),"",'Data Input'!K794)</f>
        <v>800</v>
      </c>
      <c r="M794">
        <f>IF(ISBLANK('Data Input'!L794),"",'Data Input'!L794)</f>
        <v>4</v>
      </c>
      <c r="N794">
        <f>IF(ISBLANK('Data Input'!M794),"",'Data Input'!M794)</f>
        <v>0</v>
      </c>
      <c r="O794" t="str">
        <f>IF(ISBLANK('Data Input'!N794),"",'Data Input'!N794)</f>
        <v/>
      </c>
      <c r="P794" t="str">
        <f>IF(ISBLANK('Data Input'!O794),"",'Data Input'!O794)</f>
        <v/>
      </c>
      <c r="Q794" t="str">
        <f>IF(ISBLANK('Data Input'!P794),"",'Data Input'!P794)</f>
        <v>Pt. states that TT session helped [decrease] pain a lot</v>
      </c>
      <c r="R794" t="b">
        <f>IF(ISBLANK('Data Input'!Q794),"",'Data Input'!Q794)</f>
        <v>0</v>
      </c>
      <c r="T794" s="2" t="e">
        <f t="shared" si="50"/>
        <v>#VALUE!</v>
      </c>
      <c r="U794" s="12">
        <f t="shared" si="51"/>
        <v>0.39583333333333331</v>
      </c>
      <c r="V794" s="2" t="str">
        <f t="shared" si="52"/>
        <v>8=14=18 0800</v>
      </c>
      <c r="W794" s="12">
        <f t="shared" si="53"/>
        <v>0.33333333333333331</v>
      </c>
    </row>
    <row r="795" spans="1:23">
      <c r="A795">
        <f>IF(ISBLANK('Data Input'!A795),"",'Data Input'!A795)</f>
        <v>172</v>
      </c>
      <c r="B795" t="str">
        <f>IF(ISBLANK('Data Input'!B795),"",'Data Input'!B795)</f>
        <v>AP013</v>
      </c>
      <c r="C795" t="str">
        <f>IF(ISBLANK('Data Input'!C795),"",'Data Input'!C795)</f>
        <v>8=12=18 0930</v>
      </c>
      <c r="E795" t="str">
        <f>IF(ISBLANK('Data Input'!D795),"",'Data Input'!D795)</f>
        <v>8=14=18 0800</v>
      </c>
      <c r="G795">
        <f>IF(ISBLANK('Data Input'!E795),"",'Data Input'!E795)</f>
        <v>27</v>
      </c>
      <c r="H795" t="str">
        <f>IF(ISBLANK('Data Input'!F795),"",'Data Input'!F795)</f>
        <v>bb - Black</v>
      </c>
      <c r="I795" t="str">
        <f>IF(ISBLANK('Data Input'!G795),"",'Data Input'!G795)</f>
        <v>SVD</v>
      </c>
      <c r="J795" t="str">
        <f>IF(ISBLANK('Data Input'!I795),"",'Data Input'!I795)</f>
        <v>8=13=18 0425</v>
      </c>
      <c r="K795" t="str">
        <f>IF(ISBLANK('Data Input'!J795),"",'Data Input'!J795)</f>
        <v>rr - Percocet</v>
      </c>
      <c r="L795">
        <f>IF(ISBLANK('Data Input'!K795),"",'Data Input'!K795)</f>
        <v>1</v>
      </c>
      <c r="M795">
        <f>IF(ISBLANK('Data Input'!L795),"",'Data Input'!L795)</f>
        <v>4</v>
      </c>
      <c r="N795">
        <f>IF(ISBLANK('Data Input'!M795),"",'Data Input'!M795)</f>
        <v>0</v>
      </c>
      <c r="O795" t="str">
        <f>IF(ISBLANK('Data Input'!N795),"",'Data Input'!N795)</f>
        <v/>
      </c>
      <c r="P795" t="str">
        <f>IF(ISBLANK('Data Input'!O795),"",'Data Input'!O795)</f>
        <v/>
      </c>
      <c r="Q795" t="str">
        <f>IF(ISBLANK('Data Input'!P795),"",'Data Input'!P795)</f>
        <v>Pt. states that TT session helped [decrease] pain a lot</v>
      </c>
      <c r="R795" t="b">
        <f>IF(ISBLANK('Data Input'!Q795),"",'Data Input'!Q795)</f>
        <v>0</v>
      </c>
      <c r="T795" s="2" t="e">
        <f t="shared" si="50"/>
        <v>#VALUE!</v>
      </c>
      <c r="U795" s="12">
        <f t="shared" si="51"/>
        <v>0.39583333333333331</v>
      </c>
      <c r="V795" s="2" t="str">
        <f t="shared" si="52"/>
        <v>8=14=18 0800</v>
      </c>
      <c r="W795" s="12">
        <f t="shared" si="53"/>
        <v>0.33333333333333331</v>
      </c>
    </row>
    <row r="796" spans="1:23">
      <c r="A796">
        <f>IF(ISBLANK('Data Input'!A796),"",'Data Input'!A796)</f>
        <v>172</v>
      </c>
      <c r="B796" t="str">
        <f>IF(ISBLANK('Data Input'!B796),"",'Data Input'!B796)</f>
        <v>AP013</v>
      </c>
      <c r="C796" t="str">
        <f>IF(ISBLANK('Data Input'!C796),"",'Data Input'!C796)</f>
        <v>8=12=18 0930</v>
      </c>
      <c r="E796" t="str">
        <f>IF(ISBLANK('Data Input'!D796),"",'Data Input'!D796)</f>
        <v>8=14=18 0800</v>
      </c>
      <c r="G796">
        <f>IF(ISBLANK('Data Input'!E796),"",'Data Input'!E796)</f>
        <v>27</v>
      </c>
      <c r="H796" t="str">
        <f>IF(ISBLANK('Data Input'!F796),"",'Data Input'!F796)</f>
        <v>bb - Black</v>
      </c>
      <c r="I796" t="str">
        <f>IF(ISBLANK('Data Input'!G796),"",'Data Input'!G796)</f>
        <v>SVD</v>
      </c>
      <c r="J796" t="str">
        <f>IF(ISBLANK('Data Input'!I796),"",'Data Input'!I796)</f>
        <v>8=13=18 0758</v>
      </c>
      <c r="K796" t="str">
        <f>IF(ISBLANK('Data Input'!J796),"",'Data Input'!J796)</f>
        <v>bb - Ibuprofen</v>
      </c>
      <c r="L796">
        <f>IF(ISBLANK('Data Input'!K796),"",'Data Input'!K796)</f>
        <v>800</v>
      </c>
      <c r="M796">
        <f>IF(ISBLANK('Data Input'!L796),"",'Data Input'!L796)</f>
        <v>4</v>
      </c>
      <c r="N796">
        <f>IF(ISBLANK('Data Input'!M796),"",'Data Input'!M796)</f>
        <v>2</v>
      </c>
      <c r="O796" t="str">
        <f>IF(ISBLANK('Data Input'!N796),"",'Data Input'!N796)</f>
        <v/>
      </c>
      <c r="P796" t="str">
        <f>IF(ISBLANK('Data Input'!O796),"",'Data Input'!O796)</f>
        <v/>
      </c>
      <c r="Q796" t="str">
        <f>IF(ISBLANK('Data Input'!P796),"",'Data Input'!P796)</f>
        <v>Pt. states that TT session helped [decrease] pain a lot</v>
      </c>
      <c r="R796" t="b">
        <f>IF(ISBLANK('Data Input'!Q796),"",'Data Input'!Q796)</f>
        <v>0</v>
      </c>
      <c r="T796" s="2" t="e">
        <f t="shared" si="50"/>
        <v>#VALUE!</v>
      </c>
      <c r="U796" s="12">
        <f t="shared" si="51"/>
        <v>0.39583333333333331</v>
      </c>
      <c r="V796" s="2" t="str">
        <f t="shared" si="52"/>
        <v>8=14=18 0800</v>
      </c>
      <c r="W796" s="12">
        <f t="shared" si="53"/>
        <v>0.33333333333333331</v>
      </c>
    </row>
    <row r="797" spans="1:23">
      <c r="A797">
        <f>IF(ISBLANK('Data Input'!A797),"",'Data Input'!A797)</f>
        <v>172</v>
      </c>
      <c r="B797" t="str">
        <f>IF(ISBLANK('Data Input'!B797),"",'Data Input'!B797)</f>
        <v>AP013</v>
      </c>
      <c r="C797" t="str">
        <f>IF(ISBLANK('Data Input'!C797),"",'Data Input'!C797)</f>
        <v>8=12=18 0930</v>
      </c>
      <c r="E797" t="str">
        <f>IF(ISBLANK('Data Input'!D797),"",'Data Input'!D797)</f>
        <v>8=14=18 0800</v>
      </c>
      <c r="G797">
        <f>IF(ISBLANK('Data Input'!E797),"",'Data Input'!E797)</f>
        <v>27</v>
      </c>
      <c r="H797" t="str">
        <f>IF(ISBLANK('Data Input'!F797),"",'Data Input'!F797)</f>
        <v>bb - Black</v>
      </c>
      <c r="I797" t="str">
        <f>IF(ISBLANK('Data Input'!G797),"",'Data Input'!G797)</f>
        <v>SVD</v>
      </c>
      <c r="J797" t="str">
        <f>IF(ISBLANK('Data Input'!I797),"",'Data Input'!I797)</f>
        <v>8=13=18 1200</v>
      </c>
      <c r="K797" t="str">
        <f>IF(ISBLANK('Data Input'!J797),"",'Data Input'!J797)</f>
        <v>rr - Percocet</v>
      </c>
      <c r="L797">
        <f>IF(ISBLANK('Data Input'!K797),"",'Data Input'!K797)</f>
        <v>1</v>
      </c>
      <c r="M797" t="str">
        <f>IF(ISBLANK('Data Input'!L797),"",'Data Input'!L797)</f>
        <v>dd - Missing Data</v>
      </c>
      <c r="N797" t="str">
        <f>IF(ISBLANK('Data Input'!M797),"",'Data Input'!M797)</f>
        <v>dd - Missing Data</v>
      </c>
      <c r="O797" t="str">
        <f>IF(ISBLANK('Data Input'!N797),"",'Data Input'!N797)</f>
        <v/>
      </c>
      <c r="P797" t="str">
        <f>IF(ISBLANK('Data Input'!O797),"",'Data Input'!O797)</f>
        <v/>
      </c>
      <c r="Q797" t="str">
        <f>IF(ISBLANK('Data Input'!P797),"",'Data Input'!P797)</f>
        <v>Pt. states that TT session helped [decrease] pain a lot</v>
      </c>
      <c r="R797" t="b">
        <f>IF(ISBLANK('Data Input'!Q797),"",'Data Input'!Q797)</f>
        <v>0</v>
      </c>
      <c r="T797" s="2" t="e">
        <f t="shared" si="50"/>
        <v>#VALUE!</v>
      </c>
      <c r="U797" s="12">
        <f t="shared" si="51"/>
        <v>0.39583333333333331</v>
      </c>
      <c r="V797" s="2" t="str">
        <f t="shared" si="52"/>
        <v>8=14=18 0800</v>
      </c>
      <c r="W797" s="12">
        <f t="shared" si="53"/>
        <v>0.33333333333333331</v>
      </c>
    </row>
    <row r="798" spans="1:23">
      <c r="A798">
        <f>IF(ISBLANK('Data Input'!A798),"",'Data Input'!A798)</f>
        <v>172</v>
      </c>
      <c r="B798" t="str">
        <f>IF(ISBLANK('Data Input'!B798),"",'Data Input'!B798)</f>
        <v>AP013</v>
      </c>
      <c r="C798" t="str">
        <f>IF(ISBLANK('Data Input'!C798),"",'Data Input'!C798)</f>
        <v>8=12=18 0930</v>
      </c>
      <c r="E798" t="str">
        <f>IF(ISBLANK('Data Input'!D798),"",'Data Input'!D798)</f>
        <v>8=14=18 0800</v>
      </c>
      <c r="G798">
        <f>IF(ISBLANK('Data Input'!E798),"",'Data Input'!E798)</f>
        <v>27</v>
      </c>
      <c r="H798" t="str">
        <f>IF(ISBLANK('Data Input'!F798),"",'Data Input'!F798)</f>
        <v>bb - Black</v>
      </c>
      <c r="I798" t="str">
        <f>IF(ISBLANK('Data Input'!G798),"",'Data Input'!G798)</f>
        <v>SVD</v>
      </c>
      <c r="J798" t="str">
        <f>IF(ISBLANK('Data Input'!I798),"",'Data Input'!I798)</f>
        <v>8=13=18 1408</v>
      </c>
      <c r="K798" t="str">
        <f>IF(ISBLANK('Data Input'!J798),"",'Data Input'!J798)</f>
        <v>bb - Ibuprofen</v>
      </c>
      <c r="L798">
        <f>IF(ISBLANK('Data Input'!K798),"",'Data Input'!K798)</f>
        <v>800</v>
      </c>
      <c r="M798">
        <f>IF(ISBLANK('Data Input'!L798),"",'Data Input'!L798)</f>
        <v>5</v>
      </c>
      <c r="N798">
        <f>IF(ISBLANK('Data Input'!M798),"",'Data Input'!M798)</f>
        <v>2</v>
      </c>
      <c r="O798" t="str">
        <f>IF(ISBLANK('Data Input'!N798),"",'Data Input'!N798)</f>
        <v/>
      </c>
      <c r="P798" t="str">
        <f>IF(ISBLANK('Data Input'!O798),"",'Data Input'!O798)</f>
        <v/>
      </c>
      <c r="Q798" t="str">
        <f>IF(ISBLANK('Data Input'!P798),"",'Data Input'!P798)</f>
        <v>Pt. states that TT session helped [decrease] pain a lot</v>
      </c>
      <c r="R798" t="b">
        <f>IF(ISBLANK('Data Input'!Q798),"",'Data Input'!Q798)</f>
        <v>0</v>
      </c>
      <c r="T798" s="2" t="e">
        <f t="shared" si="50"/>
        <v>#VALUE!</v>
      </c>
      <c r="U798" s="12">
        <f t="shared" si="51"/>
        <v>0.39583333333333331</v>
      </c>
      <c r="V798" s="2" t="str">
        <f t="shared" si="52"/>
        <v>8=14=18 0800</v>
      </c>
      <c r="W798" s="12">
        <f t="shared" si="53"/>
        <v>0.33333333333333331</v>
      </c>
    </row>
    <row r="799" spans="1:23">
      <c r="A799">
        <f>IF(ISBLANK('Data Input'!A799),"",'Data Input'!A799)</f>
        <v>172</v>
      </c>
      <c r="B799" t="str">
        <f>IF(ISBLANK('Data Input'!B799),"",'Data Input'!B799)</f>
        <v>AP013</v>
      </c>
      <c r="C799" t="str">
        <f>IF(ISBLANK('Data Input'!C799),"",'Data Input'!C799)</f>
        <v>8=12=18 0930</v>
      </c>
      <c r="E799" t="str">
        <f>IF(ISBLANK('Data Input'!D799),"",'Data Input'!D799)</f>
        <v>8=14=18 0800</v>
      </c>
      <c r="G799">
        <f>IF(ISBLANK('Data Input'!E799),"",'Data Input'!E799)</f>
        <v>27</v>
      </c>
      <c r="H799" t="str">
        <f>IF(ISBLANK('Data Input'!F799),"",'Data Input'!F799)</f>
        <v>bb - Black</v>
      </c>
      <c r="I799" t="str">
        <f>IF(ISBLANK('Data Input'!G799),"",'Data Input'!G799)</f>
        <v>SVD</v>
      </c>
      <c r="J799" t="str">
        <f>IF(ISBLANK('Data Input'!I799),"",'Data Input'!I799)</f>
        <v>8=13=18 1408</v>
      </c>
      <c r="K799" t="str">
        <f>IF(ISBLANK('Data Input'!J799),"",'Data Input'!J799)</f>
        <v>rr - Percocet</v>
      </c>
      <c r="L799">
        <f>IF(ISBLANK('Data Input'!K799),"",'Data Input'!K799)</f>
        <v>1</v>
      </c>
      <c r="M799">
        <f>IF(ISBLANK('Data Input'!L799),"",'Data Input'!L799)</f>
        <v>5</v>
      </c>
      <c r="N799">
        <f>IF(ISBLANK('Data Input'!M799),"",'Data Input'!M799)</f>
        <v>2</v>
      </c>
      <c r="O799" t="str">
        <f>IF(ISBLANK('Data Input'!N799),"",'Data Input'!N799)</f>
        <v/>
      </c>
      <c r="P799" t="str">
        <f>IF(ISBLANK('Data Input'!O799),"",'Data Input'!O799)</f>
        <v/>
      </c>
      <c r="Q799" t="str">
        <f>IF(ISBLANK('Data Input'!P799),"",'Data Input'!P799)</f>
        <v>Pt. states that TT session helped [decrease] pain a lot</v>
      </c>
      <c r="R799" t="b">
        <f>IF(ISBLANK('Data Input'!Q799),"",'Data Input'!Q799)</f>
        <v>0</v>
      </c>
      <c r="T799" s="2" t="e">
        <f t="shared" si="50"/>
        <v>#VALUE!</v>
      </c>
      <c r="U799" s="12">
        <f t="shared" si="51"/>
        <v>0.39583333333333331</v>
      </c>
      <c r="V799" s="2" t="str">
        <f t="shared" si="52"/>
        <v>8=14=18 0800</v>
      </c>
      <c r="W799" s="12">
        <f t="shared" si="53"/>
        <v>0.33333333333333331</v>
      </c>
    </row>
    <row r="800" spans="1:23">
      <c r="A800">
        <f>IF(ISBLANK('Data Input'!A800),"",'Data Input'!A800)</f>
        <v>172</v>
      </c>
      <c r="B800" t="str">
        <f>IF(ISBLANK('Data Input'!B800),"",'Data Input'!B800)</f>
        <v>AP013</v>
      </c>
      <c r="C800" t="str">
        <f>IF(ISBLANK('Data Input'!C800),"",'Data Input'!C800)</f>
        <v>8=12=18 0930</v>
      </c>
      <c r="E800" t="str">
        <f>IF(ISBLANK('Data Input'!D800),"",'Data Input'!D800)</f>
        <v>8=14=18 0800</v>
      </c>
      <c r="G800">
        <f>IF(ISBLANK('Data Input'!E800),"",'Data Input'!E800)</f>
        <v>27</v>
      </c>
      <c r="H800" t="str">
        <f>IF(ISBLANK('Data Input'!F800),"",'Data Input'!F800)</f>
        <v>bb - Black</v>
      </c>
      <c r="I800" t="str">
        <f>IF(ISBLANK('Data Input'!G800),"",'Data Input'!G800)</f>
        <v>SVD</v>
      </c>
      <c r="J800" t="str">
        <f>IF(ISBLANK('Data Input'!I800),"",'Data Input'!I800)</f>
        <v>8=13=18 2302</v>
      </c>
      <c r="K800" t="str">
        <f>IF(ISBLANK('Data Input'!J800),"",'Data Input'!J800)</f>
        <v>bb - Ibuprofen</v>
      </c>
      <c r="L800">
        <f>IF(ISBLANK('Data Input'!K800),"",'Data Input'!K800)</f>
        <v>800</v>
      </c>
      <c r="M800">
        <f>IF(ISBLANK('Data Input'!L800),"",'Data Input'!L800)</f>
        <v>5</v>
      </c>
      <c r="N800">
        <f>IF(ISBLANK('Data Input'!M800),"",'Data Input'!M800)</f>
        <v>0</v>
      </c>
      <c r="O800" t="str">
        <f>IF(ISBLANK('Data Input'!N800),"",'Data Input'!N800)</f>
        <v/>
      </c>
      <c r="P800" t="str">
        <f>IF(ISBLANK('Data Input'!O800),"",'Data Input'!O800)</f>
        <v/>
      </c>
      <c r="Q800" t="str">
        <f>IF(ISBLANK('Data Input'!P800),"",'Data Input'!P800)</f>
        <v>Pt. states that TT session helped [decrease] pain a lot</v>
      </c>
      <c r="R800" t="b">
        <f>IF(ISBLANK('Data Input'!Q800),"",'Data Input'!Q800)</f>
        <v>0</v>
      </c>
      <c r="T800" s="2" t="e">
        <f t="shared" si="50"/>
        <v>#VALUE!</v>
      </c>
      <c r="U800" s="12">
        <f t="shared" si="51"/>
        <v>0.39583333333333331</v>
      </c>
      <c r="V800" s="2" t="str">
        <f t="shared" si="52"/>
        <v>8=14=18 0800</v>
      </c>
      <c r="W800" s="12">
        <f t="shared" si="53"/>
        <v>0.33333333333333331</v>
      </c>
    </row>
    <row r="801" spans="1:23">
      <c r="A801">
        <f>IF(ISBLANK('Data Input'!A801),"",'Data Input'!A801)</f>
        <v>172</v>
      </c>
      <c r="B801" t="str">
        <f>IF(ISBLANK('Data Input'!B801),"",'Data Input'!B801)</f>
        <v>AP013</v>
      </c>
      <c r="C801" t="str">
        <f>IF(ISBLANK('Data Input'!C801),"",'Data Input'!C801)</f>
        <v>8=12=18 0930</v>
      </c>
      <c r="E801" t="str">
        <f>IF(ISBLANK('Data Input'!D801),"",'Data Input'!D801)</f>
        <v>8=14=18 0800</v>
      </c>
      <c r="G801">
        <f>IF(ISBLANK('Data Input'!E801),"",'Data Input'!E801)</f>
        <v>27</v>
      </c>
      <c r="H801" t="str">
        <f>IF(ISBLANK('Data Input'!F801),"",'Data Input'!F801)</f>
        <v>bb - Black</v>
      </c>
      <c r="I801" t="str">
        <f>IF(ISBLANK('Data Input'!G801),"",'Data Input'!G801)</f>
        <v>SVD</v>
      </c>
      <c r="J801" t="str">
        <f>IF(ISBLANK('Data Input'!I801),"",'Data Input'!I801)</f>
        <v>8=13=18 2302</v>
      </c>
      <c r="K801" t="str">
        <f>IF(ISBLANK('Data Input'!J801),"",'Data Input'!J801)</f>
        <v>rr - Percocet</v>
      </c>
      <c r="L801">
        <f>IF(ISBLANK('Data Input'!K801),"",'Data Input'!K801)</f>
        <v>1</v>
      </c>
      <c r="M801">
        <f>IF(ISBLANK('Data Input'!L801),"",'Data Input'!L801)</f>
        <v>5</v>
      </c>
      <c r="N801">
        <f>IF(ISBLANK('Data Input'!M801),"",'Data Input'!M801)</f>
        <v>0</v>
      </c>
      <c r="O801" t="str">
        <f>IF(ISBLANK('Data Input'!N801),"",'Data Input'!N801)</f>
        <v/>
      </c>
      <c r="P801" t="str">
        <f>IF(ISBLANK('Data Input'!O801),"",'Data Input'!O801)</f>
        <v/>
      </c>
      <c r="Q801" t="str">
        <f>IF(ISBLANK('Data Input'!P801),"",'Data Input'!P801)</f>
        <v>Pt. states that TT session helped [decrease] pain a lot</v>
      </c>
      <c r="R801" t="b">
        <f>IF(ISBLANK('Data Input'!Q801),"",'Data Input'!Q801)</f>
        <v>0</v>
      </c>
      <c r="T801" s="2" t="e">
        <f t="shared" si="50"/>
        <v>#VALUE!</v>
      </c>
      <c r="U801" s="12">
        <f t="shared" si="51"/>
        <v>0.39583333333333331</v>
      </c>
      <c r="V801" s="2" t="str">
        <f t="shared" si="52"/>
        <v>8=14=18 0800</v>
      </c>
      <c r="W801" s="12">
        <f t="shared" si="53"/>
        <v>0.33333333333333331</v>
      </c>
    </row>
    <row r="802" spans="1:23">
      <c r="A802">
        <f>IF(ISBLANK('Data Input'!A802),"",'Data Input'!A802)</f>
        <v>172</v>
      </c>
      <c r="B802" t="str">
        <f>IF(ISBLANK('Data Input'!B802),"",'Data Input'!B802)</f>
        <v>AP013</v>
      </c>
      <c r="C802" t="str">
        <f>IF(ISBLANK('Data Input'!C802),"",'Data Input'!C802)</f>
        <v>8=12=18 0930</v>
      </c>
      <c r="E802" t="str">
        <f>IF(ISBLANK('Data Input'!D802),"",'Data Input'!D802)</f>
        <v>8=14=18 0800</v>
      </c>
      <c r="G802">
        <f>IF(ISBLANK('Data Input'!E802),"",'Data Input'!E802)</f>
        <v>27</v>
      </c>
      <c r="H802" t="str">
        <f>IF(ISBLANK('Data Input'!F802),"",'Data Input'!F802)</f>
        <v>bb - Black</v>
      </c>
      <c r="I802" t="str">
        <f>IF(ISBLANK('Data Input'!G802),"",'Data Input'!G802)</f>
        <v>SVD</v>
      </c>
      <c r="J802" t="str">
        <f>IF(ISBLANK('Data Input'!I802),"",'Data Input'!I802)</f>
        <v>8=14=18 0804</v>
      </c>
      <c r="K802" t="str">
        <f>IF(ISBLANK('Data Input'!J802),"",'Data Input'!J802)</f>
        <v>bb - Ibuprofen</v>
      </c>
      <c r="L802">
        <f>IF(ISBLANK('Data Input'!K802),"",'Data Input'!K802)</f>
        <v>800</v>
      </c>
      <c r="M802">
        <f>IF(ISBLANK('Data Input'!L802),"",'Data Input'!L802)</f>
        <v>3</v>
      </c>
      <c r="N802">
        <f>IF(ISBLANK('Data Input'!M802),"",'Data Input'!M802)</f>
        <v>2</v>
      </c>
      <c r="O802" t="str">
        <f>IF(ISBLANK('Data Input'!N802),"",'Data Input'!N802)</f>
        <v/>
      </c>
      <c r="P802" t="str">
        <f>IF(ISBLANK('Data Input'!O802),"",'Data Input'!O802)</f>
        <v/>
      </c>
      <c r="Q802" t="str">
        <f>IF(ISBLANK('Data Input'!P802),"",'Data Input'!P802)</f>
        <v>Pt. states that TT session helped [decrease] pain a lot</v>
      </c>
      <c r="R802" t="b">
        <f>IF(ISBLANK('Data Input'!Q802),"",'Data Input'!Q802)</f>
        <v>0</v>
      </c>
      <c r="T802" s="2" t="e">
        <f t="shared" si="50"/>
        <v>#VALUE!</v>
      </c>
      <c r="U802" s="12">
        <f t="shared" si="51"/>
        <v>0.39583333333333331</v>
      </c>
      <c r="V802" s="2" t="str">
        <f t="shared" si="52"/>
        <v>8=14=18 0800</v>
      </c>
      <c r="W802" s="12">
        <f t="shared" si="53"/>
        <v>0.33333333333333331</v>
      </c>
    </row>
    <row r="803" spans="1:23">
      <c r="A803">
        <f>IF(ISBLANK('Data Input'!A803),"",'Data Input'!A803)</f>
        <v>172</v>
      </c>
      <c r="B803" t="str">
        <f>IF(ISBLANK('Data Input'!B803),"",'Data Input'!B803)</f>
        <v>AP013</v>
      </c>
      <c r="C803" t="str">
        <f>IF(ISBLANK('Data Input'!C803),"",'Data Input'!C803)</f>
        <v>8=12=18 0930</v>
      </c>
      <c r="E803" t="str">
        <f>IF(ISBLANK('Data Input'!D803),"",'Data Input'!D803)</f>
        <v>8=14=18 0800</v>
      </c>
      <c r="G803">
        <f>IF(ISBLANK('Data Input'!E803),"",'Data Input'!E803)</f>
        <v>27</v>
      </c>
      <c r="H803" t="str">
        <f>IF(ISBLANK('Data Input'!F803),"",'Data Input'!F803)</f>
        <v>bb - Black</v>
      </c>
      <c r="I803" t="str">
        <f>IF(ISBLANK('Data Input'!G803),"",'Data Input'!G803)</f>
        <v>SVD</v>
      </c>
      <c r="J803" t="str">
        <f>IF(ISBLANK('Data Input'!I803),"",'Data Input'!I803)</f>
        <v>8=14=18 0804</v>
      </c>
      <c r="K803" t="str">
        <f>IF(ISBLANK('Data Input'!J803),"",'Data Input'!J803)</f>
        <v>rr - Percocet</v>
      </c>
      <c r="L803">
        <f>IF(ISBLANK('Data Input'!K803),"",'Data Input'!K803)</f>
        <v>1</v>
      </c>
      <c r="M803">
        <f>IF(ISBLANK('Data Input'!L803),"",'Data Input'!L803)</f>
        <v>3</v>
      </c>
      <c r="N803">
        <f>IF(ISBLANK('Data Input'!M803),"",'Data Input'!M803)</f>
        <v>2</v>
      </c>
      <c r="O803" t="str">
        <f>IF(ISBLANK('Data Input'!N803),"",'Data Input'!N803)</f>
        <v/>
      </c>
      <c r="P803" t="str">
        <f>IF(ISBLANK('Data Input'!O803),"",'Data Input'!O803)</f>
        <v/>
      </c>
      <c r="Q803" t="str">
        <f>IF(ISBLANK('Data Input'!P803),"",'Data Input'!P803)</f>
        <v>Pt. states that TT session helped [decrease] pain a lot</v>
      </c>
      <c r="R803" t="b">
        <f>IF(ISBLANK('Data Input'!Q803),"",'Data Input'!Q803)</f>
        <v>0</v>
      </c>
      <c r="T803" s="2" t="e">
        <f t="shared" si="50"/>
        <v>#VALUE!</v>
      </c>
      <c r="U803" s="12">
        <f t="shared" si="51"/>
        <v>0.39583333333333331</v>
      </c>
      <c r="V803" s="2" t="str">
        <f t="shared" si="52"/>
        <v>8=14=18 0800</v>
      </c>
      <c r="W803" s="12">
        <f t="shared" si="53"/>
        <v>0.33333333333333331</v>
      </c>
    </row>
    <row r="804" spans="1:23">
      <c r="A804">
        <f>IF(ISBLANK('Data Input'!A804),"",'Data Input'!A804)</f>
        <v>173</v>
      </c>
      <c r="B804" t="str">
        <f>IF(ISBLANK('Data Input'!B804),"",'Data Input'!B804)</f>
        <v>CH014</v>
      </c>
      <c r="C804" t="str">
        <f>IF(ISBLANK('Data Input'!C804),"",'Data Input'!C804)</f>
        <v>8=13=18 1420</v>
      </c>
      <c r="E804" t="str">
        <f>IF(ISBLANK('Data Input'!D804),"",'Data Input'!D804)</f>
        <v>8=15=18 1515</v>
      </c>
      <c r="G804">
        <f>IF(ISBLANK('Data Input'!E804),"",'Data Input'!E804)</f>
        <v>31</v>
      </c>
      <c r="H804" t="str">
        <f>IF(ISBLANK('Data Input'!F804),"",'Data Input'!F804)</f>
        <v>White</v>
      </c>
      <c r="I804" t="str">
        <f>IF(ISBLANK('Data Input'!G804),"",'Data Input'!G804)</f>
        <v>SVD</v>
      </c>
      <c r="J804" t="str">
        <f>IF(ISBLANK('Data Input'!I804),"",'Data Input'!I804)</f>
        <v>8=13=18 1500</v>
      </c>
      <c r="K804" t="str">
        <f>IF(ISBLANK('Data Input'!J804),"",'Data Input'!J804)</f>
        <v>rr - Percocet</v>
      </c>
      <c r="L804">
        <f>IF(ISBLANK('Data Input'!K804),"",'Data Input'!K804)</f>
        <v>1</v>
      </c>
      <c r="M804">
        <f>IF(ISBLANK('Data Input'!L804),"",'Data Input'!L804)</f>
        <v>8</v>
      </c>
      <c r="N804">
        <f>IF(ISBLANK('Data Input'!M804),"",'Data Input'!M804)</f>
        <v>3</v>
      </c>
      <c r="O804" t="str">
        <f>IF(ISBLANK('Data Input'!N804),"",'Data Input'!N804)</f>
        <v/>
      </c>
      <c r="P804" t="str">
        <f>IF(ISBLANK('Data Input'!O804),"",'Data Input'!O804)</f>
        <v/>
      </c>
      <c r="Q804" t="str">
        <f>IF(ISBLANK('Data Input'!P804),"",'Data Input'!P804)</f>
        <v/>
      </c>
      <c r="R804" t="b">
        <f>IF(ISBLANK('Data Input'!Q804),"",'Data Input'!Q804)</f>
        <v>1</v>
      </c>
      <c r="T804" s="2" t="e">
        <f t="shared" si="50"/>
        <v>#VALUE!</v>
      </c>
      <c r="U804" s="12">
        <f t="shared" si="51"/>
        <v>0.59722222222222221</v>
      </c>
      <c r="V804" s="2" t="str">
        <f t="shared" si="52"/>
        <v>8=15=18 1515</v>
      </c>
      <c r="W804" s="12">
        <f t="shared" si="53"/>
        <v>0.63541666666666663</v>
      </c>
    </row>
    <row r="805" spans="1:23">
      <c r="A805">
        <f>IF(ISBLANK('Data Input'!A805),"",'Data Input'!A805)</f>
        <v>173</v>
      </c>
      <c r="B805" t="str">
        <f>IF(ISBLANK('Data Input'!B805),"",'Data Input'!B805)</f>
        <v>CH014</v>
      </c>
      <c r="C805" t="str">
        <f>IF(ISBLANK('Data Input'!C805),"",'Data Input'!C805)</f>
        <v>8=13=18 1420</v>
      </c>
      <c r="E805" t="str">
        <f>IF(ISBLANK('Data Input'!D805),"",'Data Input'!D805)</f>
        <v>8=15=18 1515</v>
      </c>
      <c r="G805">
        <f>IF(ISBLANK('Data Input'!E805),"",'Data Input'!E805)</f>
        <v>31</v>
      </c>
      <c r="H805" t="str">
        <f>IF(ISBLANK('Data Input'!F805),"",'Data Input'!F805)</f>
        <v>White</v>
      </c>
      <c r="I805" t="str">
        <f>IF(ISBLANK('Data Input'!G805),"",'Data Input'!G805)</f>
        <v>SVD</v>
      </c>
      <c r="J805" t="str">
        <f>IF(ISBLANK('Data Input'!I805),"",'Data Input'!I805)</f>
        <v>8=13=18 1616</v>
      </c>
      <c r="K805" t="str">
        <f>IF(ISBLANK('Data Input'!J805),"",'Data Input'!J805)</f>
        <v>rr - Percocet</v>
      </c>
      <c r="L805" t="str">
        <f>IF(ISBLANK('Data Input'!K805),"",'Data Input'!K805)</f>
        <v/>
      </c>
      <c r="M805">
        <f>IF(ISBLANK('Data Input'!L805),"",'Data Input'!L805)</f>
        <v>7</v>
      </c>
      <c r="N805">
        <f>IF(ISBLANK('Data Input'!M805),"",'Data Input'!M805)</f>
        <v>3</v>
      </c>
      <c r="O805" t="str">
        <f>IF(ISBLANK('Data Input'!N805),"",'Data Input'!N805)</f>
        <v/>
      </c>
      <c r="P805" t="str">
        <f>IF(ISBLANK('Data Input'!O805),"",'Data Input'!O805)</f>
        <v/>
      </c>
      <c r="Q805" t="str">
        <f>IF(ISBLANK('Data Input'!P805),"",'Data Input'!P805)</f>
        <v/>
      </c>
      <c r="R805" t="b">
        <f>IF(ISBLANK('Data Input'!Q805),"",'Data Input'!Q805)</f>
        <v>1</v>
      </c>
      <c r="T805" s="2" t="e">
        <f t="shared" si="50"/>
        <v>#VALUE!</v>
      </c>
      <c r="U805" s="12">
        <f t="shared" si="51"/>
        <v>0.59722222222222221</v>
      </c>
      <c r="V805" s="2" t="str">
        <f t="shared" si="52"/>
        <v>8=15=18 1515</v>
      </c>
      <c r="W805" s="12">
        <f t="shared" si="53"/>
        <v>0.63541666666666663</v>
      </c>
    </row>
    <row r="806" spans="1:23">
      <c r="A806">
        <f>IF(ISBLANK('Data Input'!A806),"",'Data Input'!A806)</f>
        <v>173</v>
      </c>
      <c r="B806" t="str">
        <f>IF(ISBLANK('Data Input'!B806),"",'Data Input'!B806)</f>
        <v>CH014</v>
      </c>
      <c r="C806" t="str">
        <f>IF(ISBLANK('Data Input'!C806),"",'Data Input'!C806)</f>
        <v>8=13=18 1420</v>
      </c>
      <c r="E806" t="str">
        <f>IF(ISBLANK('Data Input'!D806),"",'Data Input'!D806)</f>
        <v>8=15=18 1515</v>
      </c>
      <c r="G806">
        <f>IF(ISBLANK('Data Input'!E806),"",'Data Input'!E806)</f>
        <v>31</v>
      </c>
      <c r="H806" t="str">
        <f>IF(ISBLANK('Data Input'!F806),"",'Data Input'!F806)</f>
        <v>White</v>
      </c>
      <c r="I806" t="str">
        <f>IF(ISBLANK('Data Input'!G806),"",'Data Input'!G806)</f>
        <v>SVD</v>
      </c>
      <c r="J806" t="str">
        <f>IF(ISBLANK('Data Input'!I806),"",'Data Input'!I806)</f>
        <v>8=13=18 1946</v>
      </c>
      <c r="K806" t="str">
        <f>IF(ISBLANK('Data Input'!J806),"",'Data Input'!J806)</f>
        <v>bb - Ibuprofen</v>
      </c>
      <c r="L806">
        <f>IF(ISBLANK('Data Input'!K806),"",'Data Input'!K806)</f>
        <v>800</v>
      </c>
      <c r="M806">
        <f>IF(ISBLANK('Data Input'!L806),"",'Data Input'!L806)</f>
        <v>8</v>
      </c>
      <c r="N806">
        <f>IF(ISBLANK('Data Input'!M806),"",'Data Input'!M806)</f>
        <v>6</v>
      </c>
      <c r="O806" t="str">
        <f>IF(ISBLANK('Data Input'!N806),"",'Data Input'!N806)</f>
        <v/>
      </c>
      <c r="P806" t="str">
        <f>IF(ISBLANK('Data Input'!O806),"",'Data Input'!O806)</f>
        <v/>
      </c>
      <c r="Q806" t="str">
        <f>IF(ISBLANK('Data Input'!P806),"",'Data Input'!P806)</f>
        <v/>
      </c>
      <c r="R806" t="b">
        <f>IF(ISBLANK('Data Input'!Q806),"",'Data Input'!Q806)</f>
        <v>1</v>
      </c>
      <c r="T806" s="2" t="e">
        <f t="shared" si="50"/>
        <v>#VALUE!</v>
      </c>
      <c r="U806" s="12">
        <f t="shared" si="51"/>
        <v>0.59722222222222221</v>
      </c>
      <c r="V806" s="2" t="str">
        <f t="shared" si="52"/>
        <v>8=15=18 1515</v>
      </c>
      <c r="W806" s="12">
        <f t="shared" si="53"/>
        <v>0.63541666666666663</v>
      </c>
    </row>
    <row r="807" spans="1:23">
      <c r="A807">
        <f>IF(ISBLANK('Data Input'!A807),"",'Data Input'!A807)</f>
        <v>173</v>
      </c>
      <c r="B807" t="str">
        <f>IF(ISBLANK('Data Input'!B807),"",'Data Input'!B807)</f>
        <v>CH014</v>
      </c>
      <c r="C807" t="str">
        <f>IF(ISBLANK('Data Input'!C807),"",'Data Input'!C807)</f>
        <v>8=13=18 1420</v>
      </c>
      <c r="E807" t="str">
        <f>IF(ISBLANK('Data Input'!D807),"",'Data Input'!D807)</f>
        <v>8=15=18 1515</v>
      </c>
      <c r="G807">
        <f>IF(ISBLANK('Data Input'!E807),"",'Data Input'!E807)</f>
        <v>31</v>
      </c>
      <c r="H807" t="str">
        <f>IF(ISBLANK('Data Input'!F807),"",'Data Input'!F807)</f>
        <v>White</v>
      </c>
      <c r="I807" t="str">
        <f>IF(ISBLANK('Data Input'!G807),"",'Data Input'!G807)</f>
        <v>SVD</v>
      </c>
      <c r="J807" t="str">
        <f>IF(ISBLANK('Data Input'!I807),"",'Data Input'!I807)</f>
        <v>8=13=18 1946</v>
      </c>
      <c r="K807" t="str">
        <f>IF(ISBLANK('Data Input'!J807),"",'Data Input'!J807)</f>
        <v>rr - Percocet</v>
      </c>
      <c r="L807">
        <f>IF(ISBLANK('Data Input'!K807),"",'Data Input'!K807)</f>
        <v>1</v>
      </c>
      <c r="M807">
        <f>IF(ISBLANK('Data Input'!L807),"",'Data Input'!L807)</f>
        <v>8</v>
      </c>
      <c r="N807">
        <f>IF(ISBLANK('Data Input'!M807),"",'Data Input'!M807)</f>
        <v>6</v>
      </c>
      <c r="O807" t="str">
        <f>IF(ISBLANK('Data Input'!N807),"",'Data Input'!N807)</f>
        <v/>
      </c>
      <c r="P807" t="str">
        <f>IF(ISBLANK('Data Input'!O807),"",'Data Input'!O807)</f>
        <v/>
      </c>
      <c r="Q807" t="str">
        <f>IF(ISBLANK('Data Input'!P807),"",'Data Input'!P807)</f>
        <v/>
      </c>
      <c r="R807" t="b">
        <f>IF(ISBLANK('Data Input'!Q807),"",'Data Input'!Q807)</f>
        <v>1</v>
      </c>
      <c r="T807" s="2" t="e">
        <f t="shared" si="50"/>
        <v>#VALUE!</v>
      </c>
      <c r="U807" s="12">
        <f t="shared" si="51"/>
        <v>0.59722222222222221</v>
      </c>
      <c r="V807" s="2" t="str">
        <f t="shared" si="52"/>
        <v>8=15=18 1515</v>
      </c>
      <c r="W807" s="12">
        <f t="shared" si="53"/>
        <v>0.63541666666666663</v>
      </c>
    </row>
    <row r="808" spans="1:23">
      <c r="A808">
        <f>IF(ISBLANK('Data Input'!A808),"",'Data Input'!A808)</f>
        <v>173</v>
      </c>
      <c r="B808" t="str">
        <f>IF(ISBLANK('Data Input'!B808),"",'Data Input'!B808)</f>
        <v>CH014</v>
      </c>
      <c r="C808" t="str">
        <f>IF(ISBLANK('Data Input'!C808),"",'Data Input'!C808)</f>
        <v>8=13=18 1420</v>
      </c>
      <c r="E808" t="str">
        <f>IF(ISBLANK('Data Input'!D808),"",'Data Input'!D808)</f>
        <v>8=15=18 1515</v>
      </c>
      <c r="G808">
        <f>IF(ISBLANK('Data Input'!E808),"",'Data Input'!E808)</f>
        <v>31</v>
      </c>
      <c r="H808" t="str">
        <f>IF(ISBLANK('Data Input'!F808),"",'Data Input'!F808)</f>
        <v>White</v>
      </c>
      <c r="I808" t="str">
        <f>IF(ISBLANK('Data Input'!G808),"",'Data Input'!G808)</f>
        <v>SVD</v>
      </c>
      <c r="J808" t="str">
        <f>IF(ISBLANK('Data Input'!I808),"",'Data Input'!I808)</f>
        <v>8=14=18 0005</v>
      </c>
      <c r="K808" t="str">
        <f>IF(ISBLANK('Data Input'!J808),"",'Data Input'!J808)</f>
        <v>rr - Percocet</v>
      </c>
      <c r="L808">
        <f>IF(ISBLANK('Data Input'!K808),"",'Data Input'!K808)</f>
        <v>2</v>
      </c>
      <c r="M808">
        <f>IF(ISBLANK('Data Input'!L808),"",'Data Input'!L808)</f>
        <v>6</v>
      </c>
      <c r="N808">
        <f>IF(ISBLANK('Data Input'!M808),"",'Data Input'!M808)</f>
        <v>2</v>
      </c>
      <c r="O808" t="str">
        <f>IF(ISBLANK('Data Input'!N808),"",'Data Input'!N808)</f>
        <v/>
      </c>
      <c r="P808" t="str">
        <f>IF(ISBLANK('Data Input'!O808),"",'Data Input'!O808)</f>
        <v/>
      </c>
      <c r="Q808" t="str">
        <f>IF(ISBLANK('Data Input'!P808),"",'Data Input'!P808)</f>
        <v/>
      </c>
      <c r="R808" t="b">
        <f>IF(ISBLANK('Data Input'!Q808),"",'Data Input'!Q808)</f>
        <v>1</v>
      </c>
      <c r="T808" s="2" t="e">
        <f t="shared" si="50"/>
        <v>#VALUE!</v>
      </c>
      <c r="U808" s="12">
        <f t="shared" si="51"/>
        <v>0.59722222222222221</v>
      </c>
      <c r="V808" s="2" t="str">
        <f t="shared" si="52"/>
        <v>8=15=18 1515</v>
      </c>
      <c r="W808" s="12">
        <f t="shared" si="53"/>
        <v>0.63541666666666663</v>
      </c>
    </row>
    <row r="809" spans="1:23">
      <c r="A809">
        <f>IF(ISBLANK('Data Input'!A809),"",'Data Input'!A809)</f>
        <v>173</v>
      </c>
      <c r="B809" t="str">
        <f>IF(ISBLANK('Data Input'!B809),"",'Data Input'!B809)</f>
        <v>CH014</v>
      </c>
      <c r="C809" t="str">
        <f>IF(ISBLANK('Data Input'!C809),"",'Data Input'!C809)</f>
        <v>8=13=18 1420</v>
      </c>
      <c r="E809" t="str">
        <f>IF(ISBLANK('Data Input'!D809),"",'Data Input'!D809)</f>
        <v>8=15=18 1515</v>
      </c>
      <c r="G809">
        <f>IF(ISBLANK('Data Input'!E809),"",'Data Input'!E809)</f>
        <v>31</v>
      </c>
      <c r="H809" t="str">
        <f>IF(ISBLANK('Data Input'!F809),"",'Data Input'!F809)</f>
        <v>White</v>
      </c>
      <c r="I809" t="str">
        <f>IF(ISBLANK('Data Input'!G809),"",'Data Input'!G809)</f>
        <v>SVD</v>
      </c>
      <c r="J809" t="str">
        <f>IF(ISBLANK('Data Input'!I809),"",'Data Input'!I809)</f>
        <v>8=14=18 0227</v>
      </c>
      <c r="K809" t="str">
        <f>IF(ISBLANK('Data Input'!J809),"",'Data Input'!J809)</f>
        <v>bb - Ibuprofen</v>
      </c>
      <c r="L809">
        <f>IF(ISBLANK('Data Input'!K809),"",'Data Input'!K809)</f>
        <v>800</v>
      </c>
      <c r="M809">
        <f>IF(ISBLANK('Data Input'!L809),"",'Data Input'!L809)</f>
        <v>2</v>
      </c>
      <c r="N809">
        <f>IF(ISBLANK('Data Input'!M809),"",'Data Input'!M809)</f>
        <v>4</v>
      </c>
      <c r="O809" t="str">
        <f>IF(ISBLANK('Data Input'!N809),"",'Data Input'!N809)</f>
        <v/>
      </c>
      <c r="P809" t="str">
        <f>IF(ISBLANK('Data Input'!O809),"",'Data Input'!O809)</f>
        <v/>
      </c>
      <c r="Q809" t="str">
        <f>IF(ISBLANK('Data Input'!P809),"",'Data Input'!P809)</f>
        <v/>
      </c>
      <c r="R809" t="b">
        <f>IF(ISBLANK('Data Input'!Q809),"",'Data Input'!Q809)</f>
        <v>1</v>
      </c>
      <c r="T809" s="2" t="e">
        <f t="shared" si="50"/>
        <v>#VALUE!</v>
      </c>
      <c r="U809" s="12">
        <f t="shared" si="51"/>
        <v>0.59722222222222221</v>
      </c>
      <c r="V809" s="2" t="str">
        <f t="shared" si="52"/>
        <v>8=15=18 1515</v>
      </c>
      <c r="W809" s="12">
        <f t="shared" si="53"/>
        <v>0.63541666666666663</v>
      </c>
    </row>
    <row r="810" spans="1:23">
      <c r="A810">
        <f>IF(ISBLANK('Data Input'!A810),"",'Data Input'!A810)</f>
        <v>173</v>
      </c>
      <c r="B810" t="str">
        <f>IF(ISBLANK('Data Input'!B810),"",'Data Input'!B810)</f>
        <v>CH014</v>
      </c>
      <c r="C810" t="str">
        <f>IF(ISBLANK('Data Input'!C810),"",'Data Input'!C810)</f>
        <v>8=13=18 1420</v>
      </c>
      <c r="E810" t="str">
        <f>IF(ISBLANK('Data Input'!D810),"",'Data Input'!D810)</f>
        <v>8=15=18 1515</v>
      </c>
      <c r="G810">
        <f>IF(ISBLANK('Data Input'!E810),"",'Data Input'!E810)</f>
        <v>31</v>
      </c>
      <c r="H810" t="str">
        <f>IF(ISBLANK('Data Input'!F810),"",'Data Input'!F810)</f>
        <v>White</v>
      </c>
      <c r="I810" t="str">
        <f>IF(ISBLANK('Data Input'!G810),"",'Data Input'!G810)</f>
        <v>SVD</v>
      </c>
      <c r="J810" t="str">
        <f>IF(ISBLANK('Data Input'!I810),"",'Data Input'!I810)</f>
        <v>8=14=18 0357</v>
      </c>
      <c r="K810" t="str">
        <f>IF(ISBLANK('Data Input'!J810),"",'Data Input'!J810)</f>
        <v>rr - Percocet</v>
      </c>
      <c r="L810">
        <f>IF(ISBLANK('Data Input'!K810),"",'Data Input'!K810)</f>
        <v>2</v>
      </c>
      <c r="M810">
        <f>IF(ISBLANK('Data Input'!L810),"",'Data Input'!L810)</f>
        <v>6</v>
      </c>
      <c r="N810">
        <f>IF(ISBLANK('Data Input'!M810),"",'Data Input'!M810)</f>
        <v>6</v>
      </c>
      <c r="O810" t="str">
        <f>IF(ISBLANK('Data Input'!N810),"",'Data Input'!N810)</f>
        <v/>
      </c>
      <c r="P810" t="str">
        <f>IF(ISBLANK('Data Input'!O810),"",'Data Input'!O810)</f>
        <v/>
      </c>
      <c r="Q810" t="str">
        <f>IF(ISBLANK('Data Input'!P810),"",'Data Input'!P810)</f>
        <v/>
      </c>
      <c r="R810" t="b">
        <f>IF(ISBLANK('Data Input'!Q810),"",'Data Input'!Q810)</f>
        <v>1</v>
      </c>
      <c r="T810" s="2" t="e">
        <f t="shared" si="50"/>
        <v>#VALUE!</v>
      </c>
      <c r="U810" s="12">
        <f t="shared" si="51"/>
        <v>0.59722222222222221</v>
      </c>
      <c r="V810" s="2" t="str">
        <f t="shared" si="52"/>
        <v>8=15=18 1515</v>
      </c>
      <c r="W810" s="12">
        <f t="shared" si="53"/>
        <v>0.63541666666666663</v>
      </c>
    </row>
    <row r="811" spans="1:23">
      <c r="A811">
        <f>IF(ISBLANK('Data Input'!A811),"",'Data Input'!A811)</f>
        <v>173</v>
      </c>
      <c r="B811" t="str">
        <f>IF(ISBLANK('Data Input'!B811),"",'Data Input'!B811)</f>
        <v>CH014</v>
      </c>
      <c r="C811" t="str">
        <f>IF(ISBLANK('Data Input'!C811),"",'Data Input'!C811)</f>
        <v>8=13=18 1420</v>
      </c>
      <c r="E811" t="str">
        <f>IF(ISBLANK('Data Input'!D811),"",'Data Input'!D811)</f>
        <v>8=15=18 1515</v>
      </c>
      <c r="G811">
        <f>IF(ISBLANK('Data Input'!E811),"",'Data Input'!E811)</f>
        <v>31</v>
      </c>
      <c r="H811" t="str">
        <f>IF(ISBLANK('Data Input'!F811),"",'Data Input'!F811)</f>
        <v>White</v>
      </c>
      <c r="I811" t="str">
        <f>IF(ISBLANK('Data Input'!G811),"",'Data Input'!G811)</f>
        <v>SVD</v>
      </c>
      <c r="J811" t="str">
        <f>IF(ISBLANK('Data Input'!I811),"",'Data Input'!I811)</f>
        <v>8=14=18 0833</v>
      </c>
      <c r="K811" t="str">
        <f>IF(ISBLANK('Data Input'!J811),"",'Data Input'!J811)</f>
        <v>bb - Ibuprofen</v>
      </c>
      <c r="L811">
        <f>IF(ISBLANK('Data Input'!K811),"",'Data Input'!K811)</f>
        <v>800</v>
      </c>
      <c r="M811">
        <f>IF(ISBLANK('Data Input'!L811),"",'Data Input'!L811)</f>
        <v>5</v>
      </c>
      <c r="N811">
        <f>IF(ISBLANK('Data Input'!M811),"",'Data Input'!M811)</f>
        <v>3</v>
      </c>
      <c r="O811" t="str">
        <f>IF(ISBLANK('Data Input'!N811),"",'Data Input'!N811)</f>
        <v/>
      </c>
      <c r="P811" t="str">
        <f>IF(ISBLANK('Data Input'!O811),"",'Data Input'!O811)</f>
        <v/>
      </c>
      <c r="Q811" t="str">
        <f>IF(ISBLANK('Data Input'!P811),"",'Data Input'!P811)</f>
        <v/>
      </c>
      <c r="R811" t="b">
        <f>IF(ISBLANK('Data Input'!Q811),"",'Data Input'!Q811)</f>
        <v>1</v>
      </c>
      <c r="T811" s="2" t="e">
        <f t="shared" si="50"/>
        <v>#VALUE!</v>
      </c>
      <c r="U811" s="12">
        <f t="shared" si="51"/>
        <v>0.59722222222222221</v>
      </c>
      <c r="V811" s="2" t="str">
        <f t="shared" si="52"/>
        <v>8=15=18 1515</v>
      </c>
      <c r="W811" s="12">
        <f t="shared" si="53"/>
        <v>0.63541666666666663</v>
      </c>
    </row>
    <row r="812" spans="1:23">
      <c r="A812">
        <f>IF(ISBLANK('Data Input'!A812),"",'Data Input'!A812)</f>
        <v>173</v>
      </c>
      <c r="B812" t="str">
        <f>IF(ISBLANK('Data Input'!B812),"",'Data Input'!B812)</f>
        <v>CH014</v>
      </c>
      <c r="C812" t="str">
        <f>IF(ISBLANK('Data Input'!C812),"",'Data Input'!C812)</f>
        <v>8=13=18 1420</v>
      </c>
      <c r="E812" t="str">
        <f>IF(ISBLANK('Data Input'!D812),"",'Data Input'!D812)</f>
        <v>8=15=18 1515</v>
      </c>
      <c r="G812">
        <f>IF(ISBLANK('Data Input'!E812),"",'Data Input'!E812)</f>
        <v>31</v>
      </c>
      <c r="H812" t="str">
        <f>IF(ISBLANK('Data Input'!F812),"",'Data Input'!F812)</f>
        <v>White</v>
      </c>
      <c r="I812" t="str">
        <f>IF(ISBLANK('Data Input'!G812),"",'Data Input'!G812)</f>
        <v>SVD</v>
      </c>
      <c r="J812" t="str">
        <f>IF(ISBLANK('Data Input'!I812),"",'Data Input'!I812)</f>
        <v>8=14=18 0833</v>
      </c>
      <c r="K812" t="str">
        <f>IF(ISBLANK('Data Input'!J812),"",'Data Input'!J812)</f>
        <v>rr - Percocet</v>
      </c>
      <c r="L812">
        <f>IF(ISBLANK('Data Input'!K812),"",'Data Input'!K812)</f>
        <v>1</v>
      </c>
      <c r="M812">
        <f>IF(ISBLANK('Data Input'!L812),"",'Data Input'!L812)</f>
        <v>5</v>
      </c>
      <c r="N812">
        <f>IF(ISBLANK('Data Input'!M812),"",'Data Input'!M812)</f>
        <v>3</v>
      </c>
      <c r="O812" t="str">
        <f>IF(ISBLANK('Data Input'!N812),"",'Data Input'!N812)</f>
        <v/>
      </c>
      <c r="P812" t="str">
        <f>IF(ISBLANK('Data Input'!O812),"",'Data Input'!O812)</f>
        <v/>
      </c>
      <c r="Q812" t="str">
        <f>IF(ISBLANK('Data Input'!P812),"",'Data Input'!P812)</f>
        <v/>
      </c>
      <c r="R812" t="b">
        <f>IF(ISBLANK('Data Input'!Q812),"",'Data Input'!Q812)</f>
        <v>1</v>
      </c>
      <c r="T812" s="2" t="e">
        <f t="shared" si="50"/>
        <v>#VALUE!</v>
      </c>
      <c r="U812" s="12">
        <f t="shared" si="51"/>
        <v>0.59722222222222221</v>
      </c>
      <c r="V812" s="2" t="str">
        <f t="shared" si="52"/>
        <v>8=15=18 1515</v>
      </c>
      <c r="W812" s="12">
        <f t="shared" si="53"/>
        <v>0.63541666666666663</v>
      </c>
    </row>
    <row r="813" spans="1:23">
      <c r="A813">
        <f>IF(ISBLANK('Data Input'!A813),"",'Data Input'!A813)</f>
        <v>173</v>
      </c>
      <c r="B813" t="str">
        <f>IF(ISBLANK('Data Input'!B813),"",'Data Input'!B813)</f>
        <v>CH014</v>
      </c>
      <c r="C813" t="str">
        <f>IF(ISBLANK('Data Input'!C813),"",'Data Input'!C813)</f>
        <v>8=13=18 1420</v>
      </c>
      <c r="E813" t="str">
        <f>IF(ISBLANK('Data Input'!D813),"",'Data Input'!D813)</f>
        <v>8=15=18 1515</v>
      </c>
      <c r="G813">
        <f>IF(ISBLANK('Data Input'!E813),"",'Data Input'!E813)</f>
        <v>31</v>
      </c>
      <c r="H813" t="str">
        <f>IF(ISBLANK('Data Input'!F813),"",'Data Input'!F813)</f>
        <v>White</v>
      </c>
      <c r="I813" t="str">
        <f>IF(ISBLANK('Data Input'!G813),"",'Data Input'!G813)</f>
        <v>SVD</v>
      </c>
      <c r="J813" t="str">
        <f>IF(ISBLANK('Data Input'!I813),"",'Data Input'!I813)</f>
        <v>8=14=18 1244</v>
      </c>
      <c r="K813" t="str">
        <f>IF(ISBLANK('Data Input'!J813),"",'Data Input'!J813)</f>
        <v>rr - Percocet</v>
      </c>
      <c r="L813">
        <f>IF(ISBLANK('Data Input'!K813),"",'Data Input'!K813)</f>
        <v>2</v>
      </c>
      <c r="M813">
        <f>IF(ISBLANK('Data Input'!L813),"",'Data Input'!L813)</f>
        <v>6</v>
      </c>
      <c r="N813">
        <f>IF(ISBLANK('Data Input'!M813),"",'Data Input'!M813)</f>
        <v>4</v>
      </c>
      <c r="O813" t="str">
        <f>IF(ISBLANK('Data Input'!N813),"",'Data Input'!N813)</f>
        <v/>
      </c>
      <c r="P813" t="str">
        <f>IF(ISBLANK('Data Input'!O813),"",'Data Input'!O813)</f>
        <v/>
      </c>
      <c r="Q813" t="str">
        <f>IF(ISBLANK('Data Input'!P813),"",'Data Input'!P813)</f>
        <v/>
      </c>
      <c r="R813" t="b">
        <f>IF(ISBLANK('Data Input'!Q813),"",'Data Input'!Q813)</f>
        <v>1</v>
      </c>
      <c r="T813" s="2" t="e">
        <f t="shared" si="50"/>
        <v>#VALUE!</v>
      </c>
      <c r="U813" s="12">
        <f t="shared" si="51"/>
        <v>0.59722222222222221</v>
      </c>
      <c r="V813" s="2" t="str">
        <f t="shared" si="52"/>
        <v>8=15=18 1515</v>
      </c>
      <c r="W813" s="12">
        <f t="shared" si="53"/>
        <v>0.63541666666666663</v>
      </c>
    </row>
    <row r="814" spans="1:23">
      <c r="A814">
        <f>IF(ISBLANK('Data Input'!A814),"",'Data Input'!A814)</f>
        <v>173</v>
      </c>
      <c r="B814" t="str">
        <f>IF(ISBLANK('Data Input'!B814),"",'Data Input'!B814)</f>
        <v>CH014</v>
      </c>
      <c r="C814" t="str">
        <f>IF(ISBLANK('Data Input'!C814),"",'Data Input'!C814)</f>
        <v>8=13=18 1420</v>
      </c>
      <c r="E814" t="str">
        <f>IF(ISBLANK('Data Input'!D814),"",'Data Input'!D814)</f>
        <v>8=15=18 1515</v>
      </c>
      <c r="G814">
        <f>IF(ISBLANK('Data Input'!E814),"",'Data Input'!E814)</f>
        <v>31</v>
      </c>
      <c r="H814" t="str">
        <f>IF(ISBLANK('Data Input'!F814),"",'Data Input'!F814)</f>
        <v>White</v>
      </c>
      <c r="I814" t="str">
        <f>IF(ISBLANK('Data Input'!G814),"",'Data Input'!G814)</f>
        <v>SVD</v>
      </c>
      <c r="J814" t="str">
        <f>IF(ISBLANK('Data Input'!I814),"",'Data Input'!I814)</f>
        <v>8=14=18 1629</v>
      </c>
      <c r="K814" t="str">
        <f>IF(ISBLANK('Data Input'!J814),"",'Data Input'!J814)</f>
        <v>bb - Ibuprofen</v>
      </c>
      <c r="L814">
        <f>IF(ISBLANK('Data Input'!K814),"",'Data Input'!K814)</f>
        <v>800</v>
      </c>
      <c r="M814">
        <f>IF(ISBLANK('Data Input'!L814),"",'Data Input'!L814)</f>
        <v>5</v>
      </c>
      <c r="N814">
        <f>IF(ISBLANK('Data Input'!M814),"",'Data Input'!M814)</f>
        <v>3</v>
      </c>
      <c r="O814" t="str">
        <f>IF(ISBLANK('Data Input'!N814),"",'Data Input'!N814)</f>
        <v/>
      </c>
      <c r="P814" t="str">
        <f>IF(ISBLANK('Data Input'!O814),"",'Data Input'!O814)</f>
        <v/>
      </c>
      <c r="Q814" t="str">
        <f>IF(ISBLANK('Data Input'!P814),"",'Data Input'!P814)</f>
        <v/>
      </c>
      <c r="R814" t="b">
        <f>IF(ISBLANK('Data Input'!Q814),"",'Data Input'!Q814)</f>
        <v>1</v>
      </c>
      <c r="T814" s="2" t="e">
        <f t="shared" si="50"/>
        <v>#VALUE!</v>
      </c>
      <c r="U814" s="12">
        <f t="shared" si="51"/>
        <v>0.59722222222222221</v>
      </c>
      <c r="V814" s="2" t="str">
        <f t="shared" si="52"/>
        <v>8=15=18 1515</v>
      </c>
      <c r="W814" s="12">
        <f t="shared" si="53"/>
        <v>0.63541666666666663</v>
      </c>
    </row>
    <row r="815" spans="1:23">
      <c r="A815">
        <f>IF(ISBLANK('Data Input'!A815),"",'Data Input'!A815)</f>
        <v>173</v>
      </c>
      <c r="B815" t="str">
        <f>IF(ISBLANK('Data Input'!B815),"",'Data Input'!B815)</f>
        <v>CH014</v>
      </c>
      <c r="C815" t="str">
        <f>IF(ISBLANK('Data Input'!C815),"",'Data Input'!C815)</f>
        <v>8=13=18 1420</v>
      </c>
      <c r="E815" t="str">
        <f>IF(ISBLANK('Data Input'!D815),"",'Data Input'!D815)</f>
        <v>8=15=18 1515</v>
      </c>
      <c r="G815">
        <f>IF(ISBLANK('Data Input'!E815),"",'Data Input'!E815)</f>
        <v>31</v>
      </c>
      <c r="H815" t="str">
        <f>IF(ISBLANK('Data Input'!F815),"",'Data Input'!F815)</f>
        <v>White</v>
      </c>
      <c r="I815" t="str">
        <f>IF(ISBLANK('Data Input'!G815),"",'Data Input'!G815)</f>
        <v>SVD</v>
      </c>
      <c r="J815" t="str">
        <f>IF(ISBLANK('Data Input'!I815),"",'Data Input'!I815)</f>
        <v>8=14=18 1629</v>
      </c>
      <c r="K815" t="str">
        <f>IF(ISBLANK('Data Input'!J815),"",'Data Input'!J815)</f>
        <v>rr - Percocet</v>
      </c>
      <c r="L815">
        <f>IF(ISBLANK('Data Input'!K815),"",'Data Input'!K815)</f>
        <v>1</v>
      </c>
      <c r="M815">
        <f>IF(ISBLANK('Data Input'!L815),"",'Data Input'!L815)</f>
        <v>5</v>
      </c>
      <c r="N815">
        <f>IF(ISBLANK('Data Input'!M815),"",'Data Input'!M815)</f>
        <v>3</v>
      </c>
      <c r="O815" t="str">
        <f>IF(ISBLANK('Data Input'!N815),"",'Data Input'!N815)</f>
        <v/>
      </c>
      <c r="P815" t="str">
        <f>IF(ISBLANK('Data Input'!O815),"",'Data Input'!O815)</f>
        <v/>
      </c>
      <c r="Q815" t="str">
        <f>IF(ISBLANK('Data Input'!P815),"",'Data Input'!P815)</f>
        <v/>
      </c>
      <c r="R815" t="b">
        <f>IF(ISBLANK('Data Input'!Q815),"",'Data Input'!Q815)</f>
        <v>1</v>
      </c>
      <c r="T815" s="2" t="e">
        <f t="shared" si="50"/>
        <v>#VALUE!</v>
      </c>
      <c r="U815" s="12">
        <f t="shared" si="51"/>
        <v>0.59722222222222221</v>
      </c>
      <c r="V815" s="2" t="str">
        <f t="shared" si="52"/>
        <v>8=15=18 1515</v>
      </c>
      <c r="W815" s="12">
        <f t="shared" si="53"/>
        <v>0.63541666666666663</v>
      </c>
    </row>
    <row r="816" spans="1:23">
      <c r="A816">
        <f>IF(ISBLANK('Data Input'!A816),"",'Data Input'!A816)</f>
        <v>173</v>
      </c>
      <c r="B816" t="str">
        <f>IF(ISBLANK('Data Input'!B816),"",'Data Input'!B816)</f>
        <v>CH014</v>
      </c>
      <c r="C816" t="str">
        <f>IF(ISBLANK('Data Input'!C816),"",'Data Input'!C816)</f>
        <v>8=13=18 1420</v>
      </c>
      <c r="E816" t="str">
        <f>IF(ISBLANK('Data Input'!D816),"",'Data Input'!D816)</f>
        <v>8=15=18 1515</v>
      </c>
      <c r="G816">
        <f>IF(ISBLANK('Data Input'!E816),"",'Data Input'!E816)</f>
        <v>31</v>
      </c>
      <c r="H816" t="str">
        <f>IF(ISBLANK('Data Input'!F816),"",'Data Input'!F816)</f>
        <v>White</v>
      </c>
      <c r="I816" t="str">
        <f>IF(ISBLANK('Data Input'!G816),"",'Data Input'!G816)</f>
        <v>SVD</v>
      </c>
      <c r="J816" t="str">
        <f>IF(ISBLANK('Data Input'!I816),"",'Data Input'!I816)</f>
        <v>8=14=18 2030</v>
      </c>
      <c r="K816" t="str">
        <f>IF(ISBLANK('Data Input'!J816),"",'Data Input'!J816)</f>
        <v>rr - Percocet</v>
      </c>
      <c r="L816">
        <f>IF(ISBLANK('Data Input'!K816),"",'Data Input'!K816)</f>
        <v>2</v>
      </c>
      <c r="M816">
        <f>IF(ISBLANK('Data Input'!L816),"",'Data Input'!L816)</f>
        <v>6</v>
      </c>
      <c r="N816">
        <f>IF(ISBLANK('Data Input'!M816),"",'Data Input'!M816)</f>
        <v>0</v>
      </c>
      <c r="O816" t="str">
        <f>IF(ISBLANK('Data Input'!N816),"",'Data Input'!N816)</f>
        <v/>
      </c>
      <c r="P816" t="str">
        <f>IF(ISBLANK('Data Input'!O816),"",'Data Input'!O816)</f>
        <v/>
      </c>
      <c r="Q816" t="str">
        <f>IF(ISBLANK('Data Input'!P816),"",'Data Input'!P816)</f>
        <v/>
      </c>
      <c r="R816" t="b">
        <f>IF(ISBLANK('Data Input'!Q816),"",'Data Input'!Q816)</f>
        <v>1</v>
      </c>
      <c r="T816" s="2" t="e">
        <f t="shared" si="50"/>
        <v>#VALUE!</v>
      </c>
      <c r="U816" s="12">
        <f t="shared" si="51"/>
        <v>0.59722222222222221</v>
      </c>
      <c r="V816" s="2" t="str">
        <f t="shared" si="52"/>
        <v>8=15=18 1515</v>
      </c>
      <c r="W816" s="12">
        <f t="shared" si="53"/>
        <v>0.63541666666666663</v>
      </c>
    </row>
    <row r="817" spans="1:23">
      <c r="A817">
        <f>IF(ISBLANK('Data Input'!A817),"",'Data Input'!A817)</f>
        <v>173</v>
      </c>
      <c r="B817" t="str">
        <f>IF(ISBLANK('Data Input'!B817),"",'Data Input'!B817)</f>
        <v>CH014</v>
      </c>
      <c r="C817" t="str">
        <f>IF(ISBLANK('Data Input'!C817),"",'Data Input'!C817)</f>
        <v>8=13=18 1420</v>
      </c>
      <c r="E817" t="str">
        <f>IF(ISBLANK('Data Input'!D817),"",'Data Input'!D817)</f>
        <v>8=15=18 1515</v>
      </c>
      <c r="G817">
        <f>IF(ISBLANK('Data Input'!E817),"",'Data Input'!E817)</f>
        <v>31</v>
      </c>
      <c r="H817" t="str">
        <f>IF(ISBLANK('Data Input'!F817),"",'Data Input'!F817)</f>
        <v>White</v>
      </c>
      <c r="I817" t="str">
        <f>IF(ISBLANK('Data Input'!G817),"",'Data Input'!G817)</f>
        <v>SVD</v>
      </c>
      <c r="J817" t="str">
        <f>IF(ISBLANK('Data Input'!I817),"",'Data Input'!I817)</f>
        <v>8=15=18 0003</v>
      </c>
      <c r="K817" t="str">
        <f>IF(ISBLANK('Data Input'!J817),"",'Data Input'!J817)</f>
        <v>bb - Ibuprofen</v>
      </c>
      <c r="L817">
        <f>IF(ISBLANK('Data Input'!K817),"",'Data Input'!K817)</f>
        <v>800</v>
      </c>
      <c r="M817">
        <f>IF(ISBLANK('Data Input'!L817),"",'Data Input'!L817)</f>
        <v>4</v>
      </c>
      <c r="N817">
        <f>IF(ISBLANK('Data Input'!M817),"",'Data Input'!M817)</f>
        <v>2</v>
      </c>
      <c r="O817" t="str">
        <f>IF(ISBLANK('Data Input'!N817),"",'Data Input'!N817)</f>
        <v/>
      </c>
      <c r="P817" t="str">
        <f>IF(ISBLANK('Data Input'!O817),"",'Data Input'!O817)</f>
        <v/>
      </c>
      <c r="Q817" t="str">
        <f>IF(ISBLANK('Data Input'!P817),"",'Data Input'!P817)</f>
        <v/>
      </c>
      <c r="R817" t="b">
        <f>IF(ISBLANK('Data Input'!Q817),"",'Data Input'!Q817)</f>
        <v>1</v>
      </c>
      <c r="T817" s="2" t="e">
        <f t="shared" si="50"/>
        <v>#VALUE!</v>
      </c>
      <c r="U817" s="12">
        <f t="shared" si="51"/>
        <v>0.59722222222222221</v>
      </c>
      <c r="V817" s="2" t="str">
        <f t="shared" si="52"/>
        <v>8=15=18 1515</v>
      </c>
      <c r="W817" s="12">
        <f t="shared" si="53"/>
        <v>0.63541666666666663</v>
      </c>
    </row>
    <row r="818" spans="1:23">
      <c r="A818">
        <f>IF(ISBLANK('Data Input'!A818),"",'Data Input'!A818)</f>
        <v>173</v>
      </c>
      <c r="B818" t="str">
        <f>IF(ISBLANK('Data Input'!B818),"",'Data Input'!B818)</f>
        <v>CH014</v>
      </c>
      <c r="C818" t="str">
        <f>IF(ISBLANK('Data Input'!C818),"",'Data Input'!C818)</f>
        <v>8=13=18 1420</v>
      </c>
      <c r="E818" t="str">
        <f>IF(ISBLANK('Data Input'!D818),"",'Data Input'!D818)</f>
        <v>8=15=18 1515</v>
      </c>
      <c r="G818">
        <f>IF(ISBLANK('Data Input'!E818),"",'Data Input'!E818)</f>
        <v>31</v>
      </c>
      <c r="H818" t="str">
        <f>IF(ISBLANK('Data Input'!F818),"",'Data Input'!F818)</f>
        <v>White</v>
      </c>
      <c r="I818" t="str">
        <f>IF(ISBLANK('Data Input'!G818),"",'Data Input'!G818)</f>
        <v>SVD</v>
      </c>
      <c r="J818" t="str">
        <f>IF(ISBLANK('Data Input'!I818),"",'Data Input'!I818)</f>
        <v>8=15=18 0003</v>
      </c>
      <c r="K818" t="str">
        <f>IF(ISBLANK('Data Input'!J818),"",'Data Input'!J818)</f>
        <v>rr - Percocet</v>
      </c>
      <c r="L818">
        <f>IF(ISBLANK('Data Input'!K818),"",'Data Input'!K818)</f>
        <v>2</v>
      </c>
      <c r="M818">
        <f>IF(ISBLANK('Data Input'!L818),"",'Data Input'!L818)</f>
        <v>4</v>
      </c>
      <c r="N818">
        <f>IF(ISBLANK('Data Input'!M818),"",'Data Input'!M818)</f>
        <v>2</v>
      </c>
      <c r="O818" t="str">
        <f>IF(ISBLANK('Data Input'!N818),"",'Data Input'!N818)</f>
        <v/>
      </c>
      <c r="P818" t="str">
        <f>IF(ISBLANK('Data Input'!O818),"",'Data Input'!O818)</f>
        <v/>
      </c>
      <c r="Q818" t="str">
        <f>IF(ISBLANK('Data Input'!P818),"",'Data Input'!P818)</f>
        <v/>
      </c>
      <c r="R818" t="b">
        <f>IF(ISBLANK('Data Input'!Q818),"",'Data Input'!Q818)</f>
        <v>1</v>
      </c>
      <c r="T818" s="2" t="e">
        <f t="shared" si="50"/>
        <v>#VALUE!</v>
      </c>
      <c r="U818" s="12">
        <f t="shared" si="51"/>
        <v>0.59722222222222221</v>
      </c>
      <c r="V818" s="2" t="str">
        <f t="shared" si="52"/>
        <v>8=15=18 1515</v>
      </c>
      <c r="W818" s="12">
        <f t="shared" si="53"/>
        <v>0.63541666666666663</v>
      </c>
    </row>
    <row r="819" spans="1:23">
      <c r="A819">
        <f>IF(ISBLANK('Data Input'!A819),"",'Data Input'!A819)</f>
        <v>173</v>
      </c>
      <c r="B819" t="str">
        <f>IF(ISBLANK('Data Input'!B819),"",'Data Input'!B819)</f>
        <v>CH014</v>
      </c>
      <c r="C819" t="str">
        <f>IF(ISBLANK('Data Input'!C819),"",'Data Input'!C819)</f>
        <v>8=13=18 1420</v>
      </c>
      <c r="E819" t="str">
        <f>IF(ISBLANK('Data Input'!D819),"",'Data Input'!D819)</f>
        <v>8=15=18 1515</v>
      </c>
      <c r="G819">
        <f>IF(ISBLANK('Data Input'!E819),"",'Data Input'!E819)</f>
        <v>31</v>
      </c>
      <c r="H819" t="str">
        <f>IF(ISBLANK('Data Input'!F819),"",'Data Input'!F819)</f>
        <v>White</v>
      </c>
      <c r="I819" t="str">
        <f>IF(ISBLANK('Data Input'!G819),"",'Data Input'!G819)</f>
        <v>SVD</v>
      </c>
      <c r="J819" t="str">
        <f>IF(ISBLANK('Data Input'!I819),"",'Data Input'!I819)</f>
        <v>8=15=18 0425</v>
      </c>
      <c r="K819" t="str">
        <f>IF(ISBLANK('Data Input'!J819),"",'Data Input'!J819)</f>
        <v>rr - Percocet</v>
      </c>
      <c r="L819">
        <f>IF(ISBLANK('Data Input'!K819),"",'Data Input'!K819)</f>
        <v>2</v>
      </c>
      <c r="M819">
        <f>IF(ISBLANK('Data Input'!L819),"",'Data Input'!L819)</f>
        <v>6</v>
      </c>
      <c r="N819">
        <f>IF(ISBLANK('Data Input'!M819),"",'Data Input'!M819)</f>
        <v>2</v>
      </c>
      <c r="O819" t="str">
        <f>IF(ISBLANK('Data Input'!N819),"",'Data Input'!N819)</f>
        <v/>
      </c>
      <c r="P819" t="str">
        <f>IF(ISBLANK('Data Input'!O819),"",'Data Input'!O819)</f>
        <v/>
      </c>
      <c r="Q819" t="str">
        <f>IF(ISBLANK('Data Input'!P819),"",'Data Input'!P819)</f>
        <v/>
      </c>
      <c r="R819" t="b">
        <f>IF(ISBLANK('Data Input'!Q819),"",'Data Input'!Q819)</f>
        <v>1</v>
      </c>
      <c r="T819" s="2" t="e">
        <f t="shared" si="50"/>
        <v>#VALUE!</v>
      </c>
      <c r="U819" s="12">
        <f t="shared" si="51"/>
        <v>0.59722222222222221</v>
      </c>
      <c r="V819" s="2" t="str">
        <f t="shared" si="52"/>
        <v>8=15=18 1515</v>
      </c>
      <c r="W819" s="12">
        <f t="shared" si="53"/>
        <v>0.63541666666666663</v>
      </c>
    </row>
    <row r="820" spans="1:23">
      <c r="A820">
        <f>IF(ISBLANK('Data Input'!A820),"",'Data Input'!A820)</f>
        <v>173</v>
      </c>
      <c r="B820" t="str">
        <f>IF(ISBLANK('Data Input'!B820),"",'Data Input'!B820)</f>
        <v>CH014</v>
      </c>
      <c r="C820" t="str">
        <f>IF(ISBLANK('Data Input'!C820),"",'Data Input'!C820)</f>
        <v>8=13=18 1420</v>
      </c>
      <c r="E820" t="str">
        <f>IF(ISBLANK('Data Input'!D820),"",'Data Input'!D820)</f>
        <v>8=15=18 1515</v>
      </c>
      <c r="G820">
        <f>IF(ISBLANK('Data Input'!E820),"",'Data Input'!E820)</f>
        <v>31</v>
      </c>
      <c r="H820" t="str">
        <f>IF(ISBLANK('Data Input'!F820),"",'Data Input'!F820)</f>
        <v>White</v>
      </c>
      <c r="I820" t="str">
        <f>IF(ISBLANK('Data Input'!G820),"",'Data Input'!G820)</f>
        <v>SVD</v>
      </c>
      <c r="J820" t="str">
        <f>IF(ISBLANK('Data Input'!I820),"",'Data Input'!I820)</f>
        <v>8=15=18 0807</v>
      </c>
      <c r="K820" t="str">
        <f>IF(ISBLANK('Data Input'!J820),"",'Data Input'!J820)</f>
        <v>bb - Ibuprofen</v>
      </c>
      <c r="L820">
        <f>IF(ISBLANK('Data Input'!K820),"",'Data Input'!K820)</f>
        <v>800</v>
      </c>
      <c r="M820">
        <f>IF(ISBLANK('Data Input'!L820),"",'Data Input'!L820)</f>
        <v>5</v>
      </c>
      <c r="N820">
        <f>IF(ISBLANK('Data Input'!M820),"",'Data Input'!M820)</f>
        <v>4</v>
      </c>
      <c r="O820" t="str">
        <f>IF(ISBLANK('Data Input'!N820),"",'Data Input'!N820)</f>
        <v/>
      </c>
      <c r="P820" t="str">
        <f>IF(ISBLANK('Data Input'!O820),"",'Data Input'!O820)</f>
        <v/>
      </c>
      <c r="Q820" t="str">
        <f>IF(ISBLANK('Data Input'!P820),"",'Data Input'!P820)</f>
        <v/>
      </c>
      <c r="R820" t="b">
        <f>IF(ISBLANK('Data Input'!Q820),"",'Data Input'!Q820)</f>
        <v>1</v>
      </c>
      <c r="T820" s="2" t="e">
        <f t="shared" si="50"/>
        <v>#VALUE!</v>
      </c>
      <c r="U820" s="12">
        <f t="shared" si="51"/>
        <v>0.59722222222222221</v>
      </c>
      <c r="V820" s="2" t="str">
        <f t="shared" si="52"/>
        <v>8=15=18 1515</v>
      </c>
      <c r="W820" s="12">
        <f t="shared" si="53"/>
        <v>0.63541666666666663</v>
      </c>
    </row>
    <row r="821" spans="1:23">
      <c r="A821">
        <f>IF(ISBLANK('Data Input'!A821),"",'Data Input'!A821)</f>
        <v>173</v>
      </c>
      <c r="B821" t="str">
        <f>IF(ISBLANK('Data Input'!B821),"",'Data Input'!B821)</f>
        <v>CH014</v>
      </c>
      <c r="C821" t="str">
        <f>IF(ISBLANK('Data Input'!C821),"",'Data Input'!C821)</f>
        <v>8=13=18 1420</v>
      </c>
      <c r="E821" t="str">
        <f>IF(ISBLANK('Data Input'!D821),"",'Data Input'!D821)</f>
        <v>8=15=18 1515</v>
      </c>
      <c r="G821">
        <f>IF(ISBLANK('Data Input'!E821),"",'Data Input'!E821)</f>
        <v>31</v>
      </c>
      <c r="H821" t="str">
        <f>IF(ISBLANK('Data Input'!F821),"",'Data Input'!F821)</f>
        <v>White</v>
      </c>
      <c r="I821" t="str">
        <f>IF(ISBLANK('Data Input'!G821),"",'Data Input'!G821)</f>
        <v>SVD</v>
      </c>
      <c r="J821" t="str">
        <f>IF(ISBLANK('Data Input'!I821),"",'Data Input'!I821)</f>
        <v>8=15=18 0807</v>
      </c>
      <c r="K821" t="str">
        <f>IF(ISBLANK('Data Input'!J821),"",'Data Input'!J821)</f>
        <v>rr - Percocet</v>
      </c>
      <c r="L821">
        <f>IF(ISBLANK('Data Input'!K821),"",'Data Input'!K821)</f>
        <v>1</v>
      </c>
      <c r="M821">
        <f>IF(ISBLANK('Data Input'!L821),"",'Data Input'!L821)</f>
        <v>5</v>
      </c>
      <c r="N821">
        <f>IF(ISBLANK('Data Input'!M821),"",'Data Input'!M821)</f>
        <v>4</v>
      </c>
      <c r="O821" t="str">
        <f>IF(ISBLANK('Data Input'!N821),"",'Data Input'!N821)</f>
        <v/>
      </c>
      <c r="P821" t="str">
        <f>IF(ISBLANK('Data Input'!O821),"",'Data Input'!O821)</f>
        <v/>
      </c>
      <c r="Q821" t="str">
        <f>IF(ISBLANK('Data Input'!P821),"",'Data Input'!P821)</f>
        <v/>
      </c>
      <c r="R821" t="b">
        <f>IF(ISBLANK('Data Input'!Q821),"",'Data Input'!Q821)</f>
        <v>1</v>
      </c>
      <c r="T821" s="2" t="e">
        <f t="shared" si="50"/>
        <v>#VALUE!</v>
      </c>
      <c r="U821" s="12">
        <f t="shared" si="51"/>
        <v>0.59722222222222221</v>
      </c>
      <c r="V821" s="2" t="str">
        <f t="shared" si="52"/>
        <v>8=15=18 1515</v>
      </c>
      <c r="W821" s="12">
        <f t="shared" si="53"/>
        <v>0.63541666666666663</v>
      </c>
    </row>
    <row r="822" spans="1:23">
      <c r="A822">
        <f>IF(ISBLANK('Data Input'!A822),"",'Data Input'!A822)</f>
        <v>173</v>
      </c>
      <c r="B822" t="str">
        <f>IF(ISBLANK('Data Input'!B822),"",'Data Input'!B822)</f>
        <v>CH014</v>
      </c>
      <c r="C822" t="str">
        <f>IF(ISBLANK('Data Input'!C822),"",'Data Input'!C822)</f>
        <v>8=13=18 1420</v>
      </c>
      <c r="E822" t="str">
        <f>IF(ISBLANK('Data Input'!D822),"",'Data Input'!D822)</f>
        <v>8=15=18 1515</v>
      </c>
      <c r="G822">
        <f>IF(ISBLANK('Data Input'!E822),"",'Data Input'!E822)</f>
        <v>31</v>
      </c>
      <c r="H822" t="str">
        <f>IF(ISBLANK('Data Input'!F822),"",'Data Input'!F822)</f>
        <v>White</v>
      </c>
      <c r="I822" t="str">
        <f>IF(ISBLANK('Data Input'!G822),"",'Data Input'!G822)</f>
        <v>SVD</v>
      </c>
      <c r="J822" t="str">
        <f>IF(ISBLANK('Data Input'!I822),"",'Data Input'!I822)</f>
        <v>8=15=18 1301</v>
      </c>
      <c r="K822" t="str">
        <f>IF(ISBLANK('Data Input'!J822),"",'Data Input'!J822)</f>
        <v>rr - Percocet</v>
      </c>
      <c r="L822">
        <f>IF(ISBLANK('Data Input'!K822),"",'Data Input'!K822)</f>
        <v>2</v>
      </c>
      <c r="M822">
        <f>IF(ISBLANK('Data Input'!L822),"",'Data Input'!L822)</f>
        <v>7</v>
      </c>
      <c r="N822">
        <f>IF(ISBLANK('Data Input'!M822),"",'Data Input'!M822)</f>
        <v>3</v>
      </c>
      <c r="O822" t="str">
        <f>IF(ISBLANK('Data Input'!N822),"",'Data Input'!N822)</f>
        <v/>
      </c>
      <c r="P822" t="str">
        <f>IF(ISBLANK('Data Input'!O822),"",'Data Input'!O822)</f>
        <v/>
      </c>
      <c r="Q822" t="str">
        <f>IF(ISBLANK('Data Input'!P822),"",'Data Input'!P822)</f>
        <v/>
      </c>
      <c r="R822" t="b">
        <f>IF(ISBLANK('Data Input'!Q822),"",'Data Input'!Q822)</f>
        <v>1</v>
      </c>
      <c r="T822" s="2" t="e">
        <f t="shared" si="50"/>
        <v>#VALUE!</v>
      </c>
      <c r="U822" s="12">
        <f t="shared" si="51"/>
        <v>0.59722222222222221</v>
      </c>
      <c r="V822" s="2" t="str">
        <f t="shared" si="52"/>
        <v>8=15=18 1515</v>
      </c>
      <c r="W822" s="12">
        <f t="shared" si="53"/>
        <v>0.63541666666666663</v>
      </c>
    </row>
    <row r="823" spans="1:23">
      <c r="A823">
        <f>IF(ISBLANK('Data Input'!A823),"",'Data Input'!A823)</f>
        <v>174</v>
      </c>
      <c r="B823" t="str">
        <f>IF(ISBLANK('Data Input'!B823),"",'Data Input'!B823)</f>
        <v>RU015</v>
      </c>
      <c r="C823" t="str">
        <f>IF(ISBLANK('Data Input'!C823),"",'Data Input'!C823)</f>
        <v>8=19=18 0045</v>
      </c>
      <c r="E823" t="str">
        <f>IF(ISBLANK('Data Input'!D823),"",'Data Input'!D823)</f>
        <v>dd - Missing Data</v>
      </c>
      <c r="G823">
        <f>IF(ISBLANK('Data Input'!E823),"",'Data Input'!E823)</f>
        <v>35</v>
      </c>
      <c r="H823" t="str">
        <f>IF(ISBLANK('Data Input'!F823),"",'Data Input'!F823)</f>
        <v>White</v>
      </c>
      <c r="I823" t="str">
        <f>IF(ISBLANK('Data Input'!G823),"",'Data Input'!G823)</f>
        <v>SVD</v>
      </c>
      <c r="J823" t="str">
        <f>IF(ISBLANK('Data Input'!I823),"",'Data Input'!I823)</f>
        <v>8=19=18 0445</v>
      </c>
      <c r="K823" t="str">
        <f>IF(ISBLANK('Data Input'!J823),"",'Data Input'!J823)</f>
        <v>rr - Percocet</v>
      </c>
      <c r="L823">
        <f>IF(ISBLANK('Data Input'!K823),"",'Data Input'!K823)</f>
        <v>2</v>
      </c>
      <c r="M823" t="str">
        <f>IF(ISBLANK('Data Input'!L823),"",'Data Input'!L823)</f>
        <v>dd - Missing Data</v>
      </c>
      <c r="N823" t="str">
        <f>IF(ISBLANK('Data Input'!M823),"",'Data Input'!M823)</f>
        <v>dd - Missing Data</v>
      </c>
      <c r="O823" t="str">
        <f>IF(ISBLANK('Data Input'!N823),"",'Data Input'!N823)</f>
        <v/>
      </c>
      <c r="P823" t="str">
        <f>IF(ISBLANK('Data Input'!O823),"",'Data Input'!O823)</f>
        <v/>
      </c>
      <c r="Q823" t="str">
        <f>IF(ISBLANK('Data Input'!P823),"",'Data Input'!P823)</f>
        <v>Severe hemorrhoid pain</v>
      </c>
      <c r="R823" t="b">
        <f>IF(ISBLANK('Data Input'!Q823),"",'Data Input'!Q823)</f>
        <v>0</v>
      </c>
      <c r="T823" s="2" t="e">
        <f t="shared" si="50"/>
        <v>#VALUE!</v>
      </c>
      <c r="U823" s="12">
        <f t="shared" si="51"/>
        <v>3.125E-2</v>
      </c>
      <c r="V823" s="2" t="str">
        <f t="shared" si="52"/>
        <v>dd - Missing Data</v>
      </c>
      <c r="W823" s="12" t="str">
        <f t="shared" si="53"/>
        <v>dd - Missing Data</v>
      </c>
    </row>
    <row r="824" spans="1:23">
      <c r="A824">
        <f>IF(ISBLANK('Data Input'!A824),"",'Data Input'!A824)</f>
        <v>174</v>
      </c>
      <c r="B824" t="str">
        <f>IF(ISBLANK('Data Input'!B824),"",'Data Input'!B824)</f>
        <v>RU015</v>
      </c>
      <c r="C824" t="str">
        <f>IF(ISBLANK('Data Input'!C824),"",'Data Input'!C824)</f>
        <v>8=19=18 0045</v>
      </c>
      <c r="E824" t="str">
        <f>IF(ISBLANK('Data Input'!D824),"",'Data Input'!D824)</f>
        <v>dd - Missing Data</v>
      </c>
      <c r="G824">
        <f>IF(ISBLANK('Data Input'!E824),"",'Data Input'!E824)</f>
        <v>35</v>
      </c>
      <c r="H824" t="str">
        <f>IF(ISBLANK('Data Input'!F824),"",'Data Input'!F824)</f>
        <v>White</v>
      </c>
      <c r="I824" t="str">
        <f>IF(ISBLANK('Data Input'!G824),"",'Data Input'!G824)</f>
        <v>SVD</v>
      </c>
      <c r="J824" t="str">
        <f>IF(ISBLANK('Data Input'!I824),"",'Data Input'!I824)</f>
        <v>8=19=18 0758</v>
      </c>
      <c r="K824" t="str">
        <f>IF(ISBLANK('Data Input'!J824),"",'Data Input'!J824)</f>
        <v>bb - Ibuprofen</v>
      </c>
      <c r="L824">
        <f>IF(ISBLANK('Data Input'!K824),"",'Data Input'!K824)</f>
        <v>800</v>
      </c>
      <c r="M824" t="str">
        <f>IF(ISBLANK('Data Input'!L824),"",'Data Input'!L824)</f>
        <v>dd - Missing Data</v>
      </c>
      <c r="N824" t="str">
        <f>IF(ISBLANK('Data Input'!M824),"",'Data Input'!M824)</f>
        <v>dd - Missing Data</v>
      </c>
      <c r="O824" t="str">
        <f>IF(ISBLANK('Data Input'!N824),"",'Data Input'!N824)</f>
        <v/>
      </c>
      <c r="P824" t="str">
        <f>IF(ISBLANK('Data Input'!O824),"",'Data Input'!O824)</f>
        <v/>
      </c>
      <c r="Q824" t="str">
        <f>IF(ISBLANK('Data Input'!P824),"",'Data Input'!P824)</f>
        <v>Severe hemorrhoid pain</v>
      </c>
      <c r="R824" t="b">
        <f>IF(ISBLANK('Data Input'!Q824),"",'Data Input'!Q824)</f>
        <v>0</v>
      </c>
      <c r="T824" s="2" t="e">
        <f t="shared" si="50"/>
        <v>#VALUE!</v>
      </c>
      <c r="U824" s="12">
        <f t="shared" si="51"/>
        <v>3.125E-2</v>
      </c>
      <c r="V824" s="2" t="str">
        <f t="shared" si="52"/>
        <v>dd - Missing Data</v>
      </c>
      <c r="W824" s="12" t="str">
        <f t="shared" si="53"/>
        <v>dd - Missing Data</v>
      </c>
    </row>
    <row r="825" spans="1:23">
      <c r="A825">
        <f>IF(ISBLANK('Data Input'!A825),"",'Data Input'!A825)</f>
        <v>174</v>
      </c>
      <c r="B825" t="str">
        <f>IF(ISBLANK('Data Input'!B825),"",'Data Input'!B825)</f>
        <v>RU015</v>
      </c>
      <c r="C825" t="str">
        <f>IF(ISBLANK('Data Input'!C825),"",'Data Input'!C825)</f>
        <v>8=19=18 0045</v>
      </c>
      <c r="E825" t="str">
        <f>IF(ISBLANK('Data Input'!D825),"",'Data Input'!D825)</f>
        <v>dd - Missing Data</v>
      </c>
      <c r="G825">
        <f>IF(ISBLANK('Data Input'!E825),"",'Data Input'!E825)</f>
        <v>35</v>
      </c>
      <c r="H825" t="str">
        <f>IF(ISBLANK('Data Input'!F825),"",'Data Input'!F825)</f>
        <v>White</v>
      </c>
      <c r="I825" t="str">
        <f>IF(ISBLANK('Data Input'!G825),"",'Data Input'!G825)</f>
        <v>SVD</v>
      </c>
      <c r="J825" t="str">
        <f>IF(ISBLANK('Data Input'!I825),"",'Data Input'!I825)</f>
        <v>8=19=18 0823</v>
      </c>
      <c r="K825" t="str">
        <f>IF(ISBLANK('Data Input'!J825),"",'Data Input'!J825)</f>
        <v>rr - Percocet</v>
      </c>
      <c r="L825">
        <f>IF(ISBLANK('Data Input'!K825),"",'Data Input'!K825)</f>
        <v>2</v>
      </c>
      <c r="M825" t="str">
        <f>IF(ISBLANK('Data Input'!L825),"",'Data Input'!L825)</f>
        <v>dd - Missing Data</v>
      </c>
      <c r="N825" t="str">
        <f>IF(ISBLANK('Data Input'!M825),"",'Data Input'!M825)</f>
        <v>dd - Missing Data</v>
      </c>
      <c r="O825" t="str">
        <f>IF(ISBLANK('Data Input'!N825),"",'Data Input'!N825)</f>
        <v/>
      </c>
      <c r="P825" t="str">
        <f>IF(ISBLANK('Data Input'!O825),"",'Data Input'!O825)</f>
        <v/>
      </c>
      <c r="Q825" t="str">
        <f>IF(ISBLANK('Data Input'!P825),"",'Data Input'!P825)</f>
        <v>Severe hemorrhoid pain</v>
      </c>
      <c r="R825" t="b">
        <f>IF(ISBLANK('Data Input'!Q825),"",'Data Input'!Q825)</f>
        <v>0</v>
      </c>
      <c r="T825" s="2" t="e">
        <f t="shared" si="50"/>
        <v>#VALUE!</v>
      </c>
      <c r="U825" s="12">
        <f t="shared" si="51"/>
        <v>3.125E-2</v>
      </c>
      <c r="V825" s="2" t="str">
        <f t="shared" si="52"/>
        <v>dd - Missing Data</v>
      </c>
      <c r="W825" s="12" t="str">
        <f t="shared" si="53"/>
        <v>dd - Missing Data</v>
      </c>
    </row>
    <row r="826" spans="1:23">
      <c r="A826">
        <f>IF(ISBLANK('Data Input'!A826),"",'Data Input'!A826)</f>
        <v>174</v>
      </c>
      <c r="B826" t="str">
        <f>IF(ISBLANK('Data Input'!B826),"",'Data Input'!B826)</f>
        <v>RU015</v>
      </c>
      <c r="C826" t="str">
        <f>IF(ISBLANK('Data Input'!C826),"",'Data Input'!C826)</f>
        <v>8=19=18 0045</v>
      </c>
      <c r="E826" t="str">
        <f>IF(ISBLANK('Data Input'!D826),"",'Data Input'!D826)</f>
        <v>dd - Missing Data</v>
      </c>
      <c r="G826">
        <f>IF(ISBLANK('Data Input'!E826),"",'Data Input'!E826)</f>
        <v>35</v>
      </c>
      <c r="H826" t="str">
        <f>IF(ISBLANK('Data Input'!F826),"",'Data Input'!F826)</f>
        <v>White</v>
      </c>
      <c r="I826" t="str">
        <f>IF(ISBLANK('Data Input'!G826),"",'Data Input'!G826)</f>
        <v>SVD</v>
      </c>
      <c r="J826" t="str">
        <f>IF(ISBLANK('Data Input'!I826),"",'Data Input'!I826)</f>
        <v>8=19=18 1209</v>
      </c>
      <c r="K826" t="str">
        <f>IF(ISBLANK('Data Input'!J826),"",'Data Input'!J826)</f>
        <v>rr - Percocet</v>
      </c>
      <c r="L826">
        <f>IF(ISBLANK('Data Input'!K826),"",'Data Input'!K826)</f>
        <v>2</v>
      </c>
      <c r="M826" t="str">
        <f>IF(ISBLANK('Data Input'!L826),"",'Data Input'!L826)</f>
        <v>dd - Missing Data</v>
      </c>
      <c r="N826" t="str">
        <f>IF(ISBLANK('Data Input'!M826),"",'Data Input'!M826)</f>
        <v>dd - Missing Data</v>
      </c>
      <c r="O826" t="str">
        <f>IF(ISBLANK('Data Input'!N826),"",'Data Input'!N826)</f>
        <v/>
      </c>
      <c r="P826" t="str">
        <f>IF(ISBLANK('Data Input'!O826),"",'Data Input'!O826)</f>
        <v/>
      </c>
      <c r="Q826" t="str">
        <f>IF(ISBLANK('Data Input'!P826),"",'Data Input'!P826)</f>
        <v>Severe hemorrhoid pain</v>
      </c>
      <c r="R826" t="b">
        <f>IF(ISBLANK('Data Input'!Q826),"",'Data Input'!Q826)</f>
        <v>0</v>
      </c>
      <c r="T826" s="2" t="e">
        <f t="shared" si="50"/>
        <v>#VALUE!</v>
      </c>
      <c r="U826" s="12">
        <f t="shared" si="51"/>
        <v>3.125E-2</v>
      </c>
      <c r="V826" s="2" t="str">
        <f t="shared" si="52"/>
        <v>dd - Missing Data</v>
      </c>
      <c r="W826" s="12" t="str">
        <f t="shared" si="53"/>
        <v>dd - Missing Data</v>
      </c>
    </row>
    <row r="827" spans="1:23">
      <c r="A827">
        <f>IF(ISBLANK('Data Input'!A827),"",'Data Input'!A827)</f>
        <v>174</v>
      </c>
      <c r="B827" t="str">
        <f>IF(ISBLANK('Data Input'!B827),"",'Data Input'!B827)</f>
        <v>RU015</v>
      </c>
      <c r="C827" t="str">
        <f>IF(ISBLANK('Data Input'!C827),"",'Data Input'!C827)</f>
        <v>8=19=18 0045</v>
      </c>
      <c r="E827" t="str">
        <f>IF(ISBLANK('Data Input'!D827),"",'Data Input'!D827)</f>
        <v>dd - Missing Data</v>
      </c>
      <c r="G827">
        <f>IF(ISBLANK('Data Input'!E827),"",'Data Input'!E827)</f>
        <v>35</v>
      </c>
      <c r="H827" t="str">
        <f>IF(ISBLANK('Data Input'!F827),"",'Data Input'!F827)</f>
        <v>White</v>
      </c>
      <c r="I827" t="str">
        <f>IF(ISBLANK('Data Input'!G827),"",'Data Input'!G827)</f>
        <v>SVD</v>
      </c>
      <c r="J827" t="str">
        <f>IF(ISBLANK('Data Input'!I827),"",'Data Input'!I827)</f>
        <v>8=19=18 1403</v>
      </c>
      <c r="K827" t="str">
        <f>IF(ISBLANK('Data Input'!J827),"",'Data Input'!J827)</f>
        <v>bb - Ibuprofen</v>
      </c>
      <c r="L827">
        <f>IF(ISBLANK('Data Input'!K827),"",'Data Input'!K827)</f>
        <v>800</v>
      </c>
      <c r="M827" t="str">
        <f>IF(ISBLANK('Data Input'!L827),"",'Data Input'!L827)</f>
        <v>dd - Missing Data</v>
      </c>
      <c r="N827" t="str">
        <f>IF(ISBLANK('Data Input'!M827),"",'Data Input'!M827)</f>
        <v>dd - Missing Data</v>
      </c>
      <c r="O827" t="str">
        <f>IF(ISBLANK('Data Input'!N827),"",'Data Input'!N827)</f>
        <v/>
      </c>
      <c r="P827" t="str">
        <f>IF(ISBLANK('Data Input'!O827),"",'Data Input'!O827)</f>
        <v/>
      </c>
      <c r="Q827" t="str">
        <f>IF(ISBLANK('Data Input'!P827),"",'Data Input'!P827)</f>
        <v>Severe hemorrhoid pain</v>
      </c>
      <c r="R827" t="b">
        <f>IF(ISBLANK('Data Input'!Q827),"",'Data Input'!Q827)</f>
        <v>0</v>
      </c>
      <c r="T827" s="2" t="e">
        <f t="shared" si="50"/>
        <v>#VALUE!</v>
      </c>
      <c r="U827" s="12">
        <f t="shared" si="51"/>
        <v>3.125E-2</v>
      </c>
      <c r="V827" s="2" t="str">
        <f t="shared" si="52"/>
        <v>dd - Missing Data</v>
      </c>
      <c r="W827" s="12" t="str">
        <f t="shared" si="53"/>
        <v>dd - Missing Data</v>
      </c>
    </row>
    <row r="828" spans="1:23">
      <c r="A828">
        <f>IF(ISBLANK('Data Input'!A828),"",'Data Input'!A828)</f>
        <v>174</v>
      </c>
      <c r="B828" t="str">
        <f>IF(ISBLANK('Data Input'!B828),"",'Data Input'!B828)</f>
        <v>RU015</v>
      </c>
      <c r="C828" t="str">
        <f>IF(ISBLANK('Data Input'!C828),"",'Data Input'!C828)</f>
        <v>8=19=18 0045</v>
      </c>
      <c r="E828" t="str">
        <f>IF(ISBLANK('Data Input'!D828),"",'Data Input'!D828)</f>
        <v>dd - Missing Data</v>
      </c>
      <c r="G828">
        <f>IF(ISBLANK('Data Input'!E828),"",'Data Input'!E828)</f>
        <v>35</v>
      </c>
      <c r="H828" t="str">
        <f>IF(ISBLANK('Data Input'!F828),"",'Data Input'!F828)</f>
        <v>White</v>
      </c>
      <c r="I828" t="str">
        <f>IF(ISBLANK('Data Input'!G828),"",'Data Input'!G828)</f>
        <v>SVD</v>
      </c>
      <c r="J828" t="str">
        <f>IF(ISBLANK('Data Input'!I828),"",'Data Input'!I828)</f>
        <v>8=19=18 1403</v>
      </c>
      <c r="K828" t="str">
        <f>IF(ISBLANK('Data Input'!J828),"",'Data Input'!J828)</f>
        <v>rr - Percocet</v>
      </c>
      <c r="L828">
        <f>IF(ISBLANK('Data Input'!K828),"",'Data Input'!K828)</f>
        <v>1</v>
      </c>
      <c r="M828" t="str">
        <f>IF(ISBLANK('Data Input'!L828),"",'Data Input'!L828)</f>
        <v>dd - Missing Data</v>
      </c>
      <c r="N828" t="str">
        <f>IF(ISBLANK('Data Input'!M828),"",'Data Input'!M828)</f>
        <v>dd - Missing Data</v>
      </c>
      <c r="O828" t="str">
        <f>IF(ISBLANK('Data Input'!N828),"",'Data Input'!N828)</f>
        <v/>
      </c>
      <c r="P828" t="str">
        <f>IF(ISBLANK('Data Input'!O828),"",'Data Input'!O828)</f>
        <v/>
      </c>
      <c r="Q828" t="str">
        <f>IF(ISBLANK('Data Input'!P828),"",'Data Input'!P828)</f>
        <v>Severe hemorrhoid pain</v>
      </c>
      <c r="R828" t="b">
        <f>IF(ISBLANK('Data Input'!Q828),"",'Data Input'!Q828)</f>
        <v>0</v>
      </c>
      <c r="T828" s="2" t="e">
        <f t="shared" si="50"/>
        <v>#VALUE!</v>
      </c>
      <c r="U828" s="12">
        <f t="shared" si="51"/>
        <v>3.125E-2</v>
      </c>
      <c r="V828" s="2" t="str">
        <f t="shared" si="52"/>
        <v>dd - Missing Data</v>
      </c>
      <c r="W828" s="12" t="str">
        <f t="shared" si="53"/>
        <v>dd - Missing Data</v>
      </c>
    </row>
    <row r="829" spans="1:23">
      <c r="A829">
        <f>IF(ISBLANK('Data Input'!A829),"",'Data Input'!A829)</f>
        <v>174</v>
      </c>
      <c r="B829" t="str">
        <f>IF(ISBLANK('Data Input'!B829),"",'Data Input'!B829)</f>
        <v>RU015</v>
      </c>
      <c r="C829" t="str">
        <f>IF(ISBLANK('Data Input'!C829),"",'Data Input'!C829)</f>
        <v>8=19=18 0045</v>
      </c>
      <c r="E829" t="str">
        <f>IF(ISBLANK('Data Input'!D829),"",'Data Input'!D829)</f>
        <v>dd - Missing Data</v>
      </c>
      <c r="G829">
        <f>IF(ISBLANK('Data Input'!E829),"",'Data Input'!E829)</f>
        <v>35</v>
      </c>
      <c r="H829" t="str">
        <f>IF(ISBLANK('Data Input'!F829),"",'Data Input'!F829)</f>
        <v>White</v>
      </c>
      <c r="I829" t="str">
        <f>IF(ISBLANK('Data Input'!G829),"",'Data Input'!G829)</f>
        <v>SVD</v>
      </c>
      <c r="J829" t="str">
        <f>IF(ISBLANK('Data Input'!I829),"",'Data Input'!I829)</f>
        <v>8=19=18 1612</v>
      </c>
      <c r="K829" t="str">
        <f>IF(ISBLANK('Data Input'!J829),"",'Data Input'!J829)</f>
        <v>rr - Percocet</v>
      </c>
      <c r="L829">
        <f>IF(ISBLANK('Data Input'!K829),"",'Data Input'!K829)</f>
        <v>2</v>
      </c>
      <c r="M829" t="str">
        <f>IF(ISBLANK('Data Input'!L829),"",'Data Input'!L829)</f>
        <v>dd - Missing Data</v>
      </c>
      <c r="N829" t="str">
        <f>IF(ISBLANK('Data Input'!M829),"",'Data Input'!M829)</f>
        <v>dd - Missing Data</v>
      </c>
      <c r="O829" t="str">
        <f>IF(ISBLANK('Data Input'!N829),"",'Data Input'!N829)</f>
        <v/>
      </c>
      <c r="P829" t="str">
        <f>IF(ISBLANK('Data Input'!O829),"",'Data Input'!O829)</f>
        <v/>
      </c>
      <c r="Q829" t="str">
        <f>IF(ISBLANK('Data Input'!P829),"",'Data Input'!P829)</f>
        <v>Severe hemorrhoid pain</v>
      </c>
      <c r="R829" t="b">
        <f>IF(ISBLANK('Data Input'!Q829),"",'Data Input'!Q829)</f>
        <v>0</v>
      </c>
      <c r="T829" s="2" t="e">
        <f t="shared" si="50"/>
        <v>#VALUE!</v>
      </c>
      <c r="U829" s="12">
        <f t="shared" si="51"/>
        <v>3.125E-2</v>
      </c>
      <c r="V829" s="2" t="str">
        <f t="shared" si="52"/>
        <v>dd - Missing Data</v>
      </c>
      <c r="W829" s="12" t="str">
        <f t="shared" si="53"/>
        <v>dd - Missing Data</v>
      </c>
    </row>
    <row r="830" spans="1:23">
      <c r="A830">
        <f>IF(ISBLANK('Data Input'!A830),"",'Data Input'!A830)</f>
        <v>174</v>
      </c>
      <c r="B830" t="str">
        <f>IF(ISBLANK('Data Input'!B830),"",'Data Input'!B830)</f>
        <v>RU015</v>
      </c>
      <c r="C830" t="str">
        <f>IF(ISBLANK('Data Input'!C830),"",'Data Input'!C830)</f>
        <v>8=19=18 0045</v>
      </c>
      <c r="E830" t="str">
        <f>IF(ISBLANK('Data Input'!D830),"",'Data Input'!D830)</f>
        <v>dd - Missing Data</v>
      </c>
      <c r="G830">
        <f>IF(ISBLANK('Data Input'!E830),"",'Data Input'!E830)</f>
        <v>35</v>
      </c>
      <c r="H830" t="str">
        <f>IF(ISBLANK('Data Input'!F830),"",'Data Input'!F830)</f>
        <v>White</v>
      </c>
      <c r="I830" t="str">
        <f>IF(ISBLANK('Data Input'!G830),"",'Data Input'!G830)</f>
        <v>SVD</v>
      </c>
      <c r="J830" t="str">
        <f>IF(ISBLANK('Data Input'!I830),"",'Data Input'!I830)</f>
        <v>8=19=18 2018</v>
      </c>
      <c r="K830" t="str">
        <f>IF(ISBLANK('Data Input'!J830),"",'Data Input'!J830)</f>
        <v>bb - Ibuprofen</v>
      </c>
      <c r="L830">
        <f>IF(ISBLANK('Data Input'!K830),"",'Data Input'!K830)</f>
        <v>800</v>
      </c>
      <c r="M830" t="str">
        <f>IF(ISBLANK('Data Input'!L830),"",'Data Input'!L830)</f>
        <v>dd - Missing Data</v>
      </c>
      <c r="N830" t="str">
        <f>IF(ISBLANK('Data Input'!M830),"",'Data Input'!M830)</f>
        <v>dd - Missing Data</v>
      </c>
      <c r="O830" t="str">
        <f>IF(ISBLANK('Data Input'!N830),"",'Data Input'!N830)</f>
        <v/>
      </c>
      <c r="P830" t="str">
        <f>IF(ISBLANK('Data Input'!O830),"",'Data Input'!O830)</f>
        <v/>
      </c>
      <c r="Q830" t="str">
        <f>IF(ISBLANK('Data Input'!P830),"",'Data Input'!P830)</f>
        <v>Severe hemorrhoid pain</v>
      </c>
      <c r="R830" t="b">
        <f>IF(ISBLANK('Data Input'!Q830),"",'Data Input'!Q830)</f>
        <v>0</v>
      </c>
      <c r="T830" s="2" t="e">
        <f t="shared" si="50"/>
        <v>#VALUE!</v>
      </c>
      <c r="U830" s="12">
        <f t="shared" si="51"/>
        <v>3.125E-2</v>
      </c>
      <c r="V830" s="2" t="str">
        <f t="shared" si="52"/>
        <v>dd - Missing Data</v>
      </c>
      <c r="W830" s="12" t="str">
        <f t="shared" si="53"/>
        <v>dd - Missing Data</v>
      </c>
    </row>
    <row r="831" spans="1:23">
      <c r="A831">
        <f>IF(ISBLANK('Data Input'!A831),"",'Data Input'!A831)</f>
        <v>174</v>
      </c>
      <c r="B831" t="str">
        <f>IF(ISBLANK('Data Input'!B831),"",'Data Input'!B831)</f>
        <v>RU015</v>
      </c>
      <c r="C831" t="str">
        <f>IF(ISBLANK('Data Input'!C831),"",'Data Input'!C831)</f>
        <v>8=19=18 0045</v>
      </c>
      <c r="E831" t="str">
        <f>IF(ISBLANK('Data Input'!D831),"",'Data Input'!D831)</f>
        <v>dd - Missing Data</v>
      </c>
      <c r="G831">
        <f>IF(ISBLANK('Data Input'!E831),"",'Data Input'!E831)</f>
        <v>35</v>
      </c>
      <c r="H831" t="str">
        <f>IF(ISBLANK('Data Input'!F831),"",'Data Input'!F831)</f>
        <v>White</v>
      </c>
      <c r="I831" t="str">
        <f>IF(ISBLANK('Data Input'!G831),"",'Data Input'!G831)</f>
        <v>SVD</v>
      </c>
      <c r="J831" t="str">
        <f>IF(ISBLANK('Data Input'!I831),"",'Data Input'!I831)</f>
        <v>8=19=18 1403</v>
      </c>
      <c r="K831" t="str">
        <f>IF(ISBLANK('Data Input'!J831),"",'Data Input'!J831)</f>
        <v>rr - Percocet</v>
      </c>
      <c r="L831">
        <f>IF(ISBLANK('Data Input'!K831),"",'Data Input'!K831)</f>
        <v>2</v>
      </c>
      <c r="M831" t="str">
        <f>IF(ISBLANK('Data Input'!L831),"",'Data Input'!L831)</f>
        <v>dd - Missing Data</v>
      </c>
      <c r="N831" t="str">
        <f>IF(ISBLANK('Data Input'!M831),"",'Data Input'!M831)</f>
        <v>dd - Missing Data</v>
      </c>
      <c r="O831" t="str">
        <f>IF(ISBLANK('Data Input'!N831),"",'Data Input'!N831)</f>
        <v/>
      </c>
      <c r="P831" t="str">
        <f>IF(ISBLANK('Data Input'!O831),"",'Data Input'!O831)</f>
        <v/>
      </c>
      <c r="Q831" t="str">
        <f>IF(ISBLANK('Data Input'!P831),"",'Data Input'!P831)</f>
        <v>Severe hemorrhoid pain</v>
      </c>
      <c r="R831" t="b">
        <f>IF(ISBLANK('Data Input'!Q831),"",'Data Input'!Q831)</f>
        <v>0</v>
      </c>
      <c r="T831" s="2" t="e">
        <f t="shared" si="50"/>
        <v>#VALUE!</v>
      </c>
      <c r="U831" s="12">
        <f t="shared" si="51"/>
        <v>3.125E-2</v>
      </c>
      <c r="V831" s="2" t="str">
        <f t="shared" si="52"/>
        <v>dd - Missing Data</v>
      </c>
      <c r="W831" s="12" t="str">
        <f t="shared" si="53"/>
        <v>dd - Missing Data</v>
      </c>
    </row>
    <row r="832" spans="1:23">
      <c r="A832">
        <f>IF(ISBLANK('Data Input'!A832),"",'Data Input'!A832)</f>
        <v>174</v>
      </c>
      <c r="B832" t="str">
        <f>IF(ISBLANK('Data Input'!B832),"",'Data Input'!B832)</f>
        <v>RU015</v>
      </c>
      <c r="C832" t="str">
        <f>IF(ISBLANK('Data Input'!C832),"",'Data Input'!C832)</f>
        <v>8=19=18 0045</v>
      </c>
      <c r="E832" t="str">
        <f>IF(ISBLANK('Data Input'!D832),"",'Data Input'!D832)</f>
        <v>dd - Missing Data</v>
      </c>
      <c r="G832">
        <f>IF(ISBLANK('Data Input'!E832),"",'Data Input'!E832)</f>
        <v>35</v>
      </c>
      <c r="H832" t="str">
        <f>IF(ISBLANK('Data Input'!F832),"",'Data Input'!F832)</f>
        <v>White</v>
      </c>
      <c r="I832" t="str">
        <f>IF(ISBLANK('Data Input'!G832),"",'Data Input'!G832)</f>
        <v>SVD</v>
      </c>
      <c r="J832" t="str">
        <f>IF(ISBLANK('Data Input'!I832),"",'Data Input'!I832)</f>
        <v>8=20=18 0200</v>
      </c>
      <c r="K832" t="str">
        <f>IF(ISBLANK('Data Input'!J832),"",'Data Input'!J832)</f>
        <v>bb - Ibuprofen</v>
      </c>
      <c r="L832">
        <f>IF(ISBLANK('Data Input'!K832),"",'Data Input'!K832)</f>
        <v>800</v>
      </c>
      <c r="M832" t="str">
        <f>IF(ISBLANK('Data Input'!L832),"",'Data Input'!L832)</f>
        <v>dd - Missing Data</v>
      </c>
      <c r="N832" t="str">
        <f>IF(ISBLANK('Data Input'!M832),"",'Data Input'!M832)</f>
        <v>dd - Missing Data</v>
      </c>
      <c r="O832" t="str">
        <f>IF(ISBLANK('Data Input'!N832),"",'Data Input'!N832)</f>
        <v/>
      </c>
      <c r="P832" t="str">
        <f>IF(ISBLANK('Data Input'!O832),"",'Data Input'!O832)</f>
        <v/>
      </c>
      <c r="Q832" t="str">
        <f>IF(ISBLANK('Data Input'!P832),"",'Data Input'!P832)</f>
        <v>Severe hemorrhoid pain</v>
      </c>
      <c r="R832" t="b">
        <f>IF(ISBLANK('Data Input'!Q832),"",'Data Input'!Q832)</f>
        <v>0</v>
      </c>
      <c r="T832" s="2" t="e">
        <f t="shared" si="50"/>
        <v>#VALUE!</v>
      </c>
      <c r="U832" s="12">
        <f t="shared" si="51"/>
        <v>3.125E-2</v>
      </c>
      <c r="V832" s="2" t="str">
        <f t="shared" si="52"/>
        <v>dd - Missing Data</v>
      </c>
      <c r="W832" s="12" t="str">
        <f t="shared" si="53"/>
        <v>dd - Missing Data</v>
      </c>
    </row>
    <row r="833" spans="1:23">
      <c r="A833">
        <f>IF(ISBLANK('Data Input'!A833),"",'Data Input'!A833)</f>
        <v>174</v>
      </c>
      <c r="B833" t="str">
        <f>IF(ISBLANK('Data Input'!B833),"",'Data Input'!B833)</f>
        <v>RU015</v>
      </c>
      <c r="C833" t="str">
        <f>IF(ISBLANK('Data Input'!C833),"",'Data Input'!C833)</f>
        <v>8=19=18 0045</v>
      </c>
      <c r="E833" t="str">
        <f>IF(ISBLANK('Data Input'!D833),"",'Data Input'!D833)</f>
        <v>dd - Missing Data</v>
      </c>
      <c r="G833">
        <f>IF(ISBLANK('Data Input'!E833),"",'Data Input'!E833)</f>
        <v>35</v>
      </c>
      <c r="H833" t="str">
        <f>IF(ISBLANK('Data Input'!F833),"",'Data Input'!F833)</f>
        <v>White</v>
      </c>
      <c r="I833" t="str">
        <f>IF(ISBLANK('Data Input'!G833),"",'Data Input'!G833)</f>
        <v>SVD</v>
      </c>
      <c r="J833" t="str">
        <f>IF(ISBLANK('Data Input'!I833),"",'Data Input'!I833)</f>
        <v>8=20=18 0200</v>
      </c>
      <c r="K833" t="str">
        <f>IF(ISBLANK('Data Input'!J833),"",'Data Input'!J833)</f>
        <v>rr - Percocet</v>
      </c>
      <c r="L833">
        <f>IF(ISBLANK('Data Input'!K833),"",'Data Input'!K833)</f>
        <v>1</v>
      </c>
      <c r="M833" t="str">
        <f>IF(ISBLANK('Data Input'!L833),"",'Data Input'!L833)</f>
        <v>dd - Missing Data</v>
      </c>
      <c r="N833" t="str">
        <f>IF(ISBLANK('Data Input'!M833),"",'Data Input'!M833)</f>
        <v>dd - Missing Data</v>
      </c>
      <c r="O833" t="str">
        <f>IF(ISBLANK('Data Input'!N833),"",'Data Input'!N833)</f>
        <v/>
      </c>
      <c r="P833" t="str">
        <f>IF(ISBLANK('Data Input'!O833),"",'Data Input'!O833)</f>
        <v/>
      </c>
      <c r="Q833" t="str">
        <f>IF(ISBLANK('Data Input'!P833),"",'Data Input'!P833)</f>
        <v>Severe hemorrhoid pain</v>
      </c>
      <c r="R833" t="b">
        <f>IF(ISBLANK('Data Input'!Q833),"",'Data Input'!Q833)</f>
        <v>0</v>
      </c>
      <c r="T833" s="2" t="e">
        <f t="shared" si="50"/>
        <v>#VALUE!</v>
      </c>
      <c r="U833" s="12">
        <f t="shared" si="51"/>
        <v>3.125E-2</v>
      </c>
      <c r="V833" s="2" t="str">
        <f t="shared" si="52"/>
        <v>dd - Missing Data</v>
      </c>
      <c r="W833" s="12" t="str">
        <f t="shared" si="53"/>
        <v>dd - Missing Data</v>
      </c>
    </row>
    <row r="834" spans="1:23">
      <c r="A834">
        <f>IF(ISBLANK('Data Input'!A834),"",'Data Input'!A834)</f>
        <v>174</v>
      </c>
      <c r="B834" t="str">
        <f>IF(ISBLANK('Data Input'!B834),"",'Data Input'!B834)</f>
        <v>RU015</v>
      </c>
      <c r="C834" t="str">
        <f>IF(ISBLANK('Data Input'!C834),"",'Data Input'!C834)</f>
        <v>8=19=18 0045</v>
      </c>
      <c r="E834" t="str">
        <f>IF(ISBLANK('Data Input'!D834),"",'Data Input'!D834)</f>
        <v>dd - Missing Data</v>
      </c>
      <c r="G834">
        <f>IF(ISBLANK('Data Input'!E834),"",'Data Input'!E834)</f>
        <v>35</v>
      </c>
      <c r="H834" t="str">
        <f>IF(ISBLANK('Data Input'!F834),"",'Data Input'!F834)</f>
        <v>White</v>
      </c>
      <c r="I834" t="str">
        <f>IF(ISBLANK('Data Input'!G834),"",'Data Input'!G834)</f>
        <v>SVD</v>
      </c>
      <c r="J834" t="str">
        <f>IF(ISBLANK('Data Input'!I834),"",'Data Input'!I834)</f>
        <v>8=20=18 0917</v>
      </c>
      <c r="K834" t="str">
        <f>IF(ISBLANK('Data Input'!J834),"",'Data Input'!J834)</f>
        <v>bb - Ibuprofen</v>
      </c>
      <c r="L834">
        <f>IF(ISBLANK('Data Input'!K834),"",'Data Input'!K834)</f>
        <v>800</v>
      </c>
      <c r="M834" t="str">
        <f>IF(ISBLANK('Data Input'!L834),"",'Data Input'!L834)</f>
        <v>dd - Missing Data</v>
      </c>
      <c r="N834" t="str">
        <f>IF(ISBLANK('Data Input'!M834),"",'Data Input'!M834)</f>
        <v>dd - Missing Data</v>
      </c>
      <c r="O834" t="str">
        <f>IF(ISBLANK('Data Input'!N834),"",'Data Input'!N834)</f>
        <v/>
      </c>
      <c r="P834" t="str">
        <f>IF(ISBLANK('Data Input'!O834),"",'Data Input'!O834)</f>
        <v/>
      </c>
      <c r="Q834" t="str">
        <f>IF(ISBLANK('Data Input'!P834),"",'Data Input'!P834)</f>
        <v>Severe hemorrhoid pain</v>
      </c>
      <c r="R834" t="b">
        <f>IF(ISBLANK('Data Input'!Q834),"",'Data Input'!Q834)</f>
        <v>0</v>
      </c>
      <c r="T834" s="2" t="e">
        <f t="shared" si="50"/>
        <v>#VALUE!</v>
      </c>
      <c r="U834" s="12">
        <f t="shared" si="51"/>
        <v>3.125E-2</v>
      </c>
      <c r="V834" s="2" t="str">
        <f t="shared" si="52"/>
        <v>dd - Missing Data</v>
      </c>
      <c r="W834" s="12" t="str">
        <f t="shared" si="53"/>
        <v>dd - Missing Data</v>
      </c>
    </row>
    <row r="835" spans="1:23">
      <c r="A835">
        <f>IF(ISBLANK('Data Input'!A835),"",'Data Input'!A835)</f>
        <v>174</v>
      </c>
      <c r="B835" t="str">
        <f>IF(ISBLANK('Data Input'!B835),"",'Data Input'!B835)</f>
        <v>RU015</v>
      </c>
      <c r="C835" t="str">
        <f>IF(ISBLANK('Data Input'!C835),"",'Data Input'!C835)</f>
        <v>8=19=18 0045</v>
      </c>
      <c r="E835" t="str">
        <f>IF(ISBLANK('Data Input'!D835),"",'Data Input'!D835)</f>
        <v>dd - Missing Data</v>
      </c>
      <c r="G835">
        <f>IF(ISBLANK('Data Input'!E835),"",'Data Input'!E835)</f>
        <v>35</v>
      </c>
      <c r="H835" t="str">
        <f>IF(ISBLANK('Data Input'!F835),"",'Data Input'!F835)</f>
        <v>White</v>
      </c>
      <c r="I835" t="str">
        <f>IF(ISBLANK('Data Input'!G835),"",'Data Input'!G835)</f>
        <v>SVD</v>
      </c>
      <c r="J835" t="str">
        <f>IF(ISBLANK('Data Input'!I835),"",'Data Input'!I835)</f>
        <v>8=20=18 0917</v>
      </c>
      <c r="K835" t="str">
        <f>IF(ISBLANK('Data Input'!J835),"",'Data Input'!J835)</f>
        <v>rr - Percocet</v>
      </c>
      <c r="L835">
        <f>IF(ISBLANK('Data Input'!K835),"",'Data Input'!K835)</f>
        <v>1</v>
      </c>
      <c r="M835" t="str">
        <f>IF(ISBLANK('Data Input'!L835),"",'Data Input'!L835)</f>
        <v>dd - Missing Data</v>
      </c>
      <c r="N835" t="str">
        <f>IF(ISBLANK('Data Input'!M835),"",'Data Input'!M835)</f>
        <v>dd - Missing Data</v>
      </c>
      <c r="O835" t="str">
        <f>IF(ISBLANK('Data Input'!N835),"",'Data Input'!N835)</f>
        <v/>
      </c>
      <c r="P835" t="str">
        <f>IF(ISBLANK('Data Input'!O835),"",'Data Input'!O835)</f>
        <v/>
      </c>
      <c r="Q835" t="str">
        <f>IF(ISBLANK('Data Input'!P835),"",'Data Input'!P835)</f>
        <v>Severe hemorrhoid pain</v>
      </c>
      <c r="R835" t="b">
        <f>IF(ISBLANK('Data Input'!Q835),"",'Data Input'!Q835)</f>
        <v>0</v>
      </c>
      <c r="T835" s="2" t="e">
        <f t="shared" ref="T835:T898" si="54">DATEVALUE(LEFT(C835,FIND(" ",C835)))</f>
        <v>#VALUE!</v>
      </c>
      <c r="U835" s="12">
        <f t="shared" ref="U835:U898" si="55">TIMEVALUE(CONCATENATE(MID(C835,FIND(" ",C835)+1,2),":",RIGHT(C835,LEN(C835)-FIND(" ",C835)-2)))</f>
        <v>3.125E-2</v>
      </c>
      <c r="V835" s="2" t="str">
        <f t="shared" si="52"/>
        <v>dd - Missing Data</v>
      </c>
      <c r="W835" s="12" t="str">
        <f t="shared" si="53"/>
        <v>dd - Missing Data</v>
      </c>
    </row>
    <row r="836" spans="1:23">
      <c r="A836">
        <f>IF(ISBLANK('Data Input'!A836),"",'Data Input'!A836)</f>
        <v>174</v>
      </c>
      <c r="B836" t="str">
        <f>IF(ISBLANK('Data Input'!B836),"",'Data Input'!B836)</f>
        <v>RU015</v>
      </c>
      <c r="C836" t="str">
        <f>IF(ISBLANK('Data Input'!C836),"",'Data Input'!C836)</f>
        <v>8=19=18 0045</v>
      </c>
      <c r="E836" t="str">
        <f>IF(ISBLANK('Data Input'!D836),"",'Data Input'!D836)</f>
        <v>dd - Missing Data</v>
      </c>
      <c r="G836">
        <f>IF(ISBLANK('Data Input'!E836),"",'Data Input'!E836)</f>
        <v>35</v>
      </c>
      <c r="H836" t="str">
        <f>IF(ISBLANK('Data Input'!F836),"",'Data Input'!F836)</f>
        <v>White</v>
      </c>
      <c r="I836" t="str">
        <f>IF(ISBLANK('Data Input'!G836),"",'Data Input'!G836)</f>
        <v>SVD</v>
      </c>
      <c r="J836" t="str">
        <f>IF(ISBLANK('Data Input'!I836),"",'Data Input'!I836)</f>
        <v>8=20=18 1358</v>
      </c>
      <c r="K836" t="str">
        <f>IF(ISBLANK('Data Input'!J836),"",'Data Input'!J836)</f>
        <v>rr - Percocet</v>
      </c>
      <c r="L836">
        <f>IF(ISBLANK('Data Input'!K836),"",'Data Input'!K836)</f>
        <v>1</v>
      </c>
      <c r="M836" t="str">
        <f>IF(ISBLANK('Data Input'!L836),"",'Data Input'!L836)</f>
        <v>dd - Missing Data</v>
      </c>
      <c r="N836" t="str">
        <f>IF(ISBLANK('Data Input'!M836),"",'Data Input'!M836)</f>
        <v>dd - Missing Data</v>
      </c>
      <c r="O836" t="str">
        <f>IF(ISBLANK('Data Input'!N836),"",'Data Input'!N836)</f>
        <v/>
      </c>
      <c r="P836" t="str">
        <f>IF(ISBLANK('Data Input'!O836),"",'Data Input'!O836)</f>
        <v/>
      </c>
      <c r="Q836" t="str">
        <f>IF(ISBLANK('Data Input'!P836),"",'Data Input'!P836)</f>
        <v>Severe hemorrhoid pain</v>
      </c>
      <c r="R836" t="b">
        <f>IF(ISBLANK('Data Input'!Q836),"",'Data Input'!Q836)</f>
        <v>0</v>
      </c>
      <c r="T836" s="2" t="e">
        <f t="shared" si="54"/>
        <v>#VALUE!</v>
      </c>
      <c r="U836" s="12">
        <f t="shared" si="55"/>
        <v>3.125E-2</v>
      </c>
      <c r="V836" s="2" t="str">
        <f t="shared" si="52"/>
        <v>dd - Missing Data</v>
      </c>
      <c r="W836" s="12" t="str">
        <f t="shared" si="53"/>
        <v>dd - Missing Data</v>
      </c>
    </row>
    <row r="837" spans="1:23">
      <c r="A837">
        <f>IF(ISBLANK('Data Input'!A837),"",'Data Input'!A837)</f>
        <v>174</v>
      </c>
      <c r="B837" t="str">
        <f>IF(ISBLANK('Data Input'!B837),"",'Data Input'!B837)</f>
        <v>RU015</v>
      </c>
      <c r="C837" t="str">
        <f>IF(ISBLANK('Data Input'!C837),"",'Data Input'!C837)</f>
        <v>8=19=18 0045</v>
      </c>
      <c r="E837" t="str">
        <f>IF(ISBLANK('Data Input'!D837),"",'Data Input'!D837)</f>
        <v>dd - Missing Data</v>
      </c>
      <c r="G837">
        <f>IF(ISBLANK('Data Input'!E837),"",'Data Input'!E837)</f>
        <v>35</v>
      </c>
      <c r="H837" t="str">
        <f>IF(ISBLANK('Data Input'!F837),"",'Data Input'!F837)</f>
        <v>White</v>
      </c>
      <c r="I837" t="str">
        <f>IF(ISBLANK('Data Input'!G837),"",'Data Input'!G837)</f>
        <v>SVD</v>
      </c>
      <c r="J837" t="str">
        <f>IF(ISBLANK('Data Input'!I837),"",'Data Input'!I837)</f>
        <v>8=20=18 1540</v>
      </c>
      <c r="K837" t="str">
        <f>IF(ISBLANK('Data Input'!J837),"",'Data Input'!J837)</f>
        <v>bb - Ibuprofen</v>
      </c>
      <c r="L837">
        <f>IF(ISBLANK('Data Input'!K837),"",'Data Input'!K837)</f>
        <v>800</v>
      </c>
      <c r="M837" t="str">
        <f>IF(ISBLANK('Data Input'!L837),"",'Data Input'!L837)</f>
        <v>dd - Missing Data</v>
      </c>
      <c r="N837" t="str">
        <f>IF(ISBLANK('Data Input'!M837),"",'Data Input'!M837)</f>
        <v>dd - Missing Data</v>
      </c>
      <c r="O837" t="str">
        <f>IF(ISBLANK('Data Input'!N837),"",'Data Input'!N837)</f>
        <v/>
      </c>
      <c r="P837" t="str">
        <f>IF(ISBLANK('Data Input'!O837),"",'Data Input'!O837)</f>
        <v/>
      </c>
      <c r="Q837" t="str">
        <f>IF(ISBLANK('Data Input'!P837),"",'Data Input'!P837)</f>
        <v>Severe hemorrhoid pain</v>
      </c>
      <c r="R837" t="b">
        <f>IF(ISBLANK('Data Input'!Q837),"",'Data Input'!Q837)</f>
        <v>0</v>
      </c>
      <c r="T837" s="2" t="e">
        <f t="shared" si="54"/>
        <v>#VALUE!</v>
      </c>
      <c r="U837" s="12">
        <f t="shared" si="55"/>
        <v>3.125E-2</v>
      </c>
      <c r="V837" s="2" t="str">
        <f t="shared" si="52"/>
        <v>dd - Missing Data</v>
      </c>
      <c r="W837" s="12" t="str">
        <f t="shared" si="53"/>
        <v>dd - Missing Data</v>
      </c>
    </row>
    <row r="838" spans="1:23">
      <c r="A838">
        <f>IF(ISBLANK('Data Input'!A838),"",'Data Input'!A838)</f>
        <v>174</v>
      </c>
      <c r="B838" t="str">
        <f>IF(ISBLANK('Data Input'!B838),"",'Data Input'!B838)</f>
        <v>RU015</v>
      </c>
      <c r="C838" t="str">
        <f>IF(ISBLANK('Data Input'!C838),"",'Data Input'!C838)</f>
        <v>8=19=18 0045</v>
      </c>
      <c r="E838" t="str">
        <f>IF(ISBLANK('Data Input'!D838),"",'Data Input'!D838)</f>
        <v>dd - Missing Data</v>
      </c>
      <c r="G838">
        <f>IF(ISBLANK('Data Input'!E838),"",'Data Input'!E838)</f>
        <v>35</v>
      </c>
      <c r="H838" t="str">
        <f>IF(ISBLANK('Data Input'!F838),"",'Data Input'!F838)</f>
        <v>White</v>
      </c>
      <c r="I838" t="str">
        <f>IF(ISBLANK('Data Input'!G838),"",'Data Input'!G838)</f>
        <v>SVD</v>
      </c>
      <c r="J838" t="str">
        <f>IF(ISBLANK('Data Input'!I838),"",'Data Input'!I838)</f>
        <v>8=20=18 2149</v>
      </c>
      <c r="K838" t="str">
        <f>IF(ISBLANK('Data Input'!J838),"",'Data Input'!J838)</f>
        <v>bb - Ibuprofen</v>
      </c>
      <c r="L838">
        <f>IF(ISBLANK('Data Input'!K838),"",'Data Input'!K838)</f>
        <v>800</v>
      </c>
      <c r="M838" t="str">
        <f>IF(ISBLANK('Data Input'!L838),"",'Data Input'!L838)</f>
        <v>dd - Missing Data</v>
      </c>
      <c r="N838" t="str">
        <f>IF(ISBLANK('Data Input'!M838),"",'Data Input'!M838)</f>
        <v>dd - Missing Data</v>
      </c>
      <c r="O838" t="str">
        <f>IF(ISBLANK('Data Input'!N838),"",'Data Input'!N838)</f>
        <v/>
      </c>
      <c r="P838" t="str">
        <f>IF(ISBLANK('Data Input'!O838),"",'Data Input'!O838)</f>
        <v/>
      </c>
      <c r="Q838" t="str">
        <f>IF(ISBLANK('Data Input'!P838),"",'Data Input'!P838)</f>
        <v>Severe hemorrhoid pain</v>
      </c>
      <c r="R838" t="b">
        <f>IF(ISBLANK('Data Input'!Q838),"",'Data Input'!Q838)</f>
        <v>0</v>
      </c>
      <c r="T838" s="2" t="e">
        <f t="shared" si="54"/>
        <v>#VALUE!</v>
      </c>
      <c r="U838" s="12">
        <f t="shared" si="55"/>
        <v>3.125E-2</v>
      </c>
      <c r="V838" s="2" t="str">
        <f t="shared" si="52"/>
        <v>dd - Missing Data</v>
      </c>
      <c r="W838" s="12" t="str">
        <f t="shared" si="53"/>
        <v>dd - Missing Data</v>
      </c>
    </row>
    <row r="839" spans="1:23">
      <c r="A839">
        <f>IF(ISBLANK('Data Input'!A839),"",'Data Input'!A839)</f>
        <v>174</v>
      </c>
      <c r="B839" t="str">
        <f>IF(ISBLANK('Data Input'!B839),"",'Data Input'!B839)</f>
        <v>RU015</v>
      </c>
      <c r="C839" t="str">
        <f>IF(ISBLANK('Data Input'!C839),"",'Data Input'!C839)</f>
        <v>8=19=18 0045</v>
      </c>
      <c r="E839" t="str">
        <f>IF(ISBLANK('Data Input'!D839),"",'Data Input'!D839)</f>
        <v>dd - Missing Data</v>
      </c>
      <c r="G839">
        <f>IF(ISBLANK('Data Input'!E839),"",'Data Input'!E839)</f>
        <v>35</v>
      </c>
      <c r="H839" t="str">
        <f>IF(ISBLANK('Data Input'!F839),"",'Data Input'!F839)</f>
        <v>White</v>
      </c>
      <c r="I839" t="str">
        <f>IF(ISBLANK('Data Input'!G839),"",'Data Input'!G839)</f>
        <v>SVD</v>
      </c>
      <c r="J839" t="str">
        <f>IF(ISBLANK('Data Input'!I839),"",'Data Input'!I839)</f>
        <v>8=21=18 0449</v>
      </c>
      <c r="K839" t="str">
        <f>IF(ISBLANK('Data Input'!J839),"",'Data Input'!J839)</f>
        <v>bb - Ibuprofen</v>
      </c>
      <c r="L839">
        <f>IF(ISBLANK('Data Input'!K839),"",'Data Input'!K839)</f>
        <v>800</v>
      </c>
      <c r="M839" t="str">
        <f>IF(ISBLANK('Data Input'!L839),"",'Data Input'!L839)</f>
        <v>dd - Missing Data</v>
      </c>
      <c r="N839" t="str">
        <f>IF(ISBLANK('Data Input'!M839),"",'Data Input'!M839)</f>
        <v>dd - Missing Data</v>
      </c>
      <c r="O839" t="str">
        <f>IF(ISBLANK('Data Input'!N839),"",'Data Input'!N839)</f>
        <v/>
      </c>
      <c r="P839" t="str">
        <f>IF(ISBLANK('Data Input'!O839),"",'Data Input'!O839)</f>
        <v/>
      </c>
      <c r="Q839" t="str">
        <f>IF(ISBLANK('Data Input'!P839),"",'Data Input'!P839)</f>
        <v>Severe hemorrhoid pain</v>
      </c>
      <c r="R839" t="b">
        <f>IF(ISBLANK('Data Input'!Q839),"",'Data Input'!Q839)</f>
        <v>0</v>
      </c>
      <c r="T839" s="2" t="e">
        <f t="shared" si="54"/>
        <v>#VALUE!</v>
      </c>
      <c r="U839" s="12">
        <f t="shared" si="55"/>
        <v>3.125E-2</v>
      </c>
      <c r="V839" s="2" t="str">
        <f t="shared" ref="V839:V902" si="56">IFERROR(DATEVALUE(LEFT(E839,FIND(" ",E839))),E839)</f>
        <v>dd - Missing Data</v>
      </c>
      <c r="W839" s="12" t="str">
        <f t="shared" ref="W839:W902" si="57">IFERROR(TIMEVALUE(CONCATENATE(MID(E839,FIND(" ",E839)+1,2),":",RIGHT(E839,LEN(E839)-FIND(" ",E839)-2))),E839)</f>
        <v>dd - Missing Data</v>
      </c>
    </row>
    <row r="840" spans="1:23">
      <c r="A840">
        <f>IF(ISBLANK('Data Input'!A840),"",'Data Input'!A840)</f>
        <v>175</v>
      </c>
      <c r="B840" t="str">
        <f>IF(ISBLANK('Data Input'!B840),"",'Data Input'!B840)</f>
        <v>LR016</v>
      </c>
      <c r="C840" t="str">
        <f>IF(ISBLANK('Data Input'!C840),"",'Data Input'!C840)</f>
        <v>8=18=18 1645</v>
      </c>
      <c r="E840" t="str">
        <f>IF(ISBLANK('Data Input'!D840),"",'Data Input'!D840)</f>
        <v>dd - Missing Data</v>
      </c>
      <c r="G840">
        <f>IF(ISBLANK('Data Input'!E840),"",'Data Input'!E840)</f>
        <v>36</v>
      </c>
      <c r="H840" t="str">
        <f>IF(ISBLANK('Data Input'!F840),"",'Data Input'!F840)</f>
        <v>White</v>
      </c>
      <c r="I840" t="str">
        <f>IF(ISBLANK('Data Input'!G840),"",'Data Input'!G840)</f>
        <v>Caesarean</v>
      </c>
      <c r="J840" t="str">
        <f>IF(ISBLANK('Data Input'!I840),"",'Data Input'!I840)</f>
        <v>8=18=18 1808</v>
      </c>
      <c r="K840" t="str">
        <f>IF(ISBLANK('Data Input'!J840),"",'Data Input'!J840)</f>
        <v>tr - Toradol</v>
      </c>
      <c r="L840">
        <f>IF(ISBLANK('Data Input'!K840),"",'Data Input'!K840)</f>
        <v>30</v>
      </c>
      <c r="M840">
        <f>IF(ISBLANK('Data Input'!L840),"",'Data Input'!L840)</f>
        <v>2</v>
      </c>
      <c r="N840">
        <f>IF(ISBLANK('Data Input'!M840),"",'Data Input'!M840)</f>
        <v>2</v>
      </c>
      <c r="O840" t="str">
        <f>IF(ISBLANK('Data Input'!N840),"",'Data Input'!N840)</f>
        <v/>
      </c>
      <c r="P840" t="str">
        <f>IF(ISBLANK('Data Input'!O840),"",'Data Input'!O840)</f>
        <v/>
      </c>
      <c r="Q840" t="str">
        <f>IF(ISBLANK('Data Input'!P840),"",'Data Input'!P840)</f>
        <v>Pt anxiety</v>
      </c>
      <c r="R840" t="b">
        <f>IF(ISBLANK('Data Input'!Q840),"",'Data Input'!Q840)</f>
        <v>1</v>
      </c>
      <c r="T840" s="2" t="e">
        <f t="shared" si="54"/>
        <v>#VALUE!</v>
      </c>
      <c r="U840" s="12">
        <f t="shared" si="55"/>
        <v>0.69791666666666663</v>
      </c>
      <c r="V840" s="2" t="str">
        <f t="shared" si="56"/>
        <v>dd - Missing Data</v>
      </c>
      <c r="W840" s="12" t="str">
        <f t="shared" si="57"/>
        <v>dd - Missing Data</v>
      </c>
    </row>
    <row r="841" spans="1:23">
      <c r="A841">
        <f>IF(ISBLANK('Data Input'!A841),"",'Data Input'!A841)</f>
        <v>175</v>
      </c>
      <c r="B841" t="str">
        <f>IF(ISBLANK('Data Input'!B841),"",'Data Input'!B841)</f>
        <v>LR016</v>
      </c>
      <c r="C841" t="str">
        <f>IF(ISBLANK('Data Input'!C841),"",'Data Input'!C841)</f>
        <v>8=18=18 1645</v>
      </c>
      <c r="E841" t="str">
        <f>IF(ISBLANK('Data Input'!D841),"",'Data Input'!D841)</f>
        <v>dd - Missing Data</v>
      </c>
      <c r="G841">
        <f>IF(ISBLANK('Data Input'!E841),"",'Data Input'!E841)</f>
        <v>36</v>
      </c>
      <c r="H841" t="str">
        <f>IF(ISBLANK('Data Input'!F841),"",'Data Input'!F841)</f>
        <v>White</v>
      </c>
      <c r="I841" t="str">
        <f>IF(ISBLANK('Data Input'!G841),"",'Data Input'!G841)</f>
        <v>Caesarean</v>
      </c>
      <c r="J841" t="str">
        <f>IF(ISBLANK('Data Input'!I841),"",'Data Input'!I841)</f>
        <v>8=19=18 0045</v>
      </c>
      <c r="K841" t="str">
        <f>IF(ISBLANK('Data Input'!J841),"",'Data Input'!J841)</f>
        <v>tr - Toradol</v>
      </c>
      <c r="L841">
        <f>IF(ISBLANK('Data Input'!K841),"",'Data Input'!K841)</f>
        <v>30</v>
      </c>
      <c r="M841">
        <f>IF(ISBLANK('Data Input'!L841),"",'Data Input'!L841)</f>
        <v>3</v>
      </c>
      <c r="N841">
        <f>IF(ISBLANK('Data Input'!M841),"",'Data Input'!M841)</f>
        <v>3</v>
      </c>
      <c r="O841" t="str">
        <f>IF(ISBLANK('Data Input'!N841),"",'Data Input'!N841)</f>
        <v/>
      </c>
      <c r="P841" t="str">
        <f>IF(ISBLANK('Data Input'!O841),"",'Data Input'!O841)</f>
        <v/>
      </c>
      <c r="Q841" t="str">
        <f>IF(ISBLANK('Data Input'!P841),"",'Data Input'!P841)</f>
        <v>Pt anxiety</v>
      </c>
      <c r="R841" t="b">
        <f>IF(ISBLANK('Data Input'!Q841),"",'Data Input'!Q841)</f>
        <v>1</v>
      </c>
      <c r="T841" s="2" t="e">
        <f t="shared" si="54"/>
        <v>#VALUE!</v>
      </c>
      <c r="U841" s="12">
        <f t="shared" si="55"/>
        <v>0.69791666666666663</v>
      </c>
      <c r="V841" s="2" t="str">
        <f t="shared" si="56"/>
        <v>dd - Missing Data</v>
      </c>
      <c r="W841" s="12" t="str">
        <f t="shared" si="57"/>
        <v>dd - Missing Data</v>
      </c>
    </row>
    <row r="842" spans="1:23">
      <c r="A842">
        <f>IF(ISBLANK('Data Input'!A842),"",'Data Input'!A842)</f>
        <v>175</v>
      </c>
      <c r="B842" t="str">
        <f>IF(ISBLANK('Data Input'!B842),"",'Data Input'!B842)</f>
        <v>LR016</v>
      </c>
      <c r="C842" t="str">
        <f>IF(ISBLANK('Data Input'!C842),"",'Data Input'!C842)</f>
        <v>8=18=18 1645</v>
      </c>
      <c r="E842" t="str">
        <f>IF(ISBLANK('Data Input'!D842),"",'Data Input'!D842)</f>
        <v>dd - Missing Data</v>
      </c>
      <c r="G842">
        <f>IF(ISBLANK('Data Input'!E842),"",'Data Input'!E842)</f>
        <v>36</v>
      </c>
      <c r="H842" t="str">
        <f>IF(ISBLANK('Data Input'!F842),"",'Data Input'!F842)</f>
        <v>White</v>
      </c>
      <c r="I842" t="str">
        <f>IF(ISBLANK('Data Input'!G842),"",'Data Input'!G842)</f>
        <v>Caesarean</v>
      </c>
      <c r="J842" t="str">
        <f>IF(ISBLANK('Data Input'!I842),"",'Data Input'!I842)</f>
        <v>8=19=18 0633</v>
      </c>
      <c r="K842" t="str">
        <f>IF(ISBLANK('Data Input'!J842),"",'Data Input'!J842)</f>
        <v>tr - Toradol</v>
      </c>
      <c r="L842">
        <f>IF(ISBLANK('Data Input'!K842),"",'Data Input'!K842)</f>
        <v>30</v>
      </c>
      <c r="M842">
        <f>IF(ISBLANK('Data Input'!L842),"",'Data Input'!L842)</f>
        <v>2</v>
      </c>
      <c r="N842">
        <f>IF(ISBLANK('Data Input'!M842),"",'Data Input'!M842)</f>
        <v>1</v>
      </c>
      <c r="O842" t="str">
        <f>IF(ISBLANK('Data Input'!N842),"",'Data Input'!N842)</f>
        <v/>
      </c>
      <c r="P842" t="str">
        <f>IF(ISBLANK('Data Input'!O842),"",'Data Input'!O842)</f>
        <v/>
      </c>
      <c r="Q842" t="str">
        <f>IF(ISBLANK('Data Input'!P842),"",'Data Input'!P842)</f>
        <v>Pt anxiety</v>
      </c>
      <c r="R842" t="b">
        <f>IF(ISBLANK('Data Input'!Q842),"",'Data Input'!Q842)</f>
        <v>1</v>
      </c>
      <c r="T842" s="2" t="e">
        <f t="shared" si="54"/>
        <v>#VALUE!</v>
      </c>
      <c r="U842" s="12">
        <f t="shared" si="55"/>
        <v>0.69791666666666663</v>
      </c>
      <c r="V842" s="2" t="str">
        <f t="shared" si="56"/>
        <v>dd - Missing Data</v>
      </c>
      <c r="W842" s="12" t="str">
        <f t="shared" si="57"/>
        <v>dd - Missing Data</v>
      </c>
    </row>
    <row r="843" spans="1:23">
      <c r="A843">
        <f>IF(ISBLANK('Data Input'!A843),"",'Data Input'!A843)</f>
        <v>175</v>
      </c>
      <c r="B843" t="str">
        <f>IF(ISBLANK('Data Input'!B843),"",'Data Input'!B843)</f>
        <v>LR016</v>
      </c>
      <c r="C843" t="str">
        <f>IF(ISBLANK('Data Input'!C843),"",'Data Input'!C843)</f>
        <v>8=18=18 1645</v>
      </c>
      <c r="E843" t="str">
        <f>IF(ISBLANK('Data Input'!D843),"",'Data Input'!D843)</f>
        <v>dd - Missing Data</v>
      </c>
      <c r="G843">
        <f>IF(ISBLANK('Data Input'!E843),"",'Data Input'!E843)</f>
        <v>36</v>
      </c>
      <c r="H843" t="str">
        <f>IF(ISBLANK('Data Input'!F843),"",'Data Input'!F843)</f>
        <v>White</v>
      </c>
      <c r="I843" t="str">
        <f>IF(ISBLANK('Data Input'!G843),"",'Data Input'!G843)</f>
        <v>Caesarean</v>
      </c>
      <c r="J843" t="str">
        <f>IF(ISBLANK('Data Input'!I843),"",'Data Input'!I843)</f>
        <v>8=19=18 1228</v>
      </c>
      <c r="K843" t="str">
        <f>IF(ISBLANK('Data Input'!J843),"",'Data Input'!J843)</f>
        <v>tr - Toradol</v>
      </c>
      <c r="L843">
        <f>IF(ISBLANK('Data Input'!K843),"",'Data Input'!K843)</f>
        <v>30</v>
      </c>
      <c r="M843">
        <f>IF(ISBLANK('Data Input'!L843),"",'Data Input'!L843)</f>
        <v>3</v>
      </c>
      <c r="N843">
        <f>IF(ISBLANK('Data Input'!M843),"",'Data Input'!M843)</f>
        <v>0</v>
      </c>
      <c r="O843" t="str">
        <f>IF(ISBLANK('Data Input'!N843),"",'Data Input'!N843)</f>
        <v/>
      </c>
      <c r="P843" t="str">
        <f>IF(ISBLANK('Data Input'!O843),"",'Data Input'!O843)</f>
        <v/>
      </c>
      <c r="Q843" t="str">
        <f>IF(ISBLANK('Data Input'!P843),"",'Data Input'!P843)</f>
        <v>Pt anxiety</v>
      </c>
      <c r="R843" t="b">
        <f>IF(ISBLANK('Data Input'!Q843),"",'Data Input'!Q843)</f>
        <v>1</v>
      </c>
      <c r="T843" s="2" t="e">
        <f t="shared" si="54"/>
        <v>#VALUE!</v>
      </c>
      <c r="U843" s="12">
        <f t="shared" si="55"/>
        <v>0.69791666666666663</v>
      </c>
      <c r="V843" s="2" t="str">
        <f t="shared" si="56"/>
        <v>dd - Missing Data</v>
      </c>
      <c r="W843" s="12" t="str">
        <f t="shared" si="57"/>
        <v>dd - Missing Data</v>
      </c>
    </row>
    <row r="844" spans="1:23">
      <c r="A844">
        <f>IF(ISBLANK('Data Input'!A844),"",'Data Input'!A844)</f>
        <v>175</v>
      </c>
      <c r="B844" t="str">
        <f>IF(ISBLANK('Data Input'!B844),"",'Data Input'!B844)</f>
        <v>LR016</v>
      </c>
      <c r="C844" t="str">
        <f>IF(ISBLANK('Data Input'!C844),"",'Data Input'!C844)</f>
        <v>8=18=18 1645</v>
      </c>
      <c r="E844" t="str">
        <f>IF(ISBLANK('Data Input'!D844),"",'Data Input'!D844)</f>
        <v>dd - Missing Data</v>
      </c>
      <c r="G844">
        <f>IF(ISBLANK('Data Input'!E844),"",'Data Input'!E844)</f>
        <v>36</v>
      </c>
      <c r="H844" t="str">
        <f>IF(ISBLANK('Data Input'!F844),"",'Data Input'!F844)</f>
        <v>White</v>
      </c>
      <c r="I844" t="str">
        <f>IF(ISBLANK('Data Input'!G844),"",'Data Input'!G844)</f>
        <v>Caesarean</v>
      </c>
      <c r="J844" t="str">
        <f>IF(ISBLANK('Data Input'!I844),"",'Data Input'!I844)</f>
        <v>8=19=18 1814</v>
      </c>
      <c r="K844" t="str">
        <f>IF(ISBLANK('Data Input'!J844),"",'Data Input'!J844)</f>
        <v>tr - Toradol</v>
      </c>
      <c r="L844">
        <f>IF(ISBLANK('Data Input'!K844),"",'Data Input'!K844)</f>
        <v>30</v>
      </c>
      <c r="M844">
        <f>IF(ISBLANK('Data Input'!L844),"",'Data Input'!L844)</f>
        <v>5</v>
      </c>
      <c r="N844">
        <f>IF(ISBLANK('Data Input'!M844),"",'Data Input'!M844)</f>
        <v>0</v>
      </c>
      <c r="O844" t="str">
        <f>IF(ISBLANK('Data Input'!N844),"",'Data Input'!N844)</f>
        <v/>
      </c>
      <c r="P844" t="str">
        <f>IF(ISBLANK('Data Input'!O844),"",'Data Input'!O844)</f>
        <v/>
      </c>
      <c r="Q844" t="str">
        <f>IF(ISBLANK('Data Input'!P844),"",'Data Input'!P844)</f>
        <v>Pt anxiety</v>
      </c>
      <c r="R844" t="b">
        <f>IF(ISBLANK('Data Input'!Q844),"",'Data Input'!Q844)</f>
        <v>1</v>
      </c>
      <c r="T844" s="2" t="e">
        <f t="shared" si="54"/>
        <v>#VALUE!</v>
      </c>
      <c r="U844" s="12">
        <f t="shared" si="55"/>
        <v>0.69791666666666663</v>
      </c>
      <c r="V844" s="2" t="str">
        <f t="shared" si="56"/>
        <v>dd - Missing Data</v>
      </c>
      <c r="W844" s="12" t="str">
        <f t="shared" si="57"/>
        <v>dd - Missing Data</v>
      </c>
    </row>
    <row r="845" spans="1:23">
      <c r="A845">
        <f>IF(ISBLANK('Data Input'!A845),"",'Data Input'!A845)</f>
        <v>175</v>
      </c>
      <c r="B845" t="str">
        <f>IF(ISBLANK('Data Input'!B845),"",'Data Input'!B845)</f>
        <v>LR016</v>
      </c>
      <c r="C845" t="str">
        <f>IF(ISBLANK('Data Input'!C845),"",'Data Input'!C845)</f>
        <v>8=18=18 1645</v>
      </c>
      <c r="E845" t="str">
        <f>IF(ISBLANK('Data Input'!D845),"",'Data Input'!D845)</f>
        <v>dd - Missing Data</v>
      </c>
      <c r="G845">
        <f>IF(ISBLANK('Data Input'!E845),"",'Data Input'!E845)</f>
        <v>36</v>
      </c>
      <c r="H845" t="str">
        <f>IF(ISBLANK('Data Input'!F845),"",'Data Input'!F845)</f>
        <v>White</v>
      </c>
      <c r="I845" t="str">
        <f>IF(ISBLANK('Data Input'!G845),"",'Data Input'!G845)</f>
        <v>Caesarean</v>
      </c>
      <c r="J845" t="str">
        <f>IF(ISBLANK('Data Input'!I845),"",'Data Input'!I845)</f>
        <v>8=20=18 0002</v>
      </c>
      <c r="K845" t="str">
        <f>IF(ISBLANK('Data Input'!J845),"",'Data Input'!J845)</f>
        <v>tr - Toradol</v>
      </c>
      <c r="L845">
        <f>IF(ISBLANK('Data Input'!K845),"",'Data Input'!K845)</f>
        <v>30</v>
      </c>
      <c r="M845">
        <f>IF(ISBLANK('Data Input'!L845),"",'Data Input'!L845)</f>
        <v>4</v>
      </c>
      <c r="N845">
        <f>IF(ISBLANK('Data Input'!M845),"",'Data Input'!M845)</f>
        <v>0</v>
      </c>
      <c r="O845" t="str">
        <f>IF(ISBLANK('Data Input'!N845),"",'Data Input'!N845)</f>
        <v/>
      </c>
      <c r="P845" t="str">
        <f>IF(ISBLANK('Data Input'!O845),"",'Data Input'!O845)</f>
        <v/>
      </c>
      <c r="Q845" t="str">
        <f>IF(ISBLANK('Data Input'!P845),"",'Data Input'!P845)</f>
        <v>Pt anxiety</v>
      </c>
      <c r="R845" t="b">
        <f>IF(ISBLANK('Data Input'!Q845),"",'Data Input'!Q845)</f>
        <v>1</v>
      </c>
      <c r="T845" s="2" t="e">
        <f t="shared" si="54"/>
        <v>#VALUE!</v>
      </c>
      <c r="U845" s="12">
        <f t="shared" si="55"/>
        <v>0.69791666666666663</v>
      </c>
      <c r="V845" s="2" t="str">
        <f t="shared" si="56"/>
        <v>dd - Missing Data</v>
      </c>
      <c r="W845" s="12" t="str">
        <f t="shared" si="57"/>
        <v>dd - Missing Data</v>
      </c>
    </row>
    <row r="846" spans="1:23">
      <c r="A846">
        <f>IF(ISBLANK('Data Input'!A846),"",'Data Input'!A846)</f>
        <v>175</v>
      </c>
      <c r="B846" t="str">
        <f>IF(ISBLANK('Data Input'!B846),"",'Data Input'!B846)</f>
        <v>LR016</v>
      </c>
      <c r="C846" t="str">
        <f>IF(ISBLANK('Data Input'!C846),"",'Data Input'!C846)</f>
        <v>8=18=18 1645</v>
      </c>
      <c r="E846" t="str">
        <f>IF(ISBLANK('Data Input'!D846),"",'Data Input'!D846)</f>
        <v>dd - Missing Data</v>
      </c>
      <c r="G846">
        <f>IF(ISBLANK('Data Input'!E846),"",'Data Input'!E846)</f>
        <v>36</v>
      </c>
      <c r="H846" t="str">
        <f>IF(ISBLANK('Data Input'!F846),"",'Data Input'!F846)</f>
        <v>White</v>
      </c>
      <c r="I846" t="str">
        <f>IF(ISBLANK('Data Input'!G846),"",'Data Input'!G846)</f>
        <v>Caesarean</v>
      </c>
      <c r="J846" t="str">
        <f>IF(ISBLANK('Data Input'!I846),"",'Data Input'!I846)</f>
        <v>8=20=18 0611</v>
      </c>
      <c r="K846" t="str">
        <f>IF(ISBLANK('Data Input'!J846),"",'Data Input'!J846)</f>
        <v>bb - Ibuprofen</v>
      </c>
      <c r="L846">
        <f>IF(ISBLANK('Data Input'!K846),"",'Data Input'!K846)</f>
        <v>800</v>
      </c>
      <c r="M846">
        <f>IF(ISBLANK('Data Input'!L846),"",'Data Input'!L846)</f>
        <v>4</v>
      </c>
      <c r="N846">
        <f>IF(ISBLANK('Data Input'!M846),"",'Data Input'!M846)</f>
        <v>3</v>
      </c>
      <c r="O846" t="str">
        <f>IF(ISBLANK('Data Input'!N846),"",'Data Input'!N846)</f>
        <v/>
      </c>
      <c r="P846" t="str">
        <f>IF(ISBLANK('Data Input'!O846),"",'Data Input'!O846)</f>
        <v/>
      </c>
      <c r="Q846" t="str">
        <f>IF(ISBLANK('Data Input'!P846),"",'Data Input'!P846)</f>
        <v>Pt anxiety</v>
      </c>
      <c r="R846" t="b">
        <f>IF(ISBLANK('Data Input'!Q846),"",'Data Input'!Q846)</f>
        <v>1</v>
      </c>
      <c r="T846" s="2" t="e">
        <f t="shared" si="54"/>
        <v>#VALUE!</v>
      </c>
      <c r="U846" s="12">
        <f t="shared" si="55"/>
        <v>0.69791666666666663</v>
      </c>
      <c r="V846" s="2" t="str">
        <f t="shared" si="56"/>
        <v>dd - Missing Data</v>
      </c>
      <c r="W846" s="12" t="str">
        <f t="shared" si="57"/>
        <v>dd - Missing Data</v>
      </c>
    </row>
    <row r="847" spans="1:23">
      <c r="A847">
        <f>IF(ISBLANK('Data Input'!A847),"",'Data Input'!A847)</f>
        <v>175</v>
      </c>
      <c r="B847" t="str">
        <f>IF(ISBLANK('Data Input'!B847),"",'Data Input'!B847)</f>
        <v>LR016</v>
      </c>
      <c r="C847" t="str">
        <f>IF(ISBLANK('Data Input'!C847),"",'Data Input'!C847)</f>
        <v>8=18=18 1645</v>
      </c>
      <c r="E847" t="str">
        <f>IF(ISBLANK('Data Input'!D847),"",'Data Input'!D847)</f>
        <v>dd - Missing Data</v>
      </c>
      <c r="G847">
        <f>IF(ISBLANK('Data Input'!E847),"",'Data Input'!E847)</f>
        <v>36</v>
      </c>
      <c r="H847" t="str">
        <f>IF(ISBLANK('Data Input'!F847),"",'Data Input'!F847)</f>
        <v>White</v>
      </c>
      <c r="I847" t="str">
        <f>IF(ISBLANK('Data Input'!G847),"",'Data Input'!G847)</f>
        <v>Caesarean</v>
      </c>
      <c r="J847" t="str">
        <f>IF(ISBLANK('Data Input'!I847),"",'Data Input'!I847)</f>
        <v>8=20=18 1358</v>
      </c>
      <c r="K847" t="str">
        <f>IF(ISBLANK('Data Input'!J847),"",'Data Input'!J847)</f>
        <v>rr - Percocet</v>
      </c>
      <c r="L847">
        <f>IF(ISBLANK('Data Input'!K847),"",'Data Input'!K847)</f>
        <v>1</v>
      </c>
      <c r="M847">
        <f>IF(ISBLANK('Data Input'!L847),"",'Data Input'!L847)</f>
        <v>5</v>
      </c>
      <c r="N847">
        <f>IF(ISBLANK('Data Input'!M847),"",'Data Input'!M847)</f>
        <v>3</v>
      </c>
      <c r="O847" t="str">
        <f>IF(ISBLANK('Data Input'!N847),"",'Data Input'!N847)</f>
        <v/>
      </c>
      <c r="P847" t="str">
        <f>IF(ISBLANK('Data Input'!O847),"",'Data Input'!O847)</f>
        <v/>
      </c>
      <c r="Q847" t="str">
        <f>IF(ISBLANK('Data Input'!P847),"",'Data Input'!P847)</f>
        <v>Pt anxiety</v>
      </c>
      <c r="R847" t="b">
        <f>IF(ISBLANK('Data Input'!Q847),"",'Data Input'!Q847)</f>
        <v>1</v>
      </c>
      <c r="T847" s="2" t="e">
        <f t="shared" si="54"/>
        <v>#VALUE!</v>
      </c>
      <c r="U847" s="12">
        <f t="shared" si="55"/>
        <v>0.69791666666666663</v>
      </c>
      <c r="V847" s="2" t="str">
        <f t="shared" si="56"/>
        <v>dd - Missing Data</v>
      </c>
      <c r="W847" s="12" t="str">
        <f t="shared" si="57"/>
        <v>dd - Missing Data</v>
      </c>
    </row>
    <row r="848" spans="1:23">
      <c r="A848">
        <f>IF(ISBLANK('Data Input'!A848),"",'Data Input'!A848)</f>
        <v>175</v>
      </c>
      <c r="B848" t="str">
        <f>IF(ISBLANK('Data Input'!B848),"",'Data Input'!B848)</f>
        <v>LR016</v>
      </c>
      <c r="C848" t="str">
        <f>IF(ISBLANK('Data Input'!C848),"",'Data Input'!C848)</f>
        <v>8=18=18 1645</v>
      </c>
      <c r="E848" t="str">
        <f>IF(ISBLANK('Data Input'!D848),"",'Data Input'!D848)</f>
        <v>dd - Missing Data</v>
      </c>
      <c r="G848">
        <f>IF(ISBLANK('Data Input'!E848),"",'Data Input'!E848)</f>
        <v>36</v>
      </c>
      <c r="H848" t="str">
        <f>IF(ISBLANK('Data Input'!F848),"",'Data Input'!F848)</f>
        <v>White</v>
      </c>
      <c r="I848" t="str">
        <f>IF(ISBLANK('Data Input'!G848),"",'Data Input'!G848)</f>
        <v>Caesarean</v>
      </c>
      <c r="J848" t="str">
        <f>IF(ISBLANK('Data Input'!I848),"",'Data Input'!I848)</f>
        <v>8=20=18 1839</v>
      </c>
      <c r="K848" t="str">
        <f>IF(ISBLANK('Data Input'!J848),"",'Data Input'!J848)</f>
        <v>rr - Percocet</v>
      </c>
      <c r="L848">
        <f>IF(ISBLANK('Data Input'!K848),"",'Data Input'!K848)</f>
        <v>1</v>
      </c>
      <c r="M848">
        <f>IF(ISBLANK('Data Input'!L848),"",'Data Input'!L848)</f>
        <v>4</v>
      </c>
      <c r="N848">
        <f>IF(ISBLANK('Data Input'!M848),"",'Data Input'!M848)</f>
        <v>0</v>
      </c>
      <c r="O848" t="str">
        <f>IF(ISBLANK('Data Input'!N848),"",'Data Input'!N848)</f>
        <v/>
      </c>
      <c r="P848" t="str">
        <f>IF(ISBLANK('Data Input'!O848),"",'Data Input'!O848)</f>
        <v/>
      </c>
      <c r="Q848" t="str">
        <f>IF(ISBLANK('Data Input'!P848),"",'Data Input'!P848)</f>
        <v>Pt anxiety</v>
      </c>
      <c r="R848" t="b">
        <f>IF(ISBLANK('Data Input'!Q848),"",'Data Input'!Q848)</f>
        <v>1</v>
      </c>
      <c r="T848" s="2" t="e">
        <f t="shared" si="54"/>
        <v>#VALUE!</v>
      </c>
      <c r="U848" s="12">
        <f t="shared" si="55"/>
        <v>0.69791666666666663</v>
      </c>
      <c r="V848" s="2" t="str">
        <f t="shared" si="56"/>
        <v>dd - Missing Data</v>
      </c>
      <c r="W848" s="12" t="str">
        <f t="shared" si="57"/>
        <v>dd - Missing Data</v>
      </c>
    </row>
    <row r="849" spans="1:23">
      <c r="A849">
        <f>IF(ISBLANK('Data Input'!A849),"",'Data Input'!A849)</f>
        <v>175</v>
      </c>
      <c r="B849" t="str">
        <f>IF(ISBLANK('Data Input'!B849),"",'Data Input'!B849)</f>
        <v>LR016</v>
      </c>
      <c r="C849" t="str">
        <f>IF(ISBLANK('Data Input'!C849),"",'Data Input'!C849)</f>
        <v>8=18=18 1645</v>
      </c>
      <c r="E849" t="str">
        <f>IF(ISBLANK('Data Input'!D849),"",'Data Input'!D849)</f>
        <v>dd - Missing Data</v>
      </c>
      <c r="G849">
        <f>IF(ISBLANK('Data Input'!E849),"",'Data Input'!E849)</f>
        <v>36</v>
      </c>
      <c r="H849" t="str">
        <f>IF(ISBLANK('Data Input'!F849),"",'Data Input'!F849)</f>
        <v>White</v>
      </c>
      <c r="I849" t="str">
        <f>IF(ISBLANK('Data Input'!G849),"",'Data Input'!G849)</f>
        <v>Caesarean</v>
      </c>
      <c r="J849" t="str">
        <f>IF(ISBLANK('Data Input'!I849),"",'Data Input'!I849)</f>
        <v>8=20=18 1956</v>
      </c>
      <c r="K849" t="str">
        <f>IF(ISBLANK('Data Input'!J849),"",'Data Input'!J849)</f>
        <v>bb - Ibuprofen</v>
      </c>
      <c r="L849">
        <f>IF(ISBLANK('Data Input'!K849),"",'Data Input'!K849)</f>
        <v>800</v>
      </c>
      <c r="M849">
        <f>IF(ISBLANK('Data Input'!L849),"",'Data Input'!L849)</f>
        <v>2</v>
      </c>
      <c r="N849">
        <f>IF(ISBLANK('Data Input'!M849),"",'Data Input'!M849)</f>
        <v>1</v>
      </c>
      <c r="O849" t="str">
        <f>IF(ISBLANK('Data Input'!N849),"",'Data Input'!N849)</f>
        <v/>
      </c>
      <c r="P849" t="str">
        <f>IF(ISBLANK('Data Input'!O849),"",'Data Input'!O849)</f>
        <v/>
      </c>
      <c r="Q849" t="str">
        <f>IF(ISBLANK('Data Input'!P849),"",'Data Input'!P849)</f>
        <v>Pt anxiety</v>
      </c>
      <c r="R849" t="b">
        <f>IF(ISBLANK('Data Input'!Q849),"",'Data Input'!Q849)</f>
        <v>1</v>
      </c>
      <c r="T849" s="2" t="e">
        <f t="shared" si="54"/>
        <v>#VALUE!</v>
      </c>
      <c r="U849" s="12">
        <f t="shared" si="55"/>
        <v>0.69791666666666663</v>
      </c>
      <c r="V849" s="2" t="str">
        <f t="shared" si="56"/>
        <v>dd - Missing Data</v>
      </c>
      <c r="W849" s="12" t="str">
        <f t="shared" si="57"/>
        <v>dd - Missing Data</v>
      </c>
    </row>
    <row r="850" spans="1:23">
      <c r="A850">
        <f>IF(ISBLANK('Data Input'!A850),"",'Data Input'!A850)</f>
        <v>175</v>
      </c>
      <c r="B850" t="str">
        <f>IF(ISBLANK('Data Input'!B850),"",'Data Input'!B850)</f>
        <v>LR016</v>
      </c>
      <c r="C850" t="str">
        <f>IF(ISBLANK('Data Input'!C850),"",'Data Input'!C850)</f>
        <v>8=18=18 1645</v>
      </c>
      <c r="E850" t="str">
        <f>IF(ISBLANK('Data Input'!D850),"",'Data Input'!D850)</f>
        <v>dd - Missing Data</v>
      </c>
      <c r="G850">
        <f>IF(ISBLANK('Data Input'!E850),"",'Data Input'!E850)</f>
        <v>36</v>
      </c>
      <c r="H850" t="str">
        <f>IF(ISBLANK('Data Input'!F850),"",'Data Input'!F850)</f>
        <v>White</v>
      </c>
      <c r="I850" t="str">
        <f>IF(ISBLANK('Data Input'!G850),"",'Data Input'!G850)</f>
        <v>Caesarean</v>
      </c>
      <c r="J850" t="str">
        <f>IF(ISBLANK('Data Input'!I850),"",'Data Input'!I850)</f>
        <v>8=21=18 0031</v>
      </c>
      <c r="K850" t="str">
        <f>IF(ISBLANK('Data Input'!J850),"",'Data Input'!J850)</f>
        <v>rr - Percocet</v>
      </c>
      <c r="L850">
        <f>IF(ISBLANK('Data Input'!K850),"",'Data Input'!K850)</f>
        <v>1</v>
      </c>
      <c r="M850">
        <f>IF(ISBLANK('Data Input'!L850),"",'Data Input'!L850)</f>
        <v>3</v>
      </c>
      <c r="N850">
        <f>IF(ISBLANK('Data Input'!M850),"",'Data Input'!M850)</f>
        <v>2</v>
      </c>
      <c r="O850" t="str">
        <f>IF(ISBLANK('Data Input'!N850),"",'Data Input'!N850)</f>
        <v/>
      </c>
      <c r="P850" t="str">
        <f>IF(ISBLANK('Data Input'!O850),"",'Data Input'!O850)</f>
        <v>Check time (handwriting)</v>
      </c>
      <c r="Q850" t="str">
        <f>IF(ISBLANK('Data Input'!P850),"",'Data Input'!P850)</f>
        <v>Pt anxiety</v>
      </c>
      <c r="R850" t="b">
        <f>IF(ISBLANK('Data Input'!Q850),"",'Data Input'!Q850)</f>
        <v>1</v>
      </c>
      <c r="T850" s="2" t="e">
        <f t="shared" si="54"/>
        <v>#VALUE!</v>
      </c>
      <c r="U850" s="12">
        <f t="shared" si="55"/>
        <v>0.69791666666666663</v>
      </c>
      <c r="V850" s="2" t="str">
        <f t="shared" si="56"/>
        <v>dd - Missing Data</v>
      </c>
      <c r="W850" s="12" t="str">
        <f t="shared" si="57"/>
        <v>dd - Missing Data</v>
      </c>
    </row>
    <row r="851" spans="1:23">
      <c r="A851">
        <f>IF(ISBLANK('Data Input'!A851),"",'Data Input'!A851)</f>
        <v>175</v>
      </c>
      <c r="B851" t="str">
        <f>IF(ISBLANK('Data Input'!B851),"",'Data Input'!B851)</f>
        <v>LR016</v>
      </c>
      <c r="C851" t="str">
        <f>IF(ISBLANK('Data Input'!C851),"",'Data Input'!C851)</f>
        <v>8=18=18 1645</v>
      </c>
      <c r="E851" t="str">
        <f>IF(ISBLANK('Data Input'!D851),"",'Data Input'!D851)</f>
        <v>dd - Missing Data</v>
      </c>
      <c r="G851">
        <f>IF(ISBLANK('Data Input'!E851),"",'Data Input'!E851)</f>
        <v>36</v>
      </c>
      <c r="H851" t="str">
        <f>IF(ISBLANK('Data Input'!F851),"",'Data Input'!F851)</f>
        <v>White</v>
      </c>
      <c r="I851" t="str">
        <f>IF(ISBLANK('Data Input'!G851),"",'Data Input'!G851)</f>
        <v>Caesarean</v>
      </c>
      <c r="J851" t="str">
        <f>IF(ISBLANK('Data Input'!I851),"",'Data Input'!I851)</f>
        <v>8=21=18 0306</v>
      </c>
      <c r="K851" t="str">
        <f>IF(ISBLANK('Data Input'!J851),"",'Data Input'!J851)</f>
        <v>bb - Ibuprofen</v>
      </c>
      <c r="L851">
        <f>IF(ISBLANK('Data Input'!K851),"",'Data Input'!K851)</f>
        <v>800</v>
      </c>
      <c r="M851">
        <f>IF(ISBLANK('Data Input'!L851),"",'Data Input'!L851)</f>
        <v>3</v>
      </c>
      <c r="N851">
        <f>IF(ISBLANK('Data Input'!M851),"",'Data Input'!M851)</f>
        <v>2</v>
      </c>
      <c r="O851" t="str">
        <f>IF(ISBLANK('Data Input'!N851),"",'Data Input'!N851)</f>
        <v/>
      </c>
      <c r="P851" t="str">
        <f>IF(ISBLANK('Data Input'!O851),"",'Data Input'!O851)</f>
        <v/>
      </c>
      <c r="Q851" t="str">
        <f>IF(ISBLANK('Data Input'!P851),"",'Data Input'!P851)</f>
        <v>Pt anxiety</v>
      </c>
      <c r="R851" t="b">
        <f>IF(ISBLANK('Data Input'!Q851),"",'Data Input'!Q851)</f>
        <v>1</v>
      </c>
      <c r="T851" s="2" t="e">
        <f t="shared" si="54"/>
        <v>#VALUE!</v>
      </c>
      <c r="U851" s="12">
        <f t="shared" si="55"/>
        <v>0.69791666666666663</v>
      </c>
      <c r="V851" s="2" t="str">
        <f t="shared" si="56"/>
        <v>dd - Missing Data</v>
      </c>
      <c r="W851" s="12" t="str">
        <f t="shared" si="57"/>
        <v>dd - Missing Data</v>
      </c>
    </row>
    <row r="852" spans="1:23">
      <c r="A852">
        <f>IF(ISBLANK('Data Input'!A852),"",'Data Input'!A852)</f>
        <v>175</v>
      </c>
      <c r="B852" t="str">
        <f>IF(ISBLANK('Data Input'!B852),"",'Data Input'!B852)</f>
        <v>LR016</v>
      </c>
      <c r="C852" t="str">
        <f>IF(ISBLANK('Data Input'!C852),"",'Data Input'!C852)</f>
        <v>8=18=18 1645</v>
      </c>
      <c r="E852" t="str">
        <f>IF(ISBLANK('Data Input'!D852),"",'Data Input'!D852)</f>
        <v>dd - Missing Data</v>
      </c>
      <c r="G852">
        <f>IF(ISBLANK('Data Input'!E852),"",'Data Input'!E852)</f>
        <v>36</v>
      </c>
      <c r="H852" t="str">
        <f>IF(ISBLANK('Data Input'!F852),"",'Data Input'!F852)</f>
        <v>White</v>
      </c>
      <c r="I852" t="str">
        <f>IF(ISBLANK('Data Input'!G852),"",'Data Input'!G852)</f>
        <v>Caesarean</v>
      </c>
      <c r="J852" t="str">
        <f>IF(ISBLANK('Data Input'!I852),"",'Data Input'!I852)</f>
        <v>8=21=18 0709</v>
      </c>
      <c r="K852" t="str">
        <f>IF(ISBLANK('Data Input'!J852),"",'Data Input'!J852)</f>
        <v>rr - Percocet</v>
      </c>
      <c r="L852">
        <f>IF(ISBLANK('Data Input'!K852),"",'Data Input'!K852)</f>
        <v>1</v>
      </c>
      <c r="M852">
        <f>IF(ISBLANK('Data Input'!L852),"",'Data Input'!L852)</f>
        <v>4</v>
      </c>
      <c r="N852">
        <f>IF(ISBLANK('Data Input'!M852),"",'Data Input'!M852)</f>
        <v>0</v>
      </c>
      <c r="O852" t="str">
        <f>IF(ISBLANK('Data Input'!N852),"",'Data Input'!N852)</f>
        <v/>
      </c>
      <c r="P852" t="str">
        <f>IF(ISBLANK('Data Input'!O852),"",'Data Input'!O852)</f>
        <v/>
      </c>
      <c r="Q852" t="str">
        <f>IF(ISBLANK('Data Input'!P852),"",'Data Input'!P852)</f>
        <v>Pt anxiety</v>
      </c>
      <c r="R852" t="b">
        <f>IF(ISBLANK('Data Input'!Q852),"",'Data Input'!Q852)</f>
        <v>1</v>
      </c>
      <c r="T852" s="2" t="e">
        <f t="shared" si="54"/>
        <v>#VALUE!</v>
      </c>
      <c r="U852" s="12">
        <f t="shared" si="55"/>
        <v>0.69791666666666663</v>
      </c>
      <c r="V852" s="2" t="str">
        <f t="shared" si="56"/>
        <v>dd - Missing Data</v>
      </c>
      <c r="W852" s="12" t="str">
        <f t="shared" si="57"/>
        <v>dd - Missing Data</v>
      </c>
    </row>
    <row r="853" spans="1:23">
      <c r="A853">
        <f>IF(ISBLANK('Data Input'!A853),"",'Data Input'!A853)</f>
        <v>175</v>
      </c>
      <c r="B853" t="str">
        <f>IF(ISBLANK('Data Input'!B853),"",'Data Input'!B853)</f>
        <v>LR016</v>
      </c>
      <c r="C853" t="str">
        <f>IF(ISBLANK('Data Input'!C853),"",'Data Input'!C853)</f>
        <v>8=18=18 1645</v>
      </c>
      <c r="E853" t="str">
        <f>IF(ISBLANK('Data Input'!D853),"",'Data Input'!D853)</f>
        <v>dd - Missing Data</v>
      </c>
      <c r="G853">
        <f>IF(ISBLANK('Data Input'!E853),"",'Data Input'!E853)</f>
        <v>36</v>
      </c>
      <c r="H853" t="str">
        <f>IF(ISBLANK('Data Input'!F853),"",'Data Input'!F853)</f>
        <v>White</v>
      </c>
      <c r="I853" t="str">
        <f>IF(ISBLANK('Data Input'!G853),"",'Data Input'!G853)</f>
        <v>Caesarean</v>
      </c>
      <c r="J853" t="str">
        <f>IF(ISBLANK('Data Input'!I853),"",'Data Input'!I853)</f>
        <v>8=21=18 0931</v>
      </c>
      <c r="K853" t="str">
        <f>IF(ISBLANK('Data Input'!J853),"",'Data Input'!J853)</f>
        <v>bb - Ibuprofen</v>
      </c>
      <c r="L853">
        <f>IF(ISBLANK('Data Input'!K853),"",'Data Input'!K853)</f>
        <v>800</v>
      </c>
      <c r="M853">
        <f>IF(ISBLANK('Data Input'!L853),"",'Data Input'!L853)</f>
        <v>4</v>
      </c>
      <c r="N853">
        <f>IF(ISBLANK('Data Input'!M853),"",'Data Input'!M853)</f>
        <v>0</v>
      </c>
      <c r="O853" t="str">
        <f>IF(ISBLANK('Data Input'!N853),"",'Data Input'!N853)</f>
        <v/>
      </c>
      <c r="P853" t="str">
        <f>IF(ISBLANK('Data Input'!O853),"",'Data Input'!O853)</f>
        <v/>
      </c>
      <c r="Q853" t="str">
        <f>IF(ISBLANK('Data Input'!P853),"",'Data Input'!P853)</f>
        <v>Pt anxiety</v>
      </c>
      <c r="R853" t="b">
        <f>IF(ISBLANK('Data Input'!Q853),"",'Data Input'!Q853)</f>
        <v>1</v>
      </c>
      <c r="T853" s="2" t="e">
        <f t="shared" si="54"/>
        <v>#VALUE!</v>
      </c>
      <c r="U853" s="12">
        <f t="shared" si="55"/>
        <v>0.69791666666666663</v>
      </c>
      <c r="V853" s="2" t="str">
        <f t="shared" si="56"/>
        <v>dd - Missing Data</v>
      </c>
      <c r="W853" s="12" t="str">
        <f t="shared" si="57"/>
        <v>dd - Missing Data</v>
      </c>
    </row>
    <row r="854" spans="1:23">
      <c r="A854">
        <f>IF(ISBLANK('Data Input'!A854),"",'Data Input'!A854)</f>
        <v>175</v>
      </c>
      <c r="B854" t="str">
        <f>IF(ISBLANK('Data Input'!B854),"",'Data Input'!B854)</f>
        <v>LR016</v>
      </c>
      <c r="C854" t="str">
        <f>IF(ISBLANK('Data Input'!C854),"",'Data Input'!C854)</f>
        <v>8=18=18 1645</v>
      </c>
      <c r="E854" t="str">
        <f>IF(ISBLANK('Data Input'!D854),"",'Data Input'!D854)</f>
        <v>dd - Missing Data</v>
      </c>
      <c r="G854">
        <f>IF(ISBLANK('Data Input'!E854),"",'Data Input'!E854)</f>
        <v>36</v>
      </c>
      <c r="H854" t="str">
        <f>IF(ISBLANK('Data Input'!F854),"",'Data Input'!F854)</f>
        <v>White</v>
      </c>
      <c r="I854" t="str">
        <f>IF(ISBLANK('Data Input'!G854),"",'Data Input'!G854)</f>
        <v>Caesarean</v>
      </c>
      <c r="J854" t="str">
        <f>IF(ISBLANK('Data Input'!I854),"",'Data Input'!I854)</f>
        <v>8=21=18 1124</v>
      </c>
      <c r="K854" t="str">
        <f>IF(ISBLANK('Data Input'!J854),"",'Data Input'!J854)</f>
        <v>rr - Percocet</v>
      </c>
      <c r="L854">
        <f>IF(ISBLANK('Data Input'!K854),"",'Data Input'!K854)</f>
        <v>1</v>
      </c>
      <c r="M854">
        <f>IF(ISBLANK('Data Input'!L854),"",'Data Input'!L854)</f>
        <v>4</v>
      </c>
      <c r="N854" t="str">
        <f>IF(ISBLANK('Data Input'!M854),"",'Data Input'!M854)</f>
        <v>dd - Missing Data</v>
      </c>
      <c r="O854" t="str">
        <f>IF(ISBLANK('Data Input'!N854),"",'Data Input'!N854)</f>
        <v/>
      </c>
      <c r="P854" t="str">
        <f>IF(ISBLANK('Data Input'!O854),"",'Data Input'!O854)</f>
        <v>Check time (handwriting)</v>
      </c>
      <c r="Q854" t="str">
        <f>IF(ISBLANK('Data Input'!P854),"",'Data Input'!P854)</f>
        <v>Pt anxiety</v>
      </c>
      <c r="R854" t="b">
        <f>IF(ISBLANK('Data Input'!Q854),"",'Data Input'!Q854)</f>
        <v>1</v>
      </c>
      <c r="T854" s="2" t="e">
        <f t="shared" si="54"/>
        <v>#VALUE!</v>
      </c>
      <c r="U854" s="12">
        <f t="shared" si="55"/>
        <v>0.69791666666666663</v>
      </c>
      <c r="V854" s="2" t="str">
        <f t="shared" si="56"/>
        <v>dd - Missing Data</v>
      </c>
      <c r="W854" s="12" t="str">
        <f t="shared" si="57"/>
        <v>dd - Missing Data</v>
      </c>
    </row>
    <row r="855" spans="1:23">
      <c r="A855">
        <f>IF(ISBLANK('Data Input'!A855),"",'Data Input'!A855)</f>
        <v>176</v>
      </c>
      <c r="B855" t="str">
        <f>IF(ISBLANK('Data Input'!B855),"",'Data Input'!B855)</f>
        <v/>
      </c>
      <c r="C855" t="str">
        <f>IF(ISBLANK('Data Input'!C855),"",'Data Input'!C855)</f>
        <v/>
      </c>
      <c r="E855" t="str">
        <f>IF(ISBLANK('Data Input'!D855),"",'Data Input'!D855)</f>
        <v/>
      </c>
      <c r="G855" t="str">
        <f>IF(ISBLANK('Data Input'!E855),"",'Data Input'!E855)</f>
        <v/>
      </c>
      <c r="H855" t="str">
        <f>IF(ISBLANK('Data Input'!F855),"",'Data Input'!F855)</f>
        <v/>
      </c>
      <c r="I855" t="str">
        <f>IF(ISBLANK('Data Input'!G855),"",'Data Input'!G855)</f>
        <v/>
      </c>
      <c r="J855" t="str">
        <f>IF(ISBLANK('Data Input'!I855),"",'Data Input'!I855)</f>
        <v/>
      </c>
      <c r="K855" t="str">
        <f>IF(ISBLANK('Data Input'!J855),"",'Data Input'!J855)</f>
        <v/>
      </c>
      <c r="L855" t="str">
        <f>IF(ISBLANK('Data Input'!K855),"",'Data Input'!K855)</f>
        <v/>
      </c>
      <c r="M855" t="str">
        <f>IF(ISBLANK('Data Input'!L855),"",'Data Input'!L855)</f>
        <v/>
      </c>
      <c r="N855" t="str">
        <f>IF(ISBLANK('Data Input'!M855),"",'Data Input'!M855)</f>
        <v/>
      </c>
      <c r="O855" t="str">
        <f>IF(ISBLANK('Data Input'!N855),"",'Data Input'!N855)</f>
        <v/>
      </c>
      <c r="P855" t="str">
        <f>IF(ISBLANK('Data Input'!O855),"",'Data Input'!O855)</f>
        <v/>
      </c>
      <c r="Q855" t="str">
        <f>IF(ISBLANK('Data Input'!P855),"",'Data Input'!P855)</f>
        <v/>
      </c>
      <c r="R855" t="b">
        <f>IF(ISBLANK('Data Input'!Q855),"",'Data Input'!Q855)</f>
        <v>0</v>
      </c>
      <c r="T855" s="2" t="e">
        <f t="shared" si="54"/>
        <v>#VALUE!</v>
      </c>
      <c r="U855" s="12" t="e">
        <f t="shared" si="55"/>
        <v>#VALUE!</v>
      </c>
      <c r="V855" s="2" t="str">
        <f t="shared" si="56"/>
        <v/>
      </c>
      <c r="W855" s="12" t="str">
        <f t="shared" si="57"/>
        <v/>
      </c>
    </row>
    <row r="856" spans="1:23">
      <c r="A856">
        <f>IF(ISBLANK('Data Input'!A856),"",'Data Input'!A856)</f>
        <v>176</v>
      </c>
      <c r="B856" t="str">
        <f>IF(ISBLANK('Data Input'!B856),"",'Data Input'!B856)</f>
        <v/>
      </c>
      <c r="C856" t="str">
        <f>IF(ISBLANK('Data Input'!C856),"",'Data Input'!C856)</f>
        <v/>
      </c>
      <c r="E856" t="str">
        <f>IF(ISBLANK('Data Input'!D856),"",'Data Input'!D856)</f>
        <v/>
      </c>
      <c r="G856" t="str">
        <f>IF(ISBLANK('Data Input'!E856),"",'Data Input'!E856)</f>
        <v/>
      </c>
      <c r="H856" t="str">
        <f>IF(ISBLANK('Data Input'!F856),"",'Data Input'!F856)</f>
        <v/>
      </c>
      <c r="I856" t="str">
        <f>IF(ISBLANK('Data Input'!G856),"",'Data Input'!G856)</f>
        <v/>
      </c>
      <c r="J856" t="str">
        <f>IF(ISBLANK('Data Input'!I856),"",'Data Input'!I856)</f>
        <v/>
      </c>
      <c r="K856" t="str">
        <f>IF(ISBLANK('Data Input'!J856),"",'Data Input'!J856)</f>
        <v/>
      </c>
      <c r="L856" t="str">
        <f>IF(ISBLANK('Data Input'!K856),"",'Data Input'!K856)</f>
        <v/>
      </c>
      <c r="M856" t="str">
        <f>IF(ISBLANK('Data Input'!L856),"",'Data Input'!L856)</f>
        <v/>
      </c>
      <c r="N856" t="str">
        <f>IF(ISBLANK('Data Input'!M856),"",'Data Input'!M856)</f>
        <v/>
      </c>
      <c r="O856" t="str">
        <f>IF(ISBLANK('Data Input'!N856),"",'Data Input'!N856)</f>
        <v/>
      </c>
      <c r="P856" t="str">
        <f>IF(ISBLANK('Data Input'!O856),"",'Data Input'!O856)</f>
        <v/>
      </c>
      <c r="Q856" t="str">
        <f>IF(ISBLANK('Data Input'!P856),"",'Data Input'!P856)</f>
        <v/>
      </c>
      <c r="R856" t="b">
        <f>IF(ISBLANK('Data Input'!Q856),"",'Data Input'!Q856)</f>
        <v>0</v>
      </c>
      <c r="T856" s="2" t="e">
        <f t="shared" si="54"/>
        <v>#VALUE!</v>
      </c>
      <c r="U856" s="12" t="e">
        <f t="shared" si="55"/>
        <v>#VALUE!</v>
      </c>
      <c r="V856" s="2" t="str">
        <f t="shared" si="56"/>
        <v/>
      </c>
      <c r="W856" s="12" t="str">
        <f t="shared" si="57"/>
        <v/>
      </c>
    </row>
    <row r="857" spans="1:23">
      <c r="A857">
        <f>IF(ISBLANK('Data Input'!A857),"",'Data Input'!A857)</f>
        <v>176</v>
      </c>
      <c r="B857" t="str">
        <f>IF(ISBLANK('Data Input'!B857),"",'Data Input'!B857)</f>
        <v/>
      </c>
      <c r="C857" t="str">
        <f>IF(ISBLANK('Data Input'!C857),"",'Data Input'!C857)</f>
        <v/>
      </c>
      <c r="E857" t="str">
        <f>IF(ISBLANK('Data Input'!D857),"",'Data Input'!D857)</f>
        <v/>
      </c>
      <c r="G857" t="str">
        <f>IF(ISBLANK('Data Input'!E857),"",'Data Input'!E857)</f>
        <v/>
      </c>
      <c r="H857" t="str">
        <f>IF(ISBLANK('Data Input'!F857),"",'Data Input'!F857)</f>
        <v/>
      </c>
      <c r="I857" t="str">
        <f>IF(ISBLANK('Data Input'!G857),"",'Data Input'!G857)</f>
        <v/>
      </c>
      <c r="J857" t="str">
        <f>IF(ISBLANK('Data Input'!I857),"",'Data Input'!I857)</f>
        <v/>
      </c>
      <c r="K857" t="str">
        <f>IF(ISBLANK('Data Input'!J857),"",'Data Input'!J857)</f>
        <v/>
      </c>
      <c r="L857" t="str">
        <f>IF(ISBLANK('Data Input'!K857),"",'Data Input'!K857)</f>
        <v/>
      </c>
      <c r="M857" t="str">
        <f>IF(ISBLANK('Data Input'!L857),"",'Data Input'!L857)</f>
        <v/>
      </c>
      <c r="N857" t="str">
        <f>IF(ISBLANK('Data Input'!M857),"",'Data Input'!M857)</f>
        <v/>
      </c>
      <c r="O857" t="str">
        <f>IF(ISBLANK('Data Input'!N857),"",'Data Input'!N857)</f>
        <v/>
      </c>
      <c r="P857" t="str">
        <f>IF(ISBLANK('Data Input'!O857),"",'Data Input'!O857)</f>
        <v/>
      </c>
      <c r="Q857" t="str">
        <f>IF(ISBLANK('Data Input'!P857),"",'Data Input'!P857)</f>
        <v/>
      </c>
      <c r="R857" t="b">
        <f>IF(ISBLANK('Data Input'!Q857),"",'Data Input'!Q857)</f>
        <v>0</v>
      </c>
      <c r="T857" s="2" t="e">
        <f t="shared" si="54"/>
        <v>#VALUE!</v>
      </c>
      <c r="U857" s="12" t="e">
        <f t="shared" si="55"/>
        <v>#VALUE!</v>
      </c>
      <c r="V857" s="2" t="str">
        <f t="shared" si="56"/>
        <v/>
      </c>
      <c r="W857" s="12" t="str">
        <f t="shared" si="57"/>
        <v/>
      </c>
    </row>
    <row r="858" spans="1:23">
      <c r="A858">
        <f>IF(ISBLANK('Data Input'!A858),"",'Data Input'!A858)</f>
        <v>176</v>
      </c>
      <c r="B858" t="str">
        <f>IF(ISBLANK('Data Input'!B858),"",'Data Input'!B858)</f>
        <v/>
      </c>
      <c r="C858" t="str">
        <f>IF(ISBLANK('Data Input'!C858),"",'Data Input'!C858)</f>
        <v/>
      </c>
      <c r="E858" t="str">
        <f>IF(ISBLANK('Data Input'!D858),"",'Data Input'!D858)</f>
        <v/>
      </c>
      <c r="G858" t="str">
        <f>IF(ISBLANK('Data Input'!E858),"",'Data Input'!E858)</f>
        <v/>
      </c>
      <c r="H858" t="str">
        <f>IF(ISBLANK('Data Input'!F858),"",'Data Input'!F858)</f>
        <v/>
      </c>
      <c r="I858" t="str">
        <f>IF(ISBLANK('Data Input'!G858),"",'Data Input'!G858)</f>
        <v/>
      </c>
      <c r="J858" t="str">
        <f>IF(ISBLANK('Data Input'!I858),"",'Data Input'!I858)</f>
        <v/>
      </c>
      <c r="K858" t="str">
        <f>IF(ISBLANK('Data Input'!J858),"",'Data Input'!J858)</f>
        <v/>
      </c>
      <c r="L858" t="str">
        <f>IF(ISBLANK('Data Input'!K858),"",'Data Input'!K858)</f>
        <v/>
      </c>
      <c r="M858" t="str">
        <f>IF(ISBLANK('Data Input'!L858),"",'Data Input'!L858)</f>
        <v/>
      </c>
      <c r="N858" t="str">
        <f>IF(ISBLANK('Data Input'!M858),"",'Data Input'!M858)</f>
        <v/>
      </c>
      <c r="O858" t="str">
        <f>IF(ISBLANK('Data Input'!N858),"",'Data Input'!N858)</f>
        <v/>
      </c>
      <c r="P858" t="str">
        <f>IF(ISBLANK('Data Input'!O858),"",'Data Input'!O858)</f>
        <v/>
      </c>
      <c r="Q858" t="str">
        <f>IF(ISBLANK('Data Input'!P858),"",'Data Input'!P858)</f>
        <v/>
      </c>
      <c r="R858" t="b">
        <f>IF(ISBLANK('Data Input'!Q858),"",'Data Input'!Q858)</f>
        <v>0</v>
      </c>
      <c r="T858" s="2" t="e">
        <f t="shared" si="54"/>
        <v>#VALUE!</v>
      </c>
      <c r="U858" s="12" t="e">
        <f t="shared" si="55"/>
        <v>#VALUE!</v>
      </c>
      <c r="V858" s="2" t="str">
        <f t="shared" si="56"/>
        <v/>
      </c>
      <c r="W858" s="12" t="str">
        <f t="shared" si="57"/>
        <v/>
      </c>
    </row>
    <row r="859" spans="1:23">
      <c r="A859">
        <f>IF(ISBLANK('Data Input'!A859),"",'Data Input'!A859)</f>
        <v>176</v>
      </c>
      <c r="B859" t="str">
        <f>IF(ISBLANK('Data Input'!B859),"",'Data Input'!B859)</f>
        <v/>
      </c>
      <c r="C859" t="str">
        <f>IF(ISBLANK('Data Input'!C859),"",'Data Input'!C859)</f>
        <v/>
      </c>
      <c r="E859" t="str">
        <f>IF(ISBLANK('Data Input'!D859),"",'Data Input'!D859)</f>
        <v/>
      </c>
      <c r="G859" t="str">
        <f>IF(ISBLANK('Data Input'!E859),"",'Data Input'!E859)</f>
        <v/>
      </c>
      <c r="H859" t="str">
        <f>IF(ISBLANK('Data Input'!F859),"",'Data Input'!F859)</f>
        <v/>
      </c>
      <c r="I859" t="str">
        <f>IF(ISBLANK('Data Input'!G859),"",'Data Input'!G859)</f>
        <v/>
      </c>
      <c r="J859" t="str">
        <f>IF(ISBLANK('Data Input'!I859),"",'Data Input'!I859)</f>
        <v/>
      </c>
      <c r="K859" t="str">
        <f>IF(ISBLANK('Data Input'!J859),"",'Data Input'!J859)</f>
        <v/>
      </c>
      <c r="L859" t="str">
        <f>IF(ISBLANK('Data Input'!K859),"",'Data Input'!K859)</f>
        <v/>
      </c>
      <c r="M859" t="str">
        <f>IF(ISBLANK('Data Input'!L859),"",'Data Input'!L859)</f>
        <v/>
      </c>
      <c r="N859" t="str">
        <f>IF(ISBLANK('Data Input'!M859),"",'Data Input'!M859)</f>
        <v/>
      </c>
      <c r="O859" t="str">
        <f>IF(ISBLANK('Data Input'!N859),"",'Data Input'!N859)</f>
        <v/>
      </c>
      <c r="P859" t="str">
        <f>IF(ISBLANK('Data Input'!O859),"",'Data Input'!O859)</f>
        <v/>
      </c>
      <c r="Q859" t="str">
        <f>IF(ISBLANK('Data Input'!P859),"",'Data Input'!P859)</f>
        <v/>
      </c>
      <c r="R859" t="b">
        <f>IF(ISBLANK('Data Input'!Q859),"",'Data Input'!Q859)</f>
        <v>0</v>
      </c>
      <c r="T859" s="2" t="e">
        <f t="shared" si="54"/>
        <v>#VALUE!</v>
      </c>
      <c r="U859" s="12" t="e">
        <f t="shared" si="55"/>
        <v>#VALUE!</v>
      </c>
      <c r="V859" s="2" t="str">
        <f t="shared" si="56"/>
        <v/>
      </c>
      <c r="W859" s="12" t="str">
        <f t="shared" si="57"/>
        <v/>
      </c>
    </row>
    <row r="860" spans="1:23">
      <c r="A860">
        <f>IF(ISBLANK('Data Input'!A860),"",'Data Input'!A860)</f>
        <v>176</v>
      </c>
      <c r="B860" t="str">
        <f>IF(ISBLANK('Data Input'!B860),"",'Data Input'!B860)</f>
        <v/>
      </c>
      <c r="C860" t="str">
        <f>IF(ISBLANK('Data Input'!C860),"",'Data Input'!C860)</f>
        <v/>
      </c>
      <c r="E860" t="str">
        <f>IF(ISBLANK('Data Input'!D860),"",'Data Input'!D860)</f>
        <v/>
      </c>
      <c r="G860" t="str">
        <f>IF(ISBLANK('Data Input'!E860),"",'Data Input'!E860)</f>
        <v/>
      </c>
      <c r="H860" t="str">
        <f>IF(ISBLANK('Data Input'!F860),"",'Data Input'!F860)</f>
        <v/>
      </c>
      <c r="I860" t="str">
        <f>IF(ISBLANK('Data Input'!G860),"",'Data Input'!G860)</f>
        <v/>
      </c>
      <c r="J860" t="str">
        <f>IF(ISBLANK('Data Input'!I860),"",'Data Input'!I860)</f>
        <v/>
      </c>
      <c r="K860" t="str">
        <f>IF(ISBLANK('Data Input'!J860),"",'Data Input'!J860)</f>
        <v/>
      </c>
      <c r="L860" t="str">
        <f>IF(ISBLANK('Data Input'!K860),"",'Data Input'!K860)</f>
        <v/>
      </c>
      <c r="M860" t="str">
        <f>IF(ISBLANK('Data Input'!L860),"",'Data Input'!L860)</f>
        <v/>
      </c>
      <c r="N860" t="str">
        <f>IF(ISBLANK('Data Input'!M860),"",'Data Input'!M860)</f>
        <v/>
      </c>
      <c r="O860" t="str">
        <f>IF(ISBLANK('Data Input'!N860),"",'Data Input'!N860)</f>
        <v/>
      </c>
      <c r="P860" t="str">
        <f>IF(ISBLANK('Data Input'!O860),"",'Data Input'!O860)</f>
        <v/>
      </c>
      <c r="Q860" t="str">
        <f>IF(ISBLANK('Data Input'!P860),"",'Data Input'!P860)</f>
        <v/>
      </c>
      <c r="R860" t="b">
        <f>IF(ISBLANK('Data Input'!Q860),"",'Data Input'!Q860)</f>
        <v>0</v>
      </c>
      <c r="T860" s="2" t="e">
        <f t="shared" si="54"/>
        <v>#VALUE!</v>
      </c>
      <c r="U860" s="12" t="e">
        <f t="shared" si="55"/>
        <v>#VALUE!</v>
      </c>
      <c r="V860" s="2" t="str">
        <f t="shared" si="56"/>
        <v/>
      </c>
      <c r="W860" s="12" t="str">
        <f t="shared" si="57"/>
        <v/>
      </c>
    </row>
    <row r="861" spans="1:23">
      <c r="A861">
        <f>IF(ISBLANK('Data Input'!A861),"",'Data Input'!A861)</f>
        <v>176</v>
      </c>
      <c r="B861" t="str">
        <f>IF(ISBLANK('Data Input'!B861),"",'Data Input'!B861)</f>
        <v/>
      </c>
      <c r="C861" t="str">
        <f>IF(ISBLANK('Data Input'!C861),"",'Data Input'!C861)</f>
        <v/>
      </c>
      <c r="E861" t="str">
        <f>IF(ISBLANK('Data Input'!D861),"",'Data Input'!D861)</f>
        <v/>
      </c>
      <c r="G861" t="str">
        <f>IF(ISBLANK('Data Input'!E861),"",'Data Input'!E861)</f>
        <v/>
      </c>
      <c r="H861" t="str">
        <f>IF(ISBLANK('Data Input'!F861),"",'Data Input'!F861)</f>
        <v/>
      </c>
      <c r="I861" t="str">
        <f>IF(ISBLANK('Data Input'!G861),"",'Data Input'!G861)</f>
        <v/>
      </c>
      <c r="J861" t="str">
        <f>IF(ISBLANK('Data Input'!I861),"",'Data Input'!I861)</f>
        <v/>
      </c>
      <c r="K861" t="str">
        <f>IF(ISBLANK('Data Input'!J861),"",'Data Input'!J861)</f>
        <v/>
      </c>
      <c r="L861" t="str">
        <f>IF(ISBLANK('Data Input'!K861),"",'Data Input'!K861)</f>
        <v/>
      </c>
      <c r="M861" t="str">
        <f>IF(ISBLANK('Data Input'!L861),"",'Data Input'!L861)</f>
        <v/>
      </c>
      <c r="N861" t="str">
        <f>IF(ISBLANK('Data Input'!M861),"",'Data Input'!M861)</f>
        <v/>
      </c>
      <c r="O861" t="str">
        <f>IF(ISBLANK('Data Input'!N861),"",'Data Input'!N861)</f>
        <v/>
      </c>
      <c r="P861" t="str">
        <f>IF(ISBLANK('Data Input'!O861),"",'Data Input'!O861)</f>
        <v/>
      </c>
      <c r="Q861" t="str">
        <f>IF(ISBLANK('Data Input'!P861),"",'Data Input'!P861)</f>
        <v/>
      </c>
      <c r="R861" t="b">
        <f>IF(ISBLANK('Data Input'!Q861),"",'Data Input'!Q861)</f>
        <v>0</v>
      </c>
      <c r="T861" s="2" t="e">
        <f t="shared" si="54"/>
        <v>#VALUE!</v>
      </c>
      <c r="U861" s="12" t="e">
        <f t="shared" si="55"/>
        <v>#VALUE!</v>
      </c>
      <c r="V861" s="2" t="str">
        <f t="shared" si="56"/>
        <v/>
      </c>
      <c r="W861" s="12" t="str">
        <f t="shared" si="57"/>
        <v/>
      </c>
    </row>
    <row r="862" spans="1:23">
      <c r="A862">
        <f>IF(ISBLANK('Data Input'!A862),"",'Data Input'!A862)</f>
        <v>176</v>
      </c>
      <c r="B862" t="str">
        <f>IF(ISBLANK('Data Input'!B862),"",'Data Input'!B862)</f>
        <v/>
      </c>
      <c r="C862" t="str">
        <f>IF(ISBLANK('Data Input'!C862),"",'Data Input'!C862)</f>
        <v/>
      </c>
      <c r="E862" t="str">
        <f>IF(ISBLANK('Data Input'!D862),"",'Data Input'!D862)</f>
        <v/>
      </c>
      <c r="G862" t="str">
        <f>IF(ISBLANK('Data Input'!E862),"",'Data Input'!E862)</f>
        <v/>
      </c>
      <c r="H862" t="str">
        <f>IF(ISBLANK('Data Input'!F862),"",'Data Input'!F862)</f>
        <v/>
      </c>
      <c r="I862" t="str">
        <f>IF(ISBLANK('Data Input'!G862),"",'Data Input'!G862)</f>
        <v/>
      </c>
      <c r="J862" t="str">
        <f>IF(ISBLANK('Data Input'!I862),"",'Data Input'!I862)</f>
        <v/>
      </c>
      <c r="K862" t="str">
        <f>IF(ISBLANK('Data Input'!J862),"",'Data Input'!J862)</f>
        <v/>
      </c>
      <c r="L862" t="str">
        <f>IF(ISBLANK('Data Input'!K862),"",'Data Input'!K862)</f>
        <v/>
      </c>
      <c r="M862" t="str">
        <f>IF(ISBLANK('Data Input'!L862),"",'Data Input'!L862)</f>
        <v/>
      </c>
      <c r="N862" t="str">
        <f>IF(ISBLANK('Data Input'!M862),"",'Data Input'!M862)</f>
        <v/>
      </c>
      <c r="O862" t="str">
        <f>IF(ISBLANK('Data Input'!N862),"",'Data Input'!N862)</f>
        <v/>
      </c>
      <c r="P862" t="str">
        <f>IF(ISBLANK('Data Input'!O862),"",'Data Input'!O862)</f>
        <v/>
      </c>
      <c r="Q862" t="str">
        <f>IF(ISBLANK('Data Input'!P862),"",'Data Input'!P862)</f>
        <v/>
      </c>
      <c r="R862" t="b">
        <f>IF(ISBLANK('Data Input'!Q862),"",'Data Input'!Q862)</f>
        <v>0</v>
      </c>
      <c r="T862" s="2" t="e">
        <f t="shared" si="54"/>
        <v>#VALUE!</v>
      </c>
      <c r="U862" s="12" t="e">
        <f t="shared" si="55"/>
        <v>#VALUE!</v>
      </c>
      <c r="V862" s="2" t="str">
        <f t="shared" si="56"/>
        <v/>
      </c>
      <c r="W862" s="12" t="str">
        <f t="shared" si="57"/>
        <v/>
      </c>
    </row>
    <row r="863" spans="1:23">
      <c r="A863">
        <f>IF(ISBLANK('Data Input'!A863),"",'Data Input'!A863)</f>
        <v>176</v>
      </c>
      <c r="B863" t="str">
        <f>IF(ISBLANK('Data Input'!B863),"",'Data Input'!B863)</f>
        <v/>
      </c>
      <c r="C863" t="str">
        <f>IF(ISBLANK('Data Input'!C863),"",'Data Input'!C863)</f>
        <v/>
      </c>
      <c r="E863" t="str">
        <f>IF(ISBLANK('Data Input'!D863),"",'Data Input'!D863)</f>
        <v/>
      </c>
      <c r="G863" t="str">
        <f>IF(ISBLANK('Data Input'!E863),"",'Data Input'!E863)</f>
        <v/>
      </c>
      <c r="H863" t="str">
        <f>IF(ISBLANK('Data Input'!F863),"",'Data Input'!F863)</f>
        <v/>
      </c>
      <c r="I863" t="str">
        <f>IF(ISBLANK('Data Input'!G863),"",'Data Input'!G863)</f>
        <v/>
      </c>
      <c r="J863" t="str">
        <f>IF(ISBLANK('Data Input'!I863),"",'Data Input'!I863)</f>
        <v/>
      </c>
      <c r="K863" t="str">
        <f>IF(ISBLANK('Data Input'!J863),"",'Data Input'!J863)</f>
        <v/>
      </c>
      <c r="L863" t="str">
        <f>IF(ISBLANK('Data Input'!K863),"",'Data Input'!K863)</f>
        <v/>
      </c>
      <c r="M863" t="str">
        <f>IF(ISBLANK('Data Input'!L863),"",'Data Input'!L863)</f>
        <v/>
      </c>
      <c r="N863" t="str">
        <f>IF(ISBLANK('Data Input'!M863),"",'Data Input'!M863)</f>
        <v/>
      </c>
      <c r="O863" t="str">
        <f>IF(ISBLANK('Data Input'!N863),"",'Data Input'!N863)</f>
        <v/>
      </c>
      <c r="P863" t="str">
        <f>IF(ISBLANK('Data Input'!O863),"",'Data Input'!O863)</f>
        <v/>
      </c>
      <c r="Q863" t="str">
        <f>IF(ISBLANK('Data Input'!P863),"",'Data Input'!P863)</f>
        <v/>
      </c>
      <c r="R863" t="b">
        <f>IF(ISBLANK('Data Input'!Q863),"",'Data Input'!Q863)</f>
        <v>0</v>
      </c>
      <c r="T863" s="2" t="e">
        <f t="shared" si="54"/>
        <v>#VALUE!</v>
      </c>
      <c r="U863" s="12" t="e">
        <f t="shared" si="55"/>
        <v>#VALUE!</v>
      </c>
      <c r="V863" s="2" t="str">
        <f t="shared" si="56"/>
        <v/>
      </c>
      <c r="W863" s="12" t="str">
        <f t="shared" si="57"/>
        <v/>
      </c>
    </row>
    <row r="864" spans="1:23">
      <c r="A864">
        <f>IF(ISBLANK('Data Input'!A864),"",'Data Input'!A864)</f>
        <v>176</v>
      </c>
      <c r="B864" t="str">
        <f>IF(ISBLANK('Data Input'!B864),"",'Data Input'!B864)</f>
        <v/>
      </c>
      <c r="C864" t="str">
        <f>IF(ISBLANK('Data Input'!C864),"",'Data Input'!C864)</f>
        <v/>
      </c>
      <c r="E864" t="str">
        <f>IF(ISBLANK('Data Input'!D864),"",'Data Input'!D864)</f>
        <v/>
      </c>
      <c r="G864" t="str">
        <f>IF(ISBLANK('Data Input'!E864),"",'Data Input'!E864)</f>
        <v/>
      </c>
      <c r="H864" t="str">
        <f>IF(ISBLANK('Data Input'!F864),"",'Data Input'!F864)</f>
        <v/>
      </c>
      <c r="I864" t="str">
        <f>IF(ISBLANK('Data Input'!G864),"",'Data Input'!G864)</f>
        <v/>
      </c>
      <c r="J864" t="str">
        <f>IF(ISBLANK('Data Input'!I864),"",'Data Input'!I864)</f>
        <v/>
      </c>
      <c r="K864" t="str">
        <f>IF(ISBLANK('Data Input'!J864),"",'Data Input'!J864)</f>
        <v/>
      </c>
      <c r="L864" t="str">
        <f>IF(ISBLANK('Data Input'!K864),"",'Data Input'!K864)</f>
        <v/>
      </c>
      <c r="M864" t="str">
        <f>IF(ISBLANK('Data Input'!L864),"",'Data Input'!L864)</f>
        <v/>
      </c>
      <c r="N864" t="str">
        <f>IF(ISBLANK('Data Input'!M864),"",'Data Input'!M864)</f>
        <v/>
      </c>
      <c r="O864" t="str">
        <f>IF(ISBLANK('Data Input'!N864),"",'Data Input'!N864)</f>
        <v/>
      </c>
      <c r="P864" t="str">
        <f>IF(ISBLANK('Data Input'!O864),"",'Data Input'!O864)</f>
        <v/>
      </c>
      <c r="Q864" t="str">
        <f>IF(ISBLANK('Data Input'!P864),"",'Data Input'!P864)</f>
        <v/>
      </c>
      <c r="R864" t="b">
        <f>IF(ISBLANK('Data Input'!Q864),"",'Data Input'!Q864)</f>
        <v>0</v>
      </c>
      <c r="T864" s="2" t="e">
        <f t="shared" si="54"/>
        <v>#VALUE!</v>
      </c>
      <c r="U864" s="12" t="e">
        <f t="shared" si="55"/>
        <v>#VALUE!</v>
      </c>
      <c r="V864" s="2" t="str">
        <f t="shared" si="56"/>
        <v/>
      </c>
      <c r="W864" s="12" t="str">
        <f t="shared" si="57"/>
        <v/>
      </c>
    </row>
    <row r="865" spans="1:23">
      <c r="A865">
        <f>IF(ISBLANK('Data Input'!A865),"",'Data Input'!A865)</f>
        <v>176</v>
      </c>
      <c r="B865" t="str">
        <f>IF(ISBLANK('Data Input'!B865),"",'Data Input'!B865)</f>
        <v/>
      </c>
      <c r="C865" t="str">
        <f>IF(ISBLANK('Data Input'!C865),"",'Data Input'!C865)</f>
        <v/>
      </c>
      <c r="E865" t="str">
        <f>IF(ISBLANK('Data Input'!D865),"",'Data Input'!D865)</f>
        <v/>
      </c>
      <c r="G865" t="str">
        <f>IF(ISBLANK('Data Input'!E865),"",'Data Input'!E865)</f>
        <v/>
      </c>
      <c r="H865" t="str">
        <f>IF(ISBLANK('Data Input'!F865),"",'Data Input'!F865)</f>
        <v/>
      </c>
      <c r="I865" t="str">
        <f>IF(ISBLANK('Data Input'!G865),"",'Data Input'!G865)</f>
        <v/>
      </c>
      <c r="J865" t="str">
        <f>IF(ISBLANK('Data Input'!I865),"",'Data Input'!I865)</f>
        <v/>
      </c>
      <c r="K865" t="str">
        <f>IF(ISBLANK('Data Input'!J865),"",'Data Input'!J865)</f>
        <v/>
      </c>
      <c r="L865" t="str">
        <f>IF(ISBLANK('Data Input'!K865),"",'Data Input'!K865)</f>
        <v/>
      </c>
      <c r="M865" t="str">
        <f>IF(ISBLANK('Data Input'!L865),"",'Data Input'!L865)</f>
        <v/>
      </c>
      <c r="N865" t="str">
        <f>IF(ISBLANK('Data Input'!M865),"",'Data Input'!M865)</f>
        <v/>
      </c>
      <c r="O865" t="str">
        <f>IF(ISBLANK('Data Input'!N865),"",'Data Input'!N865)</f>
        <v/>
      </c>
      <c r="P865" t="str">
        <f>IF(ISBLANK('Data Input'!O865),"",'Data Input'!O865)</f>
        <v/>
      </c>
      <c r="Q865" t="str">
        <f>IF(ISBLANK('Data Input'!P865),"",'Data Input'!P865)</f>
        <v/>
      </c>
      <c r="R865" t="b">
        <f>IF(ISBLANK('Data Input'!Q865),"",'Data Input'!Q865)</f>
        <v>0</v>
      </c>
      <c r="T865" s="2" t="e">
        <f t="shared" si="54"/>
        <v>#VALUE!</v>
      </c>
      <c r="U865" s="12" t="e">
        <f t="shared" si="55"/>
        <v>#VALUE!</v>
      </c>
      <c r="V865" s="2" t="str">
        <f t="shared" si="56"/>
        <v/>
      </c>
      <c r="W865" s="12" t="str">
        <f t="shared" si="57"/>
        <v/>
      </c>
    </row>
    <row r="866" spans="1:23">
      <c r="A866">
        <f>IF(ISBLANK('Data Input'!A866),"",'Data Input'!A866)</f>
        <v>176</v>
      </c>
      <c r="B866" t="str">
        <f>IF(ISBLANK('Data Input'!B866),"",'Data Input'!B866)</f>
        <v/>
      </c>
      <c r="C866" t="str">
        <f>IF(ISBLANK('Data Input'!C866),"",'Data Input'!C866)</f>
        <v/>
      </c>
      <c r="E866" t="str">
        <f>IF(ISBLANK('Data Input'!D866),"",'Data Input'!D866)</f>
        <v/>
      </c>
      <c r="G866" t="str">
        <f>IF(ISBLANK('Data Input'!E866),"",'Data Input'!E866)</f>
        <v/>
      </c>
      <c r="H866" t="str">
        <f>IF(ISBLANK('Data Input'!F866),"",'Data Input'!F866)</f>
        <v/>
      </c>
      <c r="I866" t="str">
        <f>IF(ISBLANK('Data Input'!G866),"",'Data Input'!G866)</f>
        <v/>
      </c>
      <c r="J866" t="str">
        <f>IF(ISBLANK('Data Input'!I866),"",'Data Input'!I866)</f>
        <v/>
      </c>
      <c r="K866" t="str">
        <f>IF(ISBLANK('Data Input'!J866),"",'Data Input'!J866)</f>
        <v/>
      </c>
      <c r="L866" t="str">
        <f>IF(ISBLANK('Data Input'!K866),"",'Data Input'!K866)</f>
        <v/>
      </c>
      <c r="M866" t="str">
        <f>IF(ISBLANK('Data Input'!L866),"",'Data Input'!L866)</f>
        <v/>
      </c>
      <c r="N866" t="str">
        <f>IF(ISBLANK('Data Input'!M866),"",'Data Input'!M866)</f>
        <v/>
      </c>
      <c r="O866" t="str">
        <f>IF(ISBLANK('Data Input'!N866),"",'Data Input'!N866)</f>
        <v/>
      </c>
      <c r="P866" t="str">
        <f>IF(ISBLANK('Data Input'!O866),"",'Data Input'!O866)</f>
        <v/>
      </c>
      <c r="Q866" t="str">
        <f>IF(ISBLANK('Data Input'!P866),"",'Data Input'!P866)</f>
        <v/>
      </c>
      <c r="R866" t="b">
        <f>IF(ISBLANK('Data Input'!Q866),"",'Data Input'!Q866)</f>
        <v>0</v>
      </c>
      <c r="T866" s="2" t="e">
        <f t="shared" si="54"/>
        <v>#VALUE!</v>
      </c>
      <c r="U866" s="12" t="e">
        <f t="shared" si="55"/>
        <v>#VALUE!</v>
      </c>
      <c r="V866" s="2" t="str">
        <f t="shared" si="56"/>
        <v/>
      </c>
      <c r="W866" s="12" t="str">
        <f t="shared" si="57"/>
        <v/>
      </c>
    </row>
    <row r="867" spans="1:23">
      <c r="A867">
        <f>IF(ISBLANK('Data Input'!A867),"",'Data Input'!A867)</f>
        <v>176</v>
      </c>
      <c r="B867" t="str">
        <f>IF(ISBLANK('Data Input'!B867),"",'Data Input'!B867)</f>
        <v/>
      </c>
      <c r="C867" t="str">
        <f>IF(ISBLANK('Data Input'!C867),"",'Data Input'!C867)</f>
        <v/>
      </c>
      <c r="E867" t="str">
        <f>IF(ISBLANK('Data Input'!D867),"",'Data Input'!D867)</f>
        <v/>
      </c>
      <c r="G867" t="str">
        <f>IF(ISBLANK('Data Input'!E867),"",'Data Input'!E867)</f>
        <v/>
      </c>
      <c r="H867" t="str">
        <f>IF(ISBLANK('Data Input'!F867),"",'Data Input'!F867)</f>
        <v/>
      </c>
      <c r="I867" t="str">
        <f>IF(ISBLANK('Data Input'!G867),"",'Data Input'!G867)</f>
        <v/>
      </c>
      <c r="J867" t="str">
        <f>IF(ISBLANK('Data Input'!I867),"",'Data Input'!I867)</f>
        <v/>
      </c>
      <c r="K867" t="str">
        <f>IF(ISBLANK('Data Input'!J867),"",'Data Input'!J867)</f>
        <v/>
      </c>
      <c r="L867" t="str">
        <f>IF(ISBLANK('Data Input'!K867),"",'Data Input'!K867)</f>
        <v/>
      </c>
      <c r="M867" t="str">
        <f>IF(ISBLANK('Data Input'!L867),"",'Data Input'!L867)</f>
        <v/>
      </c>
      <c r="N867" t="str">
        <f>IF(ISBLANK('Data Input'!M867),"",'Data Input'!M867)</f>
        <v/>
      </c>
      <c r="O867" t="str">
        <f>IF(ISBLANK('Data Input'!N867),"",'Data Input'!N867)</f>
        <v/>
      </c>
      <c r="P867" t="str">
        <f>IF(ISBLANK('Data Input'!O867),"",'Data Input'!O867)</f>
        <v/>
      </c>
      <c r="Q867" t="str">
        <f>IF(ISBLANK('Data Input'!P867),"",'Data Input'!P867)</f>
        <v/>
      </c>
      <c r="R867" t="b">
        <f>IF(ISBLANK('Data Input'!Q867),"",'Data Input'!Q867)</f>
        <v>0</v>
      </c>
      <c r="T867" s="2" t="e">
        <f t="shared" si="54"/>
        <v>#VALUE!</v>
      </c>
      <c r="U867" s="12" t="e">
        <f t="shared" si="55"/>
        <v>#VALUE!</v>
      </c>
      <c r="V867" s="2" t="str">
        <f t="shared" si="56"/>
        <v/>
      </c>
      <c r="W867" s="12" t="str">
        <f t="shared" si="57"/>
        <v/>
      </c>
    </row>
    <row r="868" spans="1:23">
      <c r="A868">
        <f>IF(ISBLANK('Data Input'!A868),"",'Data Input'!A868)</f>
        <v>176</v>
      </c>
      <c r="B868" t="str">
        <f>IF(ISBLANK('Data Input'!B868),"",'Data Input'!B868)</f>
        <v/>
      </c>
      <c r="C868" t="str">
        <f>IF(ISBLANK('Data Input'!C868),"",'Data Input'!C868)</f>
        <v/>
      </c>
      <c r="E868" t="str">
        <f>IF(ISBLANK('Data Input'!D868),"",'Data Input'!D868)</f>
        <v/>
      </c>
      <c r="G868" t="str">
        <f>IF(ISBLANK('Data Input'!E868),"",'Data Input'!E868)</f>
        <v/>
      </c>
      <c r="H868" t="str">
        <f>IF(ISBLANK('Data Input'!F868),"",'Data Input'!F868)</f>
        <v/>
      </c>
      <c r="I868" t="str">
        <f>IF(ISBLANK('Data Input'!G868),"",'Data Input'!G868)</f>
        <v/>
      </c>
      <c r="J868" t="str">
        <f>IF(ISBLANK('Data Input'!I868),"",'Data Input'!I868)</f>
        <v/>
      </c>
      <c r="K868" t="str">
        <f>IF(ISBLANK('Data Input'!J868),"",'Data Input'!J868)</f>
        <v/>
      </c>
      <c r="L868" t="str">
        <f>IF(ISBLANK('Data Input'!K868),"",'Data Input'!K868)</f>
        <v/>
      </c>
      <c r="M868" t="str">
        <f>IF(ISBLANK('Data Input'!L868),"",'Data Input'!L868)</f>
        <v/>
      </c>
      <c r="N868" t="str">
        <f>IF(ISBLANK('Data Input'!M868),"",'Data Input'!M868)</f>
        <v/>
      </c>
      <c r="O868" t="str">
        <f>IF(ISBLANK('Data Input'!N868),"",'Data Input'!N868)</f>
        <v/>
      </c>
      <c r="P868" t="str">
        <f>IF(ISBLANK('Data Input'!O868),"",'Data Input'!O868)</f>
        <v/>
      </c>
      <c r="Q868" t="str">
        <f>IF(ISBLANK('Data Input'!P868),"",'Data Input'!P868)</f>
        <v/>
      </c>
      <c r="R868" t="b">
        <f>IF(ISBLANK('Data Input'!Q868),"",'Data Input'!Q868)</f>
        <v>0</v>
      </c>
      <c r="T868" s="2" t="e">
        <f t="shared" si="54"/>
        <v>#VALUE!</v>
      </c>
      <c r="U868" s="12" t="e">
        <f t="shared" si="55"/>
        <v>#VALUE!</v>
      </c>
      <c r="V868" s="2" t="str">
        <f t="shared" si="56"/>
        <v/>
      </c>
      <c r="W868" s="12" t="str">
        <f t="shared" si="57"/>
        <v/>
      </c>
    </row>
    <row r="869" spans="1:23">
      <c r="A869">
        <f>IF(ISBLANK('Data Input'!A869),"",'Data Input'!A869)</f>
        <v>176</v>
      </c>
      <c r="B869" t="str">
        <f>IF(ISBLANK('Data Input'!B869),"",'Data Input'!B869)</f>
        <v/>
      </c>
      <c r="C869" t="str">
        <f>IF(ISBLANK('Data Input'!C869),"",'Data Input'!C869)</f>
        <v/>
      </c>
      <c r="E869" t="str">
        <f>IF(ISBLANK('Data Input'!D869),"",'Data Input'!D869)</f>
        <v/>
      </c>
      <c r="G869" t="str">
        <f>IF(ISBLANK('Data Input'!E869),"",'Data Input'!E869)</f>
        <v/>
      </c>
      <c r="H869" t="str">
        <f>IF(ISBLANK('Data Input'!F869),"",'Data Input'!F869)</f>
        <v/>
      </c>
      <c r="I869" t="str">
        <f>IF(ISBLANK('Data Input'!G869),"",'Data Input'!G869)</f>
        <v/>
      </c>
      <c r="J869" t="str">
        <f>IF(ISBLANK('Data Input'!I869),"",'Data Input'!I869)</f>
        <v/>
      </c>
      <c r="K869" t="str">
        <f>IF(ISBLANK('Data Input'!J869),"",'Data Input'!J869)</f>
        <v/>
      </c>
      <c r="L869" t="str">
        <f>IF(ISBLANK('Data Input'!K869),"",'Data Input'!K869)</f>
        <v/>
      </c>
      <c r="M869" t="str">
        <f>IF(ISBLANK('Data Input'!L869),"",'Data Input'!L869)</f>
        <v/>
      </c>
      <c r="N869" t="str">
        <f>IF(ISBLANK('Data Input'!M869),"",'Data Input'!M869)</f>
        <v/>
      </c>
      <c r="O869" t="str">
        <f>IF(ISBLANK('Data Input'!N869),"",'Data Input'!N869)</f>
        <v/>
      </c>
      <c r="P869" t="str">
        <f>IF(ISBLANK('Data Input'!O869),"",'Data Input'!O869)</f>
        <v/>
      </c>
      <c r="Q869" t="str">
        <f>IF(ISBLANK('Data Input'!P869),"",'Data Input'!P869)</f>
        <v/>
      </c>
      <c r="R869" t="b">
        <f>IF(ISBLANK('Data Input'!Q869),"",'Data Input'!Q869)</f>
        <v>0</v>
      </c>
      <c r="T869" s="2" t="e">
        <f t="shared" si="54"/>
        <v>#VALUE!</v>
      </c>
      <c r="U869" s="12" t="e">
        <f t="shared" si="55"/>
        <v>#VALUE!</v>
      </c>
      <c r="V869" s="2" t="str">
        <f t="shared" si="56"/>
        <v/>
      </c>
      <c r="W869" s="12" t="str">
        <f t="shared" si="57"/>
        <v/>
      </c>
    </row>
    <row r="870" spans="1:23">
      <c r="A870">
        <f>IF(ISBLANK('Data Input'!A870),"",'Data Input'!A870)</f>
        <v>176</v>
      </c>
      <c r="B870" t="str">
        <f>IF(ISBLANK('Data Input'!B870),"",'Data Input'!B870)</f>
        <v/>
      </c>
      <c r="C870" t="str">
        <f>IF(ISBLANK('Data Input'!C870),"",'Data Input'!C870)</f>
        <v/>
      </c>
      <c r="E870" t="str">
        <f>IF(ISBLANK('Data Input'!D870),"",'Data Input'!D870)</f>
        <v/>
      </c>
      <c r="G870" t="str">
        <f>IF(ISBLANK('Data Input'!E870),"",'Data Input'!E870)</f>
        <v/>
      </c>
      <c r="H870" t="str">
        <f>IF(ISBLANK('Data Input'!F870),"",'Data Input'!F870)</f>
        <v/>
      </c>
      <c r="I870" t="str">
        <f>IF(ISBLANK('Data Input'!G870),"",'Data Input'!G870)</f>
        <v/>
      </c>
      <c r="J870" t="str">
        <f>IF(ISBLANK('Data Input'!I870),"",'Data Input'!I870)</f>
        <v/>
      </c>
      <c r="K870" t="str">
        <f>IF(ISBLANK('Data Input'!J870),"",'Data Input'!J870)</f>
        <v/>
      </c>
      <c r="L870" t="str">
        <f>IF(ISBLANK('Data Input'!K870),"",'Data Input'!K870)</f>
        <v/>
      </c>
      <c r="M870" t="str">
        <f>IF(ISBLANK('Data Input'!L870),"",'Data Input'!L870)</f>
        <v/>
      </c>
      <c r="N870" t="str">
        <f>IF(ISBLANK('Data Input'!M870),"",'Data Input'!M870)</f>
        <v/>
      </c>
      <c r="O870" t="str">
        <f>IF(ISBLANK('Data Input'!N870),"",'Data Input'!N870)</f>
        <v/>
      </c>
      <c r="P870" t="str">
        <f>IF(ISBLANK('Data Input'!O870),"",'Data Input'!O870)</f>
        <v/>
      </c>
      <c r="Q870" t="str">
        <f>IF(ISBLANK('Data Input'!P870),"",'Data Input'!P870)</f>
        <v/>
      </c>
      <c r="R870" t="b">
        <f>IF(ISBLANK('Data Input'!Q870),"",'Data Input'!Q870)</f>
        <v>0</v>
      </c>
      <c r="T870" s="2" t="e">
        <f t="shared" si="54"/>
        <v>#VALUE!</v>
      </c>
      <c r="U870" s="12" t="e">
        <f t="shared" si="55"/>
        <v>#VALUE!</v>
      </c>
      <c r="V870" s="2" t="str">
        <f t="shared" si="56"/>
        <v/>
      </c>
      <c r="W870" s="12" t="str">
        <f t="shared" si="57"/>
        <v/>
      </c>
    </row>
    <row r="871" spans="1:23">
      <c r="A871">
        <f>IF(ISBLANK('Data Input'!A871),"",'Data Input'!A871)</f>
        <v>176</v>
      </c>
      <c r="B871" t="str">
        <f>IF(ISBLANK('Data Input'!B871),"",'Data Input'!B871)</f>
        <v/>
      </c>
      <c r="C871" t="str">
        <f>IF(ISBLANK('Data Input'!C871),"",'Data Input'!C871)</f>
        <v/>
      </c>
      <c r="E871" t="str">
        <f>IF(ISBLANK('Data Input'!D871),"",'Data Input'!D871)</f>
        <v/>
      </c>
      <c r="G871" t="str">
        <f>IF(ISBLANK('Data Input'!E871),"",'Data Input'!E871)</f>
        <v/>
      </c>
      <c r="H871" t="str">
        <f>IF(ISBLANK('Data Input'!F871),"",'Data Input'!F871)</f>
        <v/>
      </c>
      <c r="I871" t="str">
        <f>IF(ISBLANK('Data Input'!G871),"",'Data Input'!G871)</f>
        <v/>
      </c>
      <c r="J871" t="str">
        <f>IF(ISBLANK('Data Input'!I871),"",'Data Input'!I871)</f>
        <v/>
      </c>
      <c r="K871" t="str">
        <f>IF(ISBLANK('Data Input'!J871),"",'Data Input'!J871)</f>
        <v/>
      </c>
      <c r="L871" t="str">
        <f>IF(ISBLANK('Data Input'!K871),"",'Data Input'!K871)</f>
        <v/>
      </c>
      <c r="M871" t="str">
        <f>IF(ISBLANK('Data Input'!L871),"",'Data Input'!L871)</f>
        <v/>
      </c>
      <c r="N871" t="str">
        <f>IF(ISBLANK('Data Input'!M871),"",'Data Input'!M871)</f>
        <v/>
      </c>
      <c r="O871" t="str">
        <f>IF(ISBLANK('Data Input'!N871),"",'Data Input'!N871)</f>
        <v/>
      </c>
      <c r="P871" t="str">
        <f>IF(ISBLANK('Data Input'!O871),"",'Data Input'!O871)</f>
        <v/>
      </c>
      <c r="Q871" t="str">
        <f>IF(ISBLANK('Data Input'!P871),"",'Data Input'!P871)</f>
        <v/>
      </c>
      <c r="R871" t="b">
        <f>IF(ISBLANK('Data Input'!Q871),"",'Data Input'!Q871)</f>
        <v>0</v>
      </c>
      <c r="T871" s="2" t="e">
        <f t="shared" si="54"/>
        <v>#VALUE!</v>
      </c>
      <c r="U871" s="12" t="e">
        <f t="shared" si="55"/>
        <v>#VALUE!</v>
      </c>
      <c r="V871" s="2" t="str">
        <f t="shared" si="56"/>
        <v/>
      </c>
      <c r="W871" s="12" t="str">
        <f t="shared" si="57"/>
        <v/>
      </c>
    </row>
    <row r="872" spans="1:23">
      <c r="A872">
        <f>IF(ISBLANK('Data Input'!A872),"",'Data Input'!A872)</f>
        <v>176</v>
      </c>
      <c r="B872" t="str">
        <f>IF(ISBLANK('Data Input'!B872),"",'Data Input'!B872)</f>
        <v/>
      </c>
      <c r="C872" t="str">
        <f>IF(ISBLANK('Data Input'!C872),"",'Data Input'!C872)</f>
        <v/>
      </c>
      <c r="E872" t="str">
        <f>IF(ISBLANK('Data Input'!D872),"",'Data Input'!D872)</f>
        <v/>
      </c>
      <c r="G872" t="str">
        <f>IF(ISBLANK('Data Input'!E872),"",'Data Input'!E872)</f>
        <v/>
      </c>
      <c r="H872" t="str">
        <f>IF(ISBLANK('Data Input'!F872),"",'Data Input'!F872)</f>
        <v/>
      </c>
      <c r="I872" t="str">
        <f>IF(ISBLANK('Data Input'!G872),"",'Data Input'!G872)</f>
        <v/>
      </c>
      <c r="J872" t="str">
        <f>IF(ISBLANK('Data Input'!I872),"",'Data Input'!I872)</f>
        <v/>
      </c>
      <c r="K872" t="str">
        <f>IF(ISBLANK('Data Input'!J872),"",'Data Input'!J872)</f>
        <v/>
      </c>
      <c r="L872" t="str">
        <f>IF(ISBLANK('Data Input'!K872),"",'Data Input'!K872)</f>
        <v/>
      </c>
      <c r="M872" t="str">
        <f>IF(ISBLANK('Data Input'!L872),"",'Data Input'!L872)</f>
        <v/>
      </c>
      <c r="N872" t="str">
        <f>IF(ISBLANK('Data Input'!M872),"",'Data Input'!M872)</f>
        <v/>
      </c>
      <c r="O872" t="str">
        <f>IF(ISBLANK('Data Input'!N872),"",'Data Input'!N872)</f>
        <v/>
      </c>
      <c r="P872" t="str">
        <f>IF(ISBLANK('Data Input'!O872),"",'Data Input'!O872)</f>
        <v/>
      </c>
      <c r="Q872" t="str">
        <f>IF(ISBLANK('Data Input'!P872),"",'Data Input'!P872)</f>
        <v/>
      </c>
      <c r="R872" t="b">
        <f>IF(ISBLANK('Data Input'!Q872),"",'Data Input'!Q872)</f>
        <v>0</v>
      </c>
      <c r="T872" s="2" t="e">
        <f t="shared" si="54"/>
        <v>#VALUE!</v>
      </c>
      <c r="U872" s="12" t="e">
        <f t="shared" si="55"/>
        <v>#VALUE!</v>
      </c>
      <c r="V872" s="2" t="str">
        <f t="shared" si="56"/>
        <v/>
      </c>
      <c r="W872" s="12" t="str">
        <f t="shared" si="57"/>
        <v/>
      </c>
    </row>
    <row r="873" spans="1:23">
      <c r="A873">
        <f>IF(ISBLANK('Data Input'!A873),"",'Data Input'!A873)</f>
        <v>176</v>
      </c>
      <c r="B873" t="str">
        <f>IF(ISBLANK('Data Input'!B873),"",'Data Input'!B873)</f>
        <v/>
      </c>
      <c r="C873" t="str">
        <f>IF(ISBLANK('Data Input'!C873),"",'Data Input'!C873)</f>
        <v/>
      </c>
      <c r="E873" t="str">
        <f>IF(ISBLANK('Data Input'!D873),"",'Data Input'!D873)</f>
        <v/>
      </c>
      <c r="G873" t="str">
        <f>IF(ISBLANK('Data Input'!E873),"",'Data Input'!E873)</f>
        <v/>
      </c>
      <c r="H873" t="str">
        <f>IF(ISBLANK('Data Input'!F873),"",'Data Input'!F873)</f>
        <v/>
      </c>
      <c r="I873" t="str">
        <f>IF(ISBLANK('Data Input'!G873),"",'Data Input'!G873)</f>
        <v/>
      </c>
      <c r="J873" t="str">
        <f>IF(ISBLANK('Data Input'!I873),"",'Data Input'!I873)</f>
        <v/>
      </c>
      <c r="K873" t="str">
        <f>IF(ISBLANK('Data Input'!J873),"",'Data Input'!J873)</f>
        <v/>
      </c>
      <c r="L873" t="str">
        <f>IF(ISBLANK('Data Input'!K873),"",'Data Input'!K873)</f>
        <v/>
      </c>
      <c r="M873" t="str">
        <f>IF(ISBLANK('Data Input'!L873),"",'Data Input'!L873)</f>
        <v/>
      </c>
      <c r="N873" t="str">
        <f>IF(ISBLANK('Data Input'!M873),"",'Data Input'!M873)</f>
        <v/>
      </c>
      <c r="O873" t="str">
        <f>IF(ISBLANK('Data Input'!N873),"",'Data Input'!N873)</f>
        <v/>
      </c>
      <c r="P873" t="str">
        <f>IF(ISBLANK('Data Input'!O873),"",'Data Input'!O873)</f>
        <v/>
      </c>
      <c r="Q873" t="str">
        <f>IF(ISBLANK('Data Input'!P873),"",'Data Input'!P873)</f>
        <v/>
      </c>
      <c r="R873" t="b">
        <f>IF(ISBLANK('Data Input'!Q873),"",'Data Input'!Q873)</f>
        <v>0</v>
      </c>
      <c r="T873" s="2" t="e">
        <f t="shared" si="54"/>
        <v>#VALUE!</v>
      </c>
      <c r="U873" s="12" t="e">
        <f t="shared" si="55"/>
        <v>#VALUE!</v>
      </c>
      <c r="V873" s="2" t="str">
        <f t="shared" si="56"/>
        <v/>
      </c>
      <c r="W873" s="12" t="str">
        <f t="shared" si="57"/>
        <v/>
      </c>
    </row>
    <row r="874" spans="1:23">
      <c r="A874">
        <f>IF(ISBLANK('Data Input'!A874),"",'Data Input'!A874)</f>
        <v>176</v>
      </c>
      <c r="B874" t="str">
        <f>IF(ISBLANK('Data Input'!B874),"",'Data Input'!B874)</f>
        <v/>
      </c>
      <c r="C874" t="str">
        <f>IF(ISBLANK('Data Input'!C874),"",'Data Input'!C874)</f>
        <v/>
      </c>
      <c r="E874" t="str">
        <f>IF(ISBLANK('Data Input'!D874),"",'Data Input'!D874)</f>
        <v/>
      </c>
      <c r="G874" t="str">
        <f>IF(ISBLANK('Data Input'!E874),"",'Data Input'!E874)</f>
        <v/>
      </c>
      <c r="H874" t="str">
        <f>IF(ISBLANK('Data Input'!F874),"",'Data Input'!F874)</f>
        <v/>
      </c>
      <c r="I874" t="str">
        <f>IF(ISBLANK('Data Input'!G874),"",'Data Input'!G874)</f>
        <v/>
      </c>
      <c r="J874" t="str">
        <f>IF(ISBLANK('Data Input'!I874),"",'Data Input'!I874)</f>
        <v/>
      </c>
      <c r="K874" t="str">
        <f>IF(ISBLANK('Data Input'!J874),"",'Data Input'!J874)</f>
        <v/>
      </c>
      <c r="L874" t="str">
        <f>IF(ISBLANK('Data Input'!K874),"",'Data Input'!K874)</f>
        <v/>
      </c>
      <c r="M874" t="str">
        <f>IF(ISBLANK('Data Input'!L874),"",'Data Input'!L874)</f>
        <v/>
      </c>
      <c r="N874" t="str">
        <f>IF(ISBLANK('Data Input'!M874),"",'Data Input'!M874)</f>
        <v/>
      </c>
      <c r="O874" t="str">
        <f>IF(ISBLANK('Data Input'!N874),"",'Data Input'!N874)</f>
        <v/>
      </c>
      <c r="P874" t="str">
        <f>IF(ISBLANK('Data Input'!O874),"",'Data Input'!O874)</f>
        <v/>
      </c>
      <c r="Q874" t="str">
        <f>IF(ISBLANK('Data Input'!P874),"",'Data Input'!P874)</f>
        <v/>
      </c>
      <c r="R874" t="b">
        <f>IF(ISBLANK('Data Input'!Q874),"",'Data Input'!Q874)</f>
        <v>0</v>
      </c>
      <c r="T874" s="2" t="e">
        <f t="shared" si="54"/>
        <v>#VALUE!</v>
      </c>
      <c r="U874" s="12" t="e">
        <f t="shared" si="55"/>
        <v>#VALUE!</v>
      </c>
      <c r="V874" s="2" t="str">
        <f t="shared" si="56"/>
        <v/>
      </c>
      <c r="W874" s="12" t="str">
        <f t="shared" si="57"/>
        <v/>
      </c>
    </row>
    <row r="875" spans="1:23">
      <c r="A875">
        <f>IF(ISBLANK('Data Input'!A875),"",'Data Input'!A875)</f>
        <v>176</v>
      </c>
      <c r="B875" t="str">
        <f>IF(ISBLANK('Data Input'!B875),"",'Data Input'!B875)</f>
        <v/>
      </c>
      <c r="C875" t="str">
        <f>IF(ISBLANK('Data Input'!C875),"",'Data Input'!C875)</f>
        <v/>
      </c>
      <c r="E875" t="str">
        <f>IF(ISBLANK('Data Input'!D875),"",'Data Input'!D875)</f>
        <v/>
      </c>
      <c r="G875" t="str">
        <f>IF(ISBLANK('Data Input'!E875),"",'Data Input'!E875)</f>
        <v/>
      </c>
      <c r="H875" t="str">
        <f>IF(ISBLANK('Data Input'!F875),"",'Data Input'!F875)</f>
        <v/>
      </c>
      <c r="I875" t="str">
        <f>IF(ISBLANK('Data Input'!G875),"",'Data Input'!G875)</f>
        <v/>
      </c>
      <c r="J875" t="str">
        <f>IF(ISBLANK('Data Input'!I875),"",'Data Input'!I875)</f>
        <v/>
      </c>
      <c r="K875" t="str">
        <f>IF(ISBLANK('Data Input'!J875),"",'Data Input'!J875)</f>
        <v/>
      </c>
      <c r="L875" t="str">
        <f>IF(ISBLANK('Data Input'!K875),"",'Data Input'!K875)</f>
        <v/>
      </c>
      <c r="M875" t="str">
        <f>IF(ISBLANK('Data Input'!L875),"",'Data Input'!L875)</f>
        <v/>
      </c>
      <c r="N875" t="str">
        <f>IF(ISBLANK('Data Input'!M875),"",'Data Input'!M875)</f>
        <v/>
      </c>
      <c r="O875" t="str">
        <f>IF(ISBLANK('Data Input'!N875),"",'Data Input'!N875)</f>
        <v/>
      </c>
      <c r="P875" t="str">
        <f>IF(ISBLANK('Data Input'!O875),"",'Data Input'!O875)</f>
        <v/>
      </c>
      <c r="Q875" t="str">
        <f>IF(ISBLANK('Data Input'!P875),"",'Data Input'!P875)</f>
        <v/>
      </c>
      <c r="R875" t="b">
        <f>IF(ISBLANK('Data Input'!Q875),"",'Data Input'!Q875)</f>
        <v>0</v>
      </c>
      <c r="T875" s="2" t="e">
        <f t="shared" si="54"/>
        <v>#VALUE!</v>
      </c>
      <c r="U875" s="12" t="e">
        <f t="shared" si="55"/>
        <v>#VALUE!</v>
      </c>
      <c r="V875" s="2" t="str">
        <f t="shared" si="56"/>
        <v/>
      </c>
      <c r="W875" s="12" t="str">
        <f t="shared" si="57"/>
        <v/>
      </c>
    </row>
    <row r="876" spans="1:23">
      <c r="A876">
        <f>IF(ISBLANK('Data Input'!A876),"",'Data Input'!A876)</f>
        <v>176</v>
      </c>
      <c r="B876" t="str">
        <f>IF(ISBLANK('Data Input'!B876),"",'Data Input'!B876)</f>
        <v/>
      </c>
      <c r="C876" t="str">
        <f>IF(ISBLANK('Data Input'!C876),"",'Data Input'!C876)</f>
        <v/>
      </c>
      <c r="E876" t="str">
        <f>IF(ISBLANK('Data Input'!D876),"",'Data Input'!D876)</f>
        <v/>
      </c>
      <c r="G876" t="str">
        <f>IF(ISBLANK('Data Input'!E876),"",'Data Input'!E876)</f>
        <v/>
      </c>
      <c r="H876" t="str">
        <f>IF(ISBLANK('Data Input'!F876),"",'Data Input'!F876)</f>
        <v/>
      </c>
      <c r="I876" t="str">
        <f>IF(ISBLANK('Data Input'!G876),"",'Data Input'!G876)</f>
        <v/>
      </c>
      <c r="J876" t="str">
        <f>IF(ISBLANK('Data Input'!I876),"",'Data Input'!I876)</f>
        <v/>
      </c>
      <c r="K876" t="str">
        <f>IF(ISBLANK('Data Input'!J876),"",'Data Input'!J876)</f>
        <v/>
      </c>
      <c r="L876" t="str">
        <f>IF(ISBLANK('Data Input'!K876),"",'Data Input'!K876)</f>
        <v/>
      </c>
      <c r="M876" t="str">
        <f>IF(ISBLANK('Data Input'!L876),"",'Data Input'!L876)</f>
        <v/>
      </c>
      <c r="N876" t="str">
        <f>IF(ISBLANK('Data Input'!M876),"",'Data Input'!M876)</f>
        <v/>
      </c>
      <c r="O876" t="str">
        <f>IF(ISBLANK('Data Input'!N876),"",'Data Input'!N876)</f>
        <v/>
      </c>
      <c r="P876" t="str">
        <f>IF(ISBLANK('Data Input'!O876),"",'Data Input'!O876)</f>
        <v/>
      </c>
      <c r="Q876" t="str">
        <f>IF(ISBLANK('Data Input'!P876),"",'Data Input'!P876)</f>
        <v/>
      </c>
      <c r="R876" t="b">
        <f>IF(ISBLANK('Data Input'!Q876),"",'Data Input'!Q876)</f>
        <v>0</v>
      </c>
      <c r="T876" s="2" t="e">
        <f t="shared" si="54"/>
        <v>#VALUE!</v>
      </c>
      <c r="U876" s="12" t="e">
        <f t="shared" si="55"/>
        <v>#VALUE!</v>
      </c>
      <c r="V876" s="2" t="str">
        <f t="shared" si="56"/>
        <v/>
      </c>
      <c r="W876" s="12" t="str">
        <f t="shared" si="57"/>
        <v/>
      </c>
    </row>
    <row r="877" spans="1:23">
      <c r="A877">
        <f>IF(ISBLANK('Data Input'!A877),"",'Data Input'!A877)</f>
        <v>176</v>
      </c>
      <c r="B877" t="str">
        <f>IF(ISBLANK('Data Input'!B877),"",'Data Input'!B877)</f>
        <v/>
      </c>
      <c r="C877" t="str">
        <f>IF(ISBLANK('Data Input'!C877),"",'Data Input'!C877)</f>
        <v/>
      </c>
      <c r="E877" t="str">
        <f>IF(ISBLANK('Data Input'!D877),"",'Data Input'!D877)</f>
        <v/>
      </c>
      <c r="G877" t="str">
        <f>IF(ISBLANK('Data Input'!E877),"",'Data Input'!E877)</f>
        <v/>
      </c>
      <c r="H877" t="str">
        <f>IF(ISBLANK('Data Input'!F877),"",'Data Input'!F877)</f>
        <v/>
      </c>
      <c r="I877" t="str">
        <f>IF(ISBLANK('Data Input'!G877),"",'Data Input'!G877)</f>
        <v/>
      </c>
      <c r="J877" t="str">
        <f>IF(ISBLANK('Data Input'!I877),"",'Data Input'!I877)</f>
        <v/>
      </c>
      <c r="K877" t="str">
        <f>IF(ISBLANK('Data Input'!J877),"",'Data Input'!J877)</f>
        <v/>
      </c>
      <c r="L877" t="str">
        <f>IF(ISBLANK('Data Input'!K877),"",'Data Input'!K877)</f>
        <v/>
      </c>
      <c r="M877" t="str">
        <f>IF(ISBLANK('Data Input'!L877),"",'Data Input'!L877)</f>
        <v/>
      </c>
      <c r="N877" t="str">
        <f>IF(ISBLANK('Data Input'!M877),"",'Data Input'!M877)</f>
        <v/>
      </c>
      <c r="O877" t="str">
        <f>IF(ISBLANK('Data Input'!N877),"",'Data Input'!N877)</f>
        <v/>
      </c>
      <c r="P877" t="str">
        <f>IF(ISBLANK('Data Input'!O877),"",'Data Input'!O877)</f>
        <v/>
      </c>
      <c r="Q877" t="str">
        <f>IF(ISBLANK('Data Input'!P877),"",'Data Input'!P877)</f>
        <v/>
      </c>
      <c r="R877" t="b">
        <f>IF(ISBLANK('Data Input'!Q877),"",'Data Input'!Q877)</f>
        <v>0</v>
      </c>
      <c r="T877" s="2" t="e">
        <f t="shared" si="54"/>
        <v>#VALUE!</v>
      </c>
      <c r="U877" s="12" t="e">
        <f t="shared" si="55"/>
        <v>#VALUE!</v>
      </c>
      <c r="V877" s="2" t="str">
        <f t="shared" si="56"/>
        <v/>
      </c>
      <c r="W877" s="12" t="str">
        <f t="shared" si="57"/>
        <v/>
      </c>
    </row>
    <row r="878" spans="1:23">
      <c r="A878">
        <f>IF(ISBLANK('Data Input'!A878),"",'Data Input'!A878)</f>
        <v>176</v>
      </c>
      <c r="B878" t="str">
        <f>IF(ISBLANK('Data Input'!B878),"",'Data Input'!B878)</f>
        <v/>
      </c>
      <c r="C878" t="str">
        <f>IF(ISBLANK('Data Input'!C878),"",'Data Input'!C878)</f>
        <v/>
      </c>
      <c r="E878" t="str">
        <f>IF(ISBLANK('Data Input'!D878),"",'Data Input'!D878)</f>
        <v/>
      </c>
      <c r="G878" t="str">
        <f>IF(ISBLANK('Data Input'!E878),"",'Data Input'!E878)</f>
        <v/>
      </c>
      <c r="H878" t="str">
        <f>IF(ISBLANK('Data Input'!F878),"",'Data Input'!F878)</f>
        <v/>
      </c>
      <c r="I878" t="str">
        <f>IF(ISBLANK('Data Input'!G878),"",'Data Input'!G878)</f>
        <v/>
      </c>
      <c r="J878" t="str">
        <f>IF(ISBLANK('Data Input'!I878),"",'Data Input'!I878)</f>
        <v/>
      </c>
      <c r="K878" t="str">
        <f>IF(ISBLANK('Data Input'!J878),"",'Data Input'!J878)</f>
        <v/>
      </c>
      <c r="L878" t="str">
        <f>IF(ISBLANK('Data Input'!K878),"",'Data Input'!K878)</f>
        <v/>
      </c>
      <c r="M878" t="str">
        <f>IF(ISBLANK('Data Input'!L878),"",'Data Input'!L878)</f>
        <v/>
      </c>
      <c r="N878" t="str">
        <f>IF(ISBLANK('Data Input'!M878),"",'Data Input'!M878)</f>
        <v/>
      </c>
      <c r="O878" t="str">
        <f>IF(ISBLANK('Data Input'!N878),"",'Data Input'!N878)</f>
        <v/>
      </c>
      <c r="P878" t="str">
        <f>IF(ISBLANK('Data Input'!O878),"",'Data Input'!O878)</f>
        <v/>
      </c>
      <c r="Q878" t="str">
        <f>IF(ISBLANK('Data Input'!P878),"",'Data Input'!P878)</f>
        <v/>
      </c>
      <c r="R878" t="b">
        <f>IF(ISBLANK('Data Input'!Q878),"",'Data Input'!Q878)</f>
        <v>0</v>
      </c>
      <c r="T878" s="2" t="e">
        <f t="shared" si="54"/>
        <v>#VALUE!</v>
      </c>
      <c r="U878" s="12" t="e">
        <f t="shared" si="55"/>
        <v>#VALUE!</v>
      </c>
      <c r="V878" s="2" t="str">
        <f t="shared" si="56"/>
        <v/>
      </c>
      <c r="W878" s="12" t="str">
        <f t="shared" si="57"/>
        <v/>
      </c>
    </row>
    <row r="879" spans="1:23">
      <c r="A879">
        <f>IF(ISBLANK('Data Input'!A879),"",'Data Input'!A879)</f>
        <v>176</v>
      </c>
      <c r="B879" t="str">
        <f>IF(ISBLANK('Data Input'!B879),"",'Data Input'!B879)</f>
        <v/>
      </c>
      <c r="C879" t="str">
        <f>IF(ISBLANK('Data Input'!C879),"",'Data Input'!C879)</f>
        <v/>
      </c>
      <c r="E879" t="str">
        <f>IF(ISBLANK('Data Input'!D879),"",'Data Input'!D879)</f>
        <v/>
      </c>
      <c r="G879" t="str">
        <f>IF(ISBLANK('Data Input'!E879),"",'Data Input'!E879)</f>
        <v/>
      </c>
      <c r="H879" t="str">
        <f>IF(ISBLANK('Data Input'!F879),"",'Data Input'!F879)</f>
        <v/>
      </c>
      <c r="I879" t="str">
        <f>IF(ISBLANK('Data Input'!G879),"",'Data Input'!G879)</f>
        <v/>
      </c>
      <c r="J879" t="str">
        <f>IF(ISBLANK('Data Input'!I879),"",'Data Input'!I879)</f>
        <v/>
      </c>
      <c r="K879" t="str">
        <f>IF(ISBLANK('Data Input'!J879),"",'Data Input'!J879)</f>
        <v/>
      </c>
      <c r="L879" t="str">
        <f>IF(ISBLANK('Data Input'!K879),"",'Data Input'!K879)</f>
        <v/>
      </c>
      <c r="M879" t="str">
        <f>IF(ISBLANK('Data Input'!L879),"",'Data Input'!L879)</f>
        <v/>
      </c>
      <c r="N879" t="str">
        <f>IF(ISBLANK('Data Input'!M879),"",'Data Input'!M879)</f>
        <v/>
      </c>
      <c r="O879" t="str">
        <f>IF(ISBLANK('Data Input'!N879),"",'Data Input'!N879)</f>
        <v/>
      </c>
      <c r="P879" t="str">
        <f>IF(ISBLANK('Data Input'!O879),"",'Data Input'!O879)</f>
        <v/>
      </c>
      <c r="Q879" t="str">
        <f>IF(ISBLANK('Data Input'!P879),"",'Data Input'!P879)</f>
        <v/>
      </c>
      <c r="R879" t="b">
        <f>IF(ISBLANK('Data Input'!Q879),"",'Data Input'!Q879)</f>
        <v>0</v>
      </c>
      <c r="T879" s="2" t="e">
        <f t="shared" si="54"/>
        <v>#VALUE!</v>
      </c>
      <c r="U879" s="12" t="e">
        <f t="shared" si="55"/>
        <v>#VALUE!</v>
      </c>
      <c r="V879" s="2" t="str">
        <f t="shared" si="56"/>
        <v/>
      </c>
      <c r="W879" s="12" t="str">
        <f t="shared" si="57"/>
        <v/>
      </c>
    </row>
    <row r="880" spans="1:23">
      <c r="A880">
        <f>IF(ISBLANK('Data Input'!A880),"",'Data Input'!A880)</f>
        <v>176</v>
      </c>
      <c r="B880" t="str">
        <f>IF(ISBLANK('Data Input'!B880),"",'Data Input'!B880)</f>
        <v/>
      </c>
      <c r="C880" t="str">
        <f>IF(ISBLANK('Data Input'!C880),"",'Data Input'!C880)</f>
        <v/>
      </c>
      <c r="E880" t="str">
        <f>IF(ISBLANK('Data Input'!D880),"",'Data Input'!D880)</f>
        <v/>
      </c>
      <c r="G880" t="str">
        <f>IF(ISBLANK('Data Input'!E880),"",'Data Input'!E880)</f>
        <v/>
      </c>
      <c r="H880" t="str">
        <f>IF(ISBLANK('Data Input'!F880),"",'Data Input'!F880)</f>
        <v/>
      </c>
      <c r="I880" t="str">
        <f>IF(ISBLANK('Data Input'!G880),"",'Data Input'!G880)</f>
        <v/>
      </c>
      <c r="J880" t="str">
        <f>IF(ISBLANK('Data Input'!I880),"",'Data Input'!I880)</f>
        <v/>
      </c>
      <c r="K880" t="str">
        <f>IF(ISBLANK('Data Input'!J880),"",'Data Input'!J880)</f>
        <v/>
      </c>
      <c r="L880" t="str">
        <f>IF(ISBLANK('Data Input'!K880),"",'Data Input'!K880)</f>
        <v/>
      </c>
      <c r="M880" t="str">
        <f>IF(ISBLANK('Data Input'!L880),"",'Data Input'!L880)</f>
        <v/>
      </c>
      <c r="N880" t="str">
        <f>IF(ISBLANK('Data Input'!M880),"",'Data Input'!M880)</f>
        <v/>
      </c>
      <c r="O880" t="str">
        <f>IF(ISBLANK('Data Input'!N880),"",'Data Input'!N880)</f>
        <v/>
      </c>
      <c r="P880" t="str">
        <f>IF(ISBLANK('Data Input'!O880),"",'Data Input'!O880)</f>
        <v/>
      </c>
      <c r="Q880" t="str">
        <f>IF(ISBLANK('Data Input'!P880),"",'Data Input'!P880)</f>
        <v/>
      </c>
      <c r="R880" t="b">
        <f>IF(ISBLANK('Data Input'!Q880),"",'Data Input'!Q880)</f>
        <v>0</v>
      </c>
      <c r="T880" s="2" t="e">
        <f t="shared" si="54"/>
        <v>#VALUE!</v>
      </c>
      <c r="U880" s="12" t="e">
        <f t="shared" si="55"/>
        <v>#VALUE!</v>
      </c>
      <c r="V880" s="2" t="str">
        <f t="shared" si="56"/>
        <v/>
      </c>
      <c r="W880" s="12" t="str">
        <f t="shared" si="57"/>
        <v/>
      </c>
    </row>
    <row r="881" spans="1:23">
      <c r="A881">
        <f>IF(ISBLANK('Data Input'!A881),"",'Data Input'!A881)</f>
        <v>176</v>
      </c>
      <c r="B881" t="str">
        <f>IF(ISBLANK('Data Input'!B881),"",'Data Input'!B881)</f>
        <v/>
      </c>
      <c r="C881" t="str">
        <f>IF(ISBLANK('Data Input'!C881),"",'Data Input'!C881)</f>
        <v/>
      </c>
      <c r="E881" t="str">
        <f>IF(ISBLANK('Data Input'!D881),"",'Data Input'!D881)</f>
        <v/>
      </c>
      <c r="G881" t="str">
        <f>IF(ISBLANK('Data Input'!E881),"",'Data Input'!E881)</f>
        <v/>
      </c>
      <c r="H881" t="str">
        <f>IF(ISBLANK('Data Input'!F881),"",'Data Input'!F881)</f>
        <v/>
      </c>
      <c r="I881" t="str">
        <f>IF(ISBLANK('Data Input'!G881),"",'Data Input'!G881)</f>
        <v/>
      </c>
      <c r="J881" t="str">
        <f>IF(ISBLANK('Data Input'!I881),"",'Data Input'!I881)</f>
        <v/>
      </c>
      <c r="K881" t="str">
        <f>IF(ISBLANK('Data Input'!J881),"",'Data Input'!J881)</f>
        <v/>
      </c>
      <c r="L881" t="str">
        <f>IF(ISBLANK('Data Input'!K881),"",'Data Input'!K881)</f>
        <v/>
      </c>
      <c r="M881" t="str">
        <f>IF(ISBLANK('Data Input'!L881),"",'Data Input'!L881)</f>
        <v/>
      </c>
      <c r="N881" t="str">
        <f>IF(ISBLANK('Data Input'!M881),"",'Data Input'!M881)</f>
        <v/>
      </c>
      <c r="O881" t="str">
        <f>IF(ISBLANK('Data Input'!N881),"",'Data Input'!N881)</f>
        <v/>
      </c>
      <c r="P881" t="str">
        <f>IF(ISBLANK('Data Input'!O881),"",'Data Input'!O881)</f>
        <v/>
      </c>
      <c r="Q881" t="str">
        <f>IF(ISBLANK('Data Input'!P881),"",'Data Input'!P881)</f>
        <v/>
      </c>
      <c r="R881" t="b">
        <f>IF(ISBLANK('Data Input'!Q881),"",'Data Input'!Q881)</f>
        <v>0</v>
      </c>
      <c r="T881" s="2" t="e">
        <f t="shared" si="54"/>
        <v>#VALUE!</v>
      </c>
      <c r="U881" s="12" t="e">
        <f t="shared" si="55"/>
        <v>#VALUE!</v>
      </c>
      <c r="V881" s="2" t="str">
        <f t="shared" si="56"/>
        <v/>
      </c>
      <c r="W881" s="12" t="str">
        <f t="shared" si="57"/>
        <v/>
      </c>
    </row>
    <row r="882" spans="1:23">
      <c r="A882">
        <f>IF(ISBLANK('Data Input'!A882),"",'Data Input'!A882)</f>
        <v>176</v>
      </c>
      <c r="B882" t="str">
        <f>IF(ISBLANK('Data Input'!B882),"",'Data Input'!B882)</f>
        <v/>
      </c>
      <c r="C882" t="str">
        <f>IF(ISBLANK('Data Input'!C882),"",'Data Input'!C882)</f>
        <v/>
      </c>
      <c r="E882" t="str">
        <f>IF(ISBLANK('Data Input'!D882),"",'Data Input'!D882)</f>
        <v/>
      </c>
      <c r="G882" t="str">
        <f>IF(ISBLANK('Data Input'!E882),"",'Data Input'!E882)</f>
        <v/>
      </c>
      <c r="H882" t="str">
        <f>IF(ISBLANK('Data Input'!F882),"",'Data Input'!F882)</f>
        <v/>
      </c>
      <c r="I882" t="str">
        <f>IF(ISBLANK('Data Input'!G882),"",'Data Input'!G882)</f>
        <v/>
      </c>
      <c r="J882" t="str">
        <f>IF(ISBLANK('Data Input'!I882),"",'Data Input'!I882)</f>
        <v/>
      </c>
      <c r="K882" t="str">
        <f>IF(ISBLANK('Data Input'!J882),"",'Data Input'!J882)</f>
        <v/>
      </c>
      <c r="L882" t="str">
        <f>IF(ISBLANK('Data Input'!K882),"",'Data Input'!K882)</f>
        <v/>
      </c>
      <c r="M882" t="str">
        <f>IF(ISBLANK('Data Input'!L882),"",'Data Input'!L882)</f>
        <v/>
      </c>
      <c r="N882" t="str">
        <f>IF(ISBLANK('Data Input'!M882),"",'Data Input'!M882)</f>
        <v/>
      </c>
      <c r="O882" t="str">
        <f>IF(ISBLANK('Data Input'!N882),"",'Data Input'!N882)</f>
        <v/>
      </c>
      <c r="P882" t="str">
        <f>IF(ISBLANK('Data Input'!O882),"",'Data Input'!O882)</f>
        <v/>
      </c>
      <c r="Q882" t="str">
        <f>IF(ISBLANK('Data Input'!P882),"",'Data Input'!P882)</f>
        <v/>
      </c>
      <c r="R882" t="b">
        <f>IF(ISBLANK('Data Input'!Q882),"",'Data Input'!Q882)</f>
        <v>0</v>
      </c>
      <c r="T882" s="2" t="e">
        <f t="shared" si="54"/>
        <v>#VALUE!</v>
      </c>
      <c r="U882" s="12" t="e">
        <f t="shared" si="55"/>
        <v>#VALUE!</v>
      </c>
      <c r="V882" s="2" t="str">
        <f t="shared" si="56"/>
        <v/>
      </c>
      <c r="W882" s="12" t="str">
        <f t="shared" si="57"/>
        <v/>
      </c>
    </row>
    <row r="883" spans="1:23">
      <c r="A883">
        <f>IF(ISBLANK('Data Input'!A883),"",'Data Input'!A883)</f>
        <v>176</v>
      </c>
      <c r="B883" t="str">
        <f>IF(ISBLANK('Data Input'!B883),"",'Data Input'!B883)</f>
        <v/>
      </c>
      <c r="C883" t="str">
        <f>IF(ISBLANK('Data Input'!C883),"",'Data Input'!C883)</f>
        <v/>
      </c>
      <c r="E883" t="str">
        <f>IF(ISBLANK('Data Input'!D883),"",'Data Input'!D883)</f>
        <v/>
      </c>
      <c r="G883" t="str">
        <f>IF(ISBLANK('Data Input'!E883),"",'Data Input'!E883)</f>
        <v/>
      </c>
      <c r="H883" t="str">
        <f>IF(ISBLANK('Data Input'!F883),"",'Data Input'!F883)</f>
        <v/>
      </c>
      <c r="I883" t="str">
        <f>IF(ISBLANK('Data Input'!G883),"",'Data Input'!G883)</f>
        <v/>
      </c>
      <c r="J883" t="str">
        <f>IF(ISBLANK('Data Input'!I883),"",'Data Input'!I883)</f>
        <v/>
      </c>
      <c r="K883" t="str">
        <f>IF(ISBLANK('Data Input'!J883),"",'Data Input'!J883)</f>
        <v/>
      </c>
      <c r="L883" t="str">
        <f>IF(ISBLANK('Data Input'!K883),"",'Data Input'!K883)</f>
        <v/>
      </c>
      <c r="M883" t="str">
        <f>IF(ISBLANK('Data Input'!L883),"",'Data Input'!L883)</f>
        <v/>
      </c>
      <c r="N883" t="str">
        <f>IF(ISBLANK('Data Input'!M883),"",'Data Input'!M883)</f>
        <v/>
      </c>
      <c r="O883" t="str">
        <f>IF(ISBLANK('Data Input'!N883),"",'Data Input'!N883)</f>
        <v/>
      </c>
      <c r="P883" t="str">
        <f>IF(ISBLANK('Data Input'!O883),"",'Data Input'!O883)</f>
        <v/>
      </c>
      <c r="Q883" t="str">
        <f>IF(ISBLANK('Data Input'!P883),"",'Data Input'!P883)</f>
        <v/>
      </c>
      <c r="R883" t="b">
        <f>IF(ISBLANK('Data Input'!Q883),"",'Data Input'!Q883)</f>
        <v>0</v>
      </c>
      <c r="T883" s="2" t="e">
        <f t="shared" si="54"/>
        <v>#VALUE!</v>
      </c>
      <c r="U883" s="12" t="e">
        <f t="shared" si="55"/>
        <v>#VALUE!</v>
      </c>
      <c r="V883" s="2" t="str">
        <f t="shared" si="56"/>
        <v/>
      </c>
      <c r="W883" s="12" t="str">
        <f t="shared" si="57"/>
        <v/>
      </c>
    </row>
    <row r="884" spans="1:23">
      <c r="A884">
        <f>IF(ISBLANK('Data Input'!A884),"",'Data Input'!A884)</f>
        <v>176</v>
      </c>
      <c r="B884" t="str">
        <f>IF(ISBLANK('Data Input'!B884),"",'Data Input'!B884)</f>
        <v/>
      </c>
      <c r="C884" t="str">
        <f>IF(ISBLANK('Data Input'!C884),"",'Data Input'!C884)</f>
        <v/>
      </c>
      <c r="E884" t="str">
        <f>IF(ISBLANK('Data Input'!D884),"",'Data Input'!D884)</f>
        <v/>
      </c>
      <c r="G884" t="str">
        <f>IF(ISBLANK('Data Input'!E884),"",'Data Input'!E884)</f>
        <v/>
      </c>
      <c r="H884" t="str">
        <f>IF(ISBLANK('Data Input'!F884),"",'Data Input'!F884)</f>
        <v/>
      </c>
      <c r="I884" t="str">
        <f>IF(ISBLANK('Data Input'!G884),"",'Data Input'!G884)</f>
        <v/>
      </c>
      <c r="J884" t="str">
        <f>IF(ISBLANK('Data Input'!I884),"",'Data Input'!I884)</f>
        <v/>
      </c>
      <c r="K884" t="str">
        <f>IF(ISBLANK('Data Input'!J884),"",'Data Input'!J884)</f>
        <v/>
      </c>
      <c r="L884" t="str">
        <f>IF(ISBLANK('Data Input'!K884),"",'Data Input'!K884)</f>
        <v/>
      </c>
      <c r="M884" t="str">
        <f>IF(ISBLANK('Data Input'!L884),"",'Data Input'!L884)</f>
        <v/>
      </c>
      <c r="N884" t="str">
        <f>IF(ISBLANK('Data Input'!M884),"",'Data Input'!M884)</f>
        <v/>
      </c>
      <c r="O884" t="str">
        <f>IF(ISBLANK('Data Input'!N884),"",'Data Input'!N884)</f>
        <v/>
      </c>
      <c r="P884" t="str">
        <f>IF(ISBLANK('Data Input'!O884),"",'Data Input'!O884)</f>
        <v/>
      </c>
      <c r="Q884" t="str">
        <f>IF(ISBLANK('Data Input'!P884),"",'Data Input'!P884)</f>
        <v/>
      </c>
      <c r="R884" t="b">
        <f>IF(ISBLANK('Data Input'!Q884),"",'Data Input'!Q884)</f>
        <v>0</v>
      </c>
      <c r="T884" s="2" t="e">
        <f t="shared" si="54"/>
        <v>#VALUE!</v>
      </c>
      <c r="U884" s="12" t="e">
        <f t="shared" si="55"/>
        <v>#VALUE!</v>
      </c>
      <c r="V884" s="2" t="str">
        <f t="shared" si="56"/>
        <v/>
      </c>
      <c r="W884" s="12" t="str">
        <f t="shared" si="57"/>
        <v/>
      </c>
    </row>
    <row r="885" spans="1:23">
      <c r="A885">
        <f>IF(ISBLANK('Data Input'!A885),"",'Data Input'!A885)</f>
        <v>176</v>
      </c>
      <c r="B885" t="str">
        <f>IF(ISBLANK('Data Input'!B885),"",'Data Input'!B885)</f>
        <v/>
      </c>
      <c r="C885" t="str">
        <f>IF(ISBLANK('Data Input'!C885),"",'Data Input'!C885)</f>
        <v/>
      </c>
      <c r="E885" t="str">
        <f>IF(ISBLANK('Data Input'!D885),"",'Data Input'!D885)</f>
        <v/>
      </c>
      <c r="G885" t="str">
        <f>IF(ISBLANK('Data Input'!E885),"",'Data Input'!E885)</f>
        <v/>
      </c>
      <c r="H885" t="str">
        <f>IF(ISBLANK('Data Input'!F885),"",'Data Input'!F885)</f>
        <v/>
      </c>
      <c r="I885" t="str">
        <f>IF(ISBLANK('Data Input'!G885),"",'Data Input'!G885)</f>
        <v/>
      </c>
      <c r="J885" t="str">
        <f>IF(ISBLANK('Data Input'!I885),"",'Data Input'!I885)</f>
        <v/>
      </c>
      <c r="K885" t="str">
        <f>IF(ISBLANK('Data Input'!J885),"",'Data Input'!J885)</f>
        <v/>
      </c>
      <c r="L885" t="str">
        <f>IF(ISBLANK('Data Input'!K885),"",'Data Input'!K885)</f>
        <v/>
      </c>
      <c r="M885" t="str">
        <f>IF(ISBLANK('Data Input'!L885),"",'Data Input'!L885)</f>
        <v/>
      </c>
      <c r="N885" t="str">
        <f>IF(ISBLANK('Data Input'!M885),"",'Data Input'!M885)</f>
        <v/>
      </c>
      <c r="O885" t="str">
        <f>IF(ISBLANK('Data Input'!N885),"",'Data Input'!N885)</f>
        <v/>
      </c>
      <c r="P885" t="str">
        <f>IF(ISBLANK('Data Input'!O885),"",'Data Input'!O885)</f>
        <v/>
      </c>
      <c r="Q885" t="str">
        <f>IF(ISBLANK('Data Input'!P885),"",'Data Input'!P885)</f>
        <v/>
      </c>
      <c r="R885" t="b">
        <f>IF(ISBLANK('Data Input'!Q885),"",'Data Input'!Q885)</f>
        <v>0</v>
      </c>
      <c r="T885" s="2" t="e">
        <f t="shared" si="54"/>
        <v>#VALUE!</v>
      </c>
      <c r="U885" s="12" t="e">
        <f t="shared" si="55"/>
        <v>#VALUE!</v>
      </c>
      <c r="V885" s="2" t="str">
        <f t="shared" si="56"/>
        <v/>
      </c>
      <c r="W885" s="12" t="str">
        <f t="shared" si="57"/>
        <v/>
      </c>
    </row>
    <row r="886" spans="1:23">
      <c r="A886">
        <f>IF(ISBLANK('Data Input'!A886),"",'Data Input'!A886)</f>
        <v>176</v>
      </c>
      <c r="B886" t="str">
        <f>IF(ISBLANK('Data Input'!B886),"",'Data Input'!B886)</f>
        <v/>
      </c>
      <c r="C886" t="str">
        <f>IF(ISBLANK('Data Input'!C886),"",'Data Input'!C886)</f>
        <v/>
      </c>
      <c r="E886" t="str">
        <f>IF(ISBLANK('Data Input'!D886),"",'Data Input'!D886)</f>
        <v/>
      </c>
      <c r="G886" t="str">
        <f>IF(ISBLANK('Data Input'!E886),"",'Data Input'!E886)</f>
        <v/>
      </c>
      <c r="H886" t="str">
        <f>IF(ISBLANK('Data Input'!F886),"",'Data Input'!F886)</f>
        <v/>
      </c>
      <c r="I886" t="str">
        <f>IF(ISBLANK('Data Input'!G886),"",'Data Input'!G886)</f>
        <v/>
      </c>
      <c r="J886" t="str">
        <f>IF(ISBLANK('Data Input'!I886),"",'Data Input'!I886)</f>
        <v/>
      </c>
      <c r="K886" t="str">
        <f>IF(ISBLANK('Data Input'!J886),"",'Data Input'!J886)</f>
        <v/>
      </c>
      <c r="L886" t="str">
        <f>IF(ISBLANK('Data Input'!K886),"",'Data Input'!K886)</f>
        <v/>
      </c>
      <c r="M886" t="str">
        <f>IF(ISBLANK('Data Input'!L886),"",'Data Input'!L886)</f>
        <v/>
      </c>
      <c r="N886" t="str">
        <f>IF(ISBLANK('Data Input'!M886),"",'Data Input'!M886)</f>
        <v/>
      </c>
      <c r="O886" t="str">
        <f>IF(ISBLANK('Data Input'!N886),"",'Data Input'!N886)</f>
        <v/>
      </c>
      <c r="P886" t="str">
        <f>IF(ISBLANK('Data Input'!O886),"",'Data Input'!O886)</f>
        <v/>
      </c>
      <c r="Q886" t="str">
        <f>IF(ISBLANK('Data Input'!P886),"",'Data Input'!P886)</f>
        <v/>
      </c>
      <c r="R886" t="b">
        <f>IF(ISBLANK('Data Input'!Q886),"",'Data Input'!Q886)</f>
        <v>0</v>
      </c>
      <c r="T886" s="2" t="e">
        <f t="shared" si="54"/>
        <v>#VALUE!</v>
      </c>
      <c r="U886" s="12" t="e">
        <f t="shared" si="55"/>
        <v>#VALUE!</v>
      </c>
      <c r="V886" s="2" t="str">
        <f t="shared" si="56"/>
        <v/>
      </c>
      <c r="W886" s="12" t="str">
        <f t="shared" si="57"/>
        <v/>
      </c>
    </row>
    <row r="887" spans="1:23">
      <c r="A887">
        <f>IF(ISBLANK('Data Input'!A887),"",'Data Input'!A887)</f>
        <v>176</v>
      </c>
      <c r="B887" t="str">
        <f>IF(ISBLANK('Data Input'!B887),"",'Data Input'!B887)</f>
        <v/>
      </c>
      <c r="C887" t="str">
        <f>IF(ISBLANK('Data Input'!C887),"",'Data Input'!C887)</f>
        <v/>
      </c>
      <c r="E887" t="str">
        <f>IF(ISBLANK('Data Input'!D887),"",'Data Input'!D887)</f>
        <v/>
      </c>
      <c r="G887" t="str">
        <f>IF(ISBLANK('Data Input'!E887),"",'Data Input'!E887)</f>
        <v/>
      </c>
      <c r="H887" t="str">
        <f>IF(ISBLANK('Data Input'!F887),"",'Data Input'!F887)</f>
        <v/>
      </c>
      <c r="I887" t="str">
        <f>IF(ISBLANK('Data Input'!G887),"",'Data Input'!G887)</f>
        <v/>
      </c>
      <c r="J887" t="str">
        <f>IF(ISBLANK('Data Input'!I887),"",'Data Input'!I887)</f>
        <v/>
      </c>
      <c r="K887" t="str">
        <f>IF(ISBLANK('Data Input'!J887),"",'Data Input'!J887)</f>
        <v/>
      </c>
      <c r="L887" t="str">
        <f>IF(ISBLANK('Data Input'!K887),"",'Data Input'!K887)</f>
        <v/>
      </c>
      <c r="M887" t="str">
        <f>IF(ISBLANK('Data Input'!L887),"",'Data Input'!L887)</f>
        <v/>
      </c>
      <c r="N887" t="str">
        <f>IF(ISBLANK('Data Input'!M887),"",'Data Input'!M887)</f>
        <v/>
      </c>
      <c r="O887" t="str">
        <f>IF(ISBLANK('Data Input'!N887),"",'Data Input'!N887)</f>
        <v/>
      </c>
      <c r="P887" t="str">
        <f>IF(ISBLANK('Data Input'!O887),"",'Data Input'!O887)</f>
        <v/>
      </c>
      <c r="Q887" t="str">
        <f>IF(ISBLANK('Data Input'!P887),"",'Data Input'!P887)</f>
        <v/>
      </c>
      <c r="R887" t="b">
        <f>IF(ISBLANK('Data Input'!Q887),"",'Data Input'!Q887)</f>
        <v>0</v>
      </c>
      <c r="T887" s="2" t="e">
        <f t="shared" si="54"/>
        <v>#VALUE!</v>
      </c>
      <c r="U887" s="12" t="e">
        <f t="shared" si="55"/>
        <v>#VALUE!</v>
      </c>
      <c r="V887" s="2" t="str">
        <f t="shared" si="56"/>
        <v/>
      </c>
      <c r="W887" s="12" t="str">
        <f t="shared" si="57"/>
        <v/>
      </c>
    </row>
    <row r="888" spans="1:23">
      <c r="A888">
        <f>IF(ISBLANK('Data Input'!A888),"",'Data Input'!A888)</f>
        <v>176</v>
      </c>
      <c r="B888" t="str">
        <f>IF(ISBLANK('Data Input'!B888),"",'Data Input'!B888)</f>
        <v/>
      </c>
      <c r="C888" t="str">
        <f>IF(ISBLANK('Data Input'!C888),"",'Data Input'!C888)</f>
        <v/>
      </c>
      <c r="E888" t="str">
        <f>IF(ISBLANK('Data Input'!D888),"",'Data Input'!D888)</f>
        <v/>
      </c>
      <c r="G888" t="str">
        <f>IF(ISBLANK('Data Input'!E888),"",'Data Input'!E888)</f>
        <v/>
      </c>
      <c r="H888" t="str">
        <f>IF(ISBLANK('Data Input'!F888),"",'Data Input'!F888)</f>
        <v/>
      </c>
      <c r="I888" t="str">
        <f>IF(ISBLANK('Data Input'!G888),"",'Data Input'!G888)</f>
        <v/>
      </c>
      <c r="J888" t="str">
        <f>IF(ISBLANK('Data Input'!I888),"",'Data Input'!I888)</f>
        <v/>
      </c>
      <c r="K888" t="str">
        <f>IF(ISBLANK('Data Input'!J888),"",'Data Input'!J888)</f>
        <v/>
      </c>
      <c r="L888" t="str">
        <f>IF(ISBLANK('Data Input'!K888),"",'Data Input'!K888)</f>
        <v/>
      </c>
      <c r="M888" t="str">
        <f>IF(ISBLANK('Data Input'!L888),"",'Data Input'!L888)</f>
        <v/>
      </c>
      <c r="N888" t="str">
        <f>IF(ISBLANK('Data Input'!M888),"",'Data Input'!M888)</f>
        <v/>
      </c>
      <c r="O888" t="str">
        <f>IF(ISBLANK('Data Input'!N888),"",'Data Input'!N888)</f>
        <v/>
      </c>
      <c r="P888" t="str">
        <f>IF(ISBLANK('Data Input'!O888),"",'Data Input'!O888)</f>
        <v/>
      </c>
      <c r="Q888" t="str">
        <f>IF(ISBLANK('Data Input'!P888),"",'Data Input'!P888)</f>
        <v/>
      </c>
      <c r="R888" t="b">
        <f>IF(ISBLANK('Data Input'!Q888),"",'Data Input'!Q888)</f>
        <v>0</v>
      </c>
      <c r="T888" s="2" t="e">
        <f t="shared" si="54"/>
        <v>#VALUE!</v>
      </c>
      <c r="U888" s="12" t="e">
        <f t="shared" si="55"/>
        <v>#VALUE!</v>
      </c>
      <c r="V888" s="2" t="str">
        <f t="shared" si="56"/>
        <v/>
      </c>
      <c r="W888" s="12" t="str">
        <f t="shared" si="57"/>
        <v/>
      </c>
    </row>
    <row r="889" spans="1:23">
      <c r="A889">
        <f>IF(ISBLANK('Data Input'!A889),"",'Data Input'!A889)</f>
        <v>176</v>
      </c>
      <c r="B889" t="str">
        <f>IF(ISBLANK('Data Input'!B889),"",'Data Input'!B889)</f>
        <v/>
      </c>
      <c r="C889" t="str">
        <f>IF(ISBLANK('Data Input'!C889),"",'Data Input'!C889)</f>
        <v/>
      </c>
      <c r="E889" t="str">
        <f>IF(ISBLANK('Data Input'!D889),"",'Data Input'!D889)</f>
        <v/>
      </c>
      <c r="G889" t="str">
        <f>IF(ISBLANK('Data Input'!E889),"",'Data Input'!E889)</f>
        <v/>
      </c>
      <c r="H889" t="str">
        <f>IF(ISBLANK('Data Input'!F889),"",'Data Input'!F889)</f>
        <v/>
      </c>
      <c r="I889" t="str">
        <f>IF(ISBLANK('Data Input'!G889),"",'Data Input'!G889)</f>
        <v/>
      </c>
      <c r="J889" t="str">
        <f>IF(ISBLANK('Data Input'!I889),"",'Data Input'!I889)</f>
        <v/>
      </c>
      <c r="K889" t="str">
        <f>IF(ISBLANK('Data Input'!J889),"",'Data Input'!J889)</f>
        <v/>
      </c>
      <c r="L889" t="str">
        <f>IF(ISBLANK('Data Input'!K889),"",'Data Input'!K889)</f>
        <v/>
      </c>
      <c r="M889" t="str">
        <f>IF(ISBLANK('Data Input'!L889),"",'Data Input'!L889)</f>
        <v/>
      </c>
      <c r="N889" t="str">
        <f>IF(ISBLANK('Data Input'!M889),"",'Data Input'!M889)</f>
        <v/>
      </c>
      <c r="O889" t="str">
        <f>IF(ISBLANK('Data Input'!N889),"",'Data Input'!N889)</f>
        <v/>
      </c>
      <c r="P889" t="str">
        <f>IF(ISBLANK('Data Input'!O889),"",'Data Input'!O889)</f>
        <v/>
      </c>
      <c r="Q889" t="str">
        <f>IF(ISBLANK('Data Input'!P889),"",'Data Input'!P889)</f>
        <v/>
      </c>
      <c r="R889" t="b">
        <f>IF(ISBLANK('Data Input'!Q889),"",'Data Input'!Q889)</f>
        <v>0</v>
      </c>
      <c r="T889" s="2" t="e">
        <f t="shared" si="54"/>
        <v>#VALUE!</v>
      </c>
      <c r="U889" s="12" t="e">
        <f t="shared" si="55"/>
        <v>#VALUE!</v>
      </c>
      <c r="V889" s="2" t="str">
        <f t="shared" si="56"/>
        <v/>
      </c>
      <c r="W889" s="12" t="str">
        <f t="shared" si="57"/>
        <v/>
      </c>
    </row>
    <row r="890" spans="1:23">
      <c r="A890">
        <f>IF(ISBLANK('Data Input'!A890),"",'Data Input'!A890)</f>
        <v>176</v>
      </c>
      <c r="B890" t="str">
        <f>IF(ISBLANK('Data Input'!B890),"",'Data Input'!B890)</f>
        <v/>
      </c>
      <c r="C890" t="str">
        <f>IF(ISBLANK('Data Input'!C890),"",'Data Input'!C890)</f>
        <v/>
      </c>
      <c r="E890" t="str">
        <f>IF(ISBLANK('Data Input'!D890),"",'Data Input'!D890)</f>
        <v/>
      </c>
      <c r="G890" t="str">
        <f>IF(ISBLANK('Data Input'!E890),"",'Data Input'!E890)</f>
        <v/>
      </c>
      <c r="H890" t="str">
        <f>IF(ISBLANK('Data Input'!F890),"",'Data Input'!F890)</f>
        <v/>
      </c>
      <c r="I890" t="str">
        <f>IF(ISBLANK('Data Input'!G890),"",'Data Input'!G890)</f>
        <v/>
      </c>
      <c r="J890" t="str">
        <f>IF(ISBLANK('Data Input'!I890),"",'Data Input'!I890)</f>
        <v/>
      </c>
      <c r="K890" t="str">
        <f>IF(ISBLANK('Data Input'!J890),"",'Data Input'!J890)</f>
        <v/>
      </c>
      <c r="L890" t="str">
        <f>IF(ISBLANK('Data Input'!K890),"",'Data Input'!K890)</f>
        <v/>
      </c>
      <c r="M890" t="str">
        <f>IF(ISBLANK('Data Input'!L890),"",'Data Input'!L890)</f>
        <v/>
      </c>
      <c r="N890" t="str">
        <f>IF(ISBLANK('Data Input'!M890),"",'Data Input'!M890)</f>
        <v/>
      </c>
      <c r="O890" t="str">
        <f>IF(ISBLANK('Data Input'!N890),"",'Data Input'!N890)</f>
        <v/>
      </c>
      <c r="P890" t="str">
        <f>IF(ISBLANK('Data Input'!O890),"",'Data Input'!O890)</f>
        <v/>
      </c>
      <c r="Q890" t="str">
        <f>IF(ISBLANK('Data Input'!P890),"",'Data Input'!P890)</f>
        <v/>
      </c>
      <c r="R890" t="b">
        <f>IF(ISBLANK('Data Input'!Q890),"",'Data Input'!Q890)</f>
        <v>0</v>
      </c>
      <c r="T890" s="2" t="e">
        <f t="shared" si="54"/>
        <v>#VALUE!</v>
      </c>
      <c r="U890" s="12" t="e">
        <f t="shared" si="55"/>
        <v>#VALUE!</v>
      </c>
      <c r="V890" s="2" t="str">
        <f t="shared" si="56"/>
        <v/>
      </c>
      <c r="W890" s="12" t="str">
        <f t="shared" si="57"/>
        <v/>
      </c>
    </row>
    <row r="891" spans="1:23">
      <c r="A891">
        <f>IF(ISBLANK('Data Input'!A891),"",'Data Input'!A891)</f>
        <v>176</v>
      </c>
      <c r="B891" t="str">
        <f>IF(ISBLANK('Data Input'!B891),"",'Data Input'!B891)</f>
        <v/>
      </c>
      <c r="C891" t="str">
        <f>IF(ISBLANK('Data Input'!C891),"",'Data Input'!C891)</f>
        <v/>
      </c>
      <c r="E891" t="str">
        <f>IF(ISBLANK('Data Input'!D891),"",'Data Input'!D891)</f>
        <v/>
      </c>
      <c r="G891" t="str">
        <f>IF(ISBLANK('Data Input'!E891),"",'Data Input'!E891)</f>
        <v/>
      </c>
      <c r="H891" t="str">
        <f>IF(ISBLANK('Data Input'!F891),"",'Data Input'!F891)</f>
        <v/>
      </c>
      <c r="I891" t="str">
        <f>IF(ISBLANK('Data Input'!G891),"",'Data Input'!G891)</f>
        <v/>
      </c>
      <c r="J891" t="str">
        <f>IF(ISBLANK('Data Input'!I891),"",'Data Input'!I891)</f>
        <v/>
      </c>
      <c r="K891" t="str">
        <f>IF(ISBLANK('Data Input'!J891),"",'Data Input'!J891)</f>
        <v/>
      </c>
      <c r="L891" t="str">
        <f>IF(ISBLANK('Data Input'!K891),"",'Data Input'!K891)</f>
        <v/>
      </c>
      <c r="M891" t="str">
        <f>IF(ISBLANK('Data Input'!L891),"",'Data Input'!L891)</f>
        <v/>
      </c>
      <c r="N891" t="str">
        <f>IF(ISBLANK('Data Input'!M891),"",'Data Input'!M891)</f>
        <v/>
      </c>
      <c r="O891" t="str">
        <f>IF(ISBLANK('Data Input'!N891),"",'Data Input'!N891)</f>
        <v/>
      </c>
      <c r="P891" t="str">
        <f>IF(ISBLANK('Data Input'!O891),"",'Data Input'!O891)</f>
        <v/>
      </c>
      <c r="Q891" t="str">
        <f>IF(ISBLANK('Data Input'!P891),"",'Data Input'!P891)</f>
        <v/>
      </c>
      <c r="R891" t="b">
        <f>IF(ISBLANK('Data Input'!Q891),"",'Data Input'!Q891)</f>
        <v>0</v>
      </c>
      <c r="T891" s="2" t="e">
        <f t="shared" si="54"/>
        <v>#VALUE!</v>
      </c>
      <c r="U891" s="12" t="e">
        <f t="shared" si="55"/>
        <v>#VALUE!</v>
      </c>
      <c r="V891" s="2" t="str">
        <f t="shared" si="56"/>
        <v/>
      </c>
      <c r="W891" s="12" t="str">
        <f t="shared" si="57"/>
        <v/>
      </c>
    </row>
    <row r="892" spans="1:23">
      <c r="A892">
        <f>IF(ISBLANK('Data Input'!A892),"",'Data Input'!A892)</f>
        <v>176</v>
      </c>
      <c r="B892" t="str">
        <f>IF(ISBLANK('Data Input'!B892),"",'Data Input'!B892)</f>
        <v/>
      </c>
      <c r="C892" t="str">
        <f>IF(ISBLANK('Data Input'!C892),"",'Data Input'!C892)</f>
        <v/>
      </c>
      <c r="E892" t="str">
        <f>IF(ISBLANK('Data Input'!D892),"",'Data Input'!D892)</f>
        <v/>
      </c>
      <c r="G892" t="str">
        <f>IF(ISBLANK('Data Input'!E892),"",'Data Input'!E892)</f>
        <v/>
      </c>
      <c r="H892" t="str">
        <f>IF(ISBLANK('Data Input'!F892),"",'Data Input'!F892)</f>
        <v/>
      </c>
      <c r="I892" t="str">
        <f>IF(ISBLANK('Data Input'!G892),"",'Data Input'!G892)</f>
        <v/>
      </c>
      <c r="J892" t="str">
        <f>IF(ISBLANK('Data Input'!I892),"",'Data Input'!I892)</f>
        <v/>
      </c>
      <c r="K892" t="str">
        <f>IF(ISBLANK('Data Input'!J892),"",'Data Input'!J892)</f>
        <v/>
      </c>
      <c r="L892" t="str">
        <f>IF(ISBLANK('Data Input'!K892),"",'Data Input'!K892)</f>
        <v/>
      </c>
      <c r="M892" t="str">
        <f>IF(ISBLANK('Data Input'!L892),"",'Data Input'!L892)</f>
        <v/>
      </c>
      <c r="N892" t="str">
        <f>IF(ISBLANK('Data Input'!M892),"",'Data Input'!M892)</f>
        <v/>
      </c>
      <c r="O892" t="str">
        <f>IF(ISBLANK('Data Input'!N892),"",'Data Input'!N892)</f>
        <v/>
      </c>
      <c r="P892" t="str">
        <f>IF(ISBLANK('Data Input'!O892),"",'Data Input'!O892)</f>
        <v/>
      </c>
      <c r="Q892" t="str">
        <f>IF(ISBLANK('Data Input'!P892),"",'Data Input'!P892)</f>
        <v/>
      </c>
      <c r="R892" t="b">
        <f>IF(ISBLANK('Data Input'!Q892),"",'Data Input'!Q892)</f>
        <v>0</v>
      </c>
      <c r="T892" s="2" t="e">
        <f t="shared" si="54"/>
        <v>#VALUE!</v>
      </c>
      <c r="U892" s="12" t="e">
        <f t="shared" si="55"/>
        <v>#VALUE!</v>
      </c>
      <c r="V892" s="2" t="str">
        <f t="shared" si="56"/>
        <v/>
      </c>
      <c r="W892" s="12" t="str">
        <f t="shared" si="57"/>
        <v/>
      </c>
    </row>
    <row r="893" spans="1:23">
      <c r="A893">
        <f>IF(ISBLANK('Data Input'!A893),"",'Data Input'!A893)</f>
        <v>176</v>
      </c>
      <c r="B893" t="str">
        <f>IF(ISBLANK('Data Input'!B893),"",'Data Input'!B893)</f>
        <v/>
      </c>
      <c r="C893" t="str">
        <f>IF(ISBLANK('Data Input'!C893),"",'Data Input'!C893)</f>
        <v/>
      </c>
      <c r="E893" t="str">
        <f>IF(ISBLANK('Data Input'!D893),"",'Data Input'!D893)</f>
        <v/>
      </c>
      <c r="G893" t="str">
        <f>IF(ISBLANK('Data Input'!E893),"",'Data Input'!E893)</f>
        <v/>
      </c>
      <c r="H893" t="str">
        <f>IF(ISBLANK('Data Input'!F893),"",'Data Input'!F893)</f>
        <v/>
      </c>
      <c r="I893" t="str">
        <f>IF(ISBLANK('Data Input'!G893),"",'Data Input'!G893)</f>
        <v/>
      </c>
      <c r="J893" t="str">
        <f>IF(ISBLANK('Data Input'!I893),"",'Data Input'!I893)</f>
        <v/>
      </c>
      <c r="K893" t="str">
        <f>IF(ISBLANK('Data Input'!J893),"",'Data Input'!J893)</f>
        <v/>
      </c>
      <c r="L893" t="str">
        <f>IF(ISBLANK('Data Input'!K893),"",'Data Input'!K893)</f>
        <v/>
      </c>
      <c r="M893" t="str">
        <f>IF(ISBLANK('Data Input'!L893),"",'Data Input'!L893)</f>
        <v/>
      </c>
      <c r="N893" t="str">
        <f>IF(ISBLANK('Data Input'!M893),"",'Data Input'!M893)</f>
        <v/>
      </c>
      <c r="O893" t="str">
        <f>IF(ISBLANK('Data Input'!N893),"",'Data Input'!N893)</f>
        <v/>
      </c>
      <c r="P893" t="str">
        <f>IF(ISBLANK('Data Input'!O893),"",'Data Input'!O893)</f>
        <v/>
      </c>
      <c r="Q893" t="str">
        <f>IF(ISBLANK('Data Input'!P893),"",'Data Input'!P893)</f>
        <v/>
      </c>
      <c r="R893" t="b">
        <f>IF(ISBLANK('Data Input'!Q893),"",'Data Input'!Q893)</f>
        <v>0</v>
      </c>
      <c r="T893" s="2" t="e">
        <f t="shared" si="54"/>
        <v>#VALUE!</v>
      </c>
      <c r="U893" s="12" t="e">
        <f t="shared" si="55"/>
        <v>#VALUE!</v>
      </c>
      <c r="V893" s="2" t="str">
        <f t="shared" si="56"/>
        <v/>
      </c>
      <c r="W893" s="12" t="str">
        <f t="shared" si="57"/>
        <v/>
      </c>
    </row>
    <row r="894" spans="1:23">
      <c r="A894">
        <f>IF(ISBLANK('Data Input'!A894),"",'Data Input'!A894)</f>
        <v>176</v>
      </c>
      <c r="B894" t="str">
        <f>IF(ISBLANK('Data Input'!B894),"",'Data Input'!B894)</f>
        <v/>
      </c>
      <c r="C894" t="str">
        <f>IF(ISBLANK('Data Input'!C894),"",'Data Input'!C894)</f>
        <v/>
      </c>
      <c r="E894" t="str">
        <f>IF(ISBLANK('Data Input'!D894),"",'Data Input'!D894)</f>
        <v/>
      </c>
      <c r="G894" t="str">
        <f>IF(ISBLANK('Data Input'!E894),"",'Data Input'!E894)</f>
        <v/>
      </c>
      <c r="H894" t="str">
        <f>IF(ISBLANK('Data Input'!F894),"",'Data Input'!F894)</f>
        <v/>
      </c>
      <c r="I894" t="str">
        <f>IF(ISBLANK('Data Input'!G894),"",'Data Input'!G894)</f>
        <v/>
      </c>
      <c r="J894" t="str">
        <f>IF(ISBLANK('Data Input'!I894),"",'Data Input'!I894)</f>
        <v/>
      </c>
      <c r="K894" t="str">
        <f>IF(ISBLANK('Data Input'!J894),"",'Data Input'!J894)</f>
        <v/>
      </c>
      <c r="L894" t="str">
        <f>IF(ISBLANK('Data Input'!K894),"",'Data Input'!K894)</f>
        <v/>
      </c>
      <c r="M894" t="str">
        <f>IF(ISBLANK('Data Input'!L894),"",'Data Input'!L894)</f>
        <v/>
      </c>
      <c r="N894" t="str">
        <f>IF(ISBLANK('Data Input'!M894),"",'Data Input'!M894)</f>
        <v/>
      </c>
      <c r="O894" t="str">
        <f>IF(ISBLANK('Data Input'!N894),"",'Data Input'!N894)</f>
        <v/>
      </c>
      <c r="P894" t="str">
        <f>IF(ISBLANK('Data Input'!O894),"",'Data Input'!O894)</f>
        <v/>
      </c>
      <c r="Q894" t="str">
        <f>IF(ISBLANK('Data Input'!P894),"",'Data Input'!P894)</f>
        <v/>
      </c>
      <c r="R894" t="b">
        <f>IF(ISBLANK('Data Input'!Q894),"",'Data Input'!Q894)</f>
        <v>0</v>
      </c>
      <c r="T894" s="2" t="e">
        <f t="shared" si="54"/>
        <v>#VALUE!</v>
      </c>
      <c r="U894" s="12" t="e">
        <f t="shared" si="55"/>
        <v>#VALUE!</v>
      </c>
      <c r="V894" s="2" t="str">
        <f t="shared" si="56"/>
        <v/>
      </c>
      <c r="W894" s="12" t="str">
        <f t="shared" si="57"/>
        <v/>
      </c>
    </row>
    <row r="895" spans="1:23">
      <c r="A895">
        <f>IF(ISBLANK('Data Input'!A895),"",'Data Input'!A895)</f>
        <v>176</v>
      </c>
      <c r="B895" t="str">
        <f>IF(ISBLANK('Data Input'!B895),"",'Data Input'!B895)</f>
        <v/>
      </c>
      <c r="C895" t="str">
        <f>IF(ISBLANK('Data Input'!C895),"",'Data Input'!C895)</f>
        <v/>
      </c>
      <c r="E895" t="str">
        <f>IF(ISBLANK('Data Input'!D895),"",'Data Input'!D895)</f>
        <v/>
      </c>
      <c r="G895" t="str">
        <f>IF(ISBLANK('Data Input'!E895),"",'Data Input'!E895)</f>
        <v/>
      </c>
      <c r="H895" t="str">
        <f>IF(ISBLANK('Data Input'!F895),"",'Data Input'!F895)</f>
        <v/>
      </c>
      <c r="I895" t="str">
        <f>IF(ISBLANK('Data Input'!G895),"",'Data Input'!G895)</f>
        <v/>
      </c>
      <c r="J895" t="str">
        <f>IF(ISBLANK('Data Input'!I895),"",'Data Input'!I895)</f>
        <v/>
      </c>
      <c r="K895" t="str">
        <f>IF(ISBLANK('Data Input'!J895),"",'Data Input'!J895)</f>
        <v/>
      </c>
      <c r="L895" t="str">
        <f>IF(ISBLANK('Data Input'!K895),"",'Data Input'!K895)</f>
        <v/>
      </c>
      <c r="M895" t="str">
        <f>IF(ISBLANK('Data Input'!L895),"",'Data Input'!L895)</f>
        <v/>
      </c>
      <c r="N895" t="str">
        <f>IF(ISBLANK('Data Input'!M895),"",'Data Input'!M895)</f>
        <v/>
      </c>
      <c r="O895" t="str">
        <f>IF(ISBLANK('Data Input'!N895),"",'Data Input'!N895)</f>
        <v/>
      </c>
      <c r="P895" t="str">
        <f>IF(ISBLANK('Data Input'!O895),"",'Data Input'!O895)</f>
        <v/>
      </c>
      <c r="Q895" t="str">
        <f>IF(ISBLANK('Data Input'!P895),"",'Data Input'!P895)</f>
        <v/>
      </c>
      <c r="R895" t="b">
        <f>IF(ISBLANK('Data Input'!Q895),"",'Data Input'!Q895)</f>
        <v>0</v>
      </c>
      <c r="T895" s="2" t="e">
        <f t="shared" si="54"/>
        <v>#VALUE!</v>
      </c>
      <c r="U895" s="12" t="e">
        <f t="shared" si="55"/>
        <v>#VALUE!</v>
      </c>
      <c r="V895" s="2" t="str">
        <f t="shared" si="56"/>
        <v/>
      </c>
      <c r="W895" s="12" t="str">
        <f t="shared" si="57"/>
        <v/>
      </c>
    </row>
    <row r="896" spans="1:23">
      <c r="A896">
        <f>IF(ISBLANK('Data Input'!A896),"",'Data Input'!A896)</f>
        <v>176</v>
      </c>
      <c r="B896" t="str">
        <f>IF(ISBLANK('Data Input'!B896),"",'Data Input'!B896)</f>
        <v/>
      </c>
      <c r="C896" t="str">
        <f>IF(ISBLANK('Data Input'!C896),"",'Data Input'!C896)</f>
        <v/>
      </c>
      <c r="E896" t="str">
        <f>IF(ISBLANK('Data Input'!D896),"",'Data Input'!D896)</f>
        <v/>
      </c>
      <c r="G896" t="str">
        <f>IF(ISBLANK('Data Input'!E896),"",'Data Input'!E896)</f>
        <v/>
      </c>
      <c r="H896" t="str">
        <f>IF(ISBLANK('Data Input'!F896),"",'Data Input'!F896)</f>
        <v/>
      </c>
      <c r="I896" t="str">
        <f>IF(ISBLANK('Data Input'!G896),"",'Data Input'!G896)</f>
        <v/>
      </c>
      <c r="J896" t="str">
        <f>IF(ISBLANK('Data Input'!I896),"",'Data Input'!I896)</f>
        <v/>
      </c>
      <c r="K896" t="str">
        <f>IF(ISBLANK('Data Input'!J896),"",'Data Input'!J896)</f>
        <v/>
      </c>
      <c r="L896" t="str">
        <f>IF(ISBLANK('Data Input'!K896),"",'Data Input'!K896)</f>
        <v/>
      </c>
      <c r="M896" t="str">
        <f>IF(ISBLANK('Data Input'!L896),"",'Data Input'!L896)</f>
        <v/>
      </c>
      <c r="N896" t="str">
        <f>IF(ISBLANK('Data Input'!M896),"",'Data Input'!M896)</f>
        <v/>
      </c>
      <c r="O896" t="str">
        <f>IF(ISBLANK('Data Input'!N896),"",'Data Input'!N896)</f>
        <v/>
      </c>
      <c r="P896" t="str">
        <f>IF(ISBLANK('Data Input'!O896),"",'Data Input'!O896)</f>
        <v/>
      </c>
      <c r="Q896" t="str">
        <f>IF(ISBLANK('Data Input'!P896),"",'Data Input'!P896)</f>
        <v/>
      </c>
      <c r="R896" t="b">
        <f>IF(ISBLANK('Data Input'!Q896),"",'Data Input'!Q896)</f>
        <v>0</v>
      </c>
      <c r="T896" s="2" t="e">
        <f t="shared" si="54"/>
        <v>#VALUE!</v>
      </c>
      <c r="U896" s="12" t="e">
        <f t="shared" si="55"/>
        <v>#VALUE!</v>
      </c>
      <c r="V896" s="2" t="str">
        <f t="shared" si="56"/>
        <v/>
      </c>
      <c r="W896" s="12" t="str">
        <f t="shared" si="57"/>
        <v/>
      </c>
    </row>
    <row r="897" spans="1:23">
      <c r="A897">
        <f>IF(ISBLANK('Data Input'!A897),"",'Data Input'!A897)</f>
        <v>176</v>
      </c>
      <c r="B897" t="str">
        <f>IF(ISBLANK('Data Input'!B897),"",'Data Input'!B897)</f>
        <v/>
      </c>
      <c r="C897" t="str">
        <f>IF(ISBLANK('Data Input'!C897),"",'Data Input'!C897)</f>
        <v/>
      </c>
      <c r="E897" t="str">
        <f>IF(ISBLANK('Data Input'!D897),"",'Data Input'!D897)</f>
        <v/>
      </c>
      <c r="G897" t="str">
        <f>IF(ISBLANK('Data Input'!E897),"",'Data Input'!E897)</f>
        <v/>
      </c>
      <c r="H897" t="str">
        <f>IF(ISBLANK('Data Input'!F897),"",'Data Input'!F897)</f>
        <v/>
      </c>
      <c r="I897" t="str">
        <f>IF(ISBLANK('Data Input'!G897),"",'Data Input'!G897)</f>
        <v/>
      </c>
      <c r="J897" t="str">
        <f>IF(ISBLANK('Data Input'!I897),"",'Data Input'!I897)</f>
        <v/>
      </c>
      <c r="K897" t="str">
        <f>IF(ISBLANK('Data Input'!J897),"",'Data Input'!J897)</f>
        <v/>
      </c>
      <c r="L897" t="str">
        <f>IF(ISBLANK('Data Input'!K897),"",'Data Input'!K897)</f>
        <v/>
      </c>
      <c r="M897" t="str">
        <f>IF(ISBLANK('Data Input'!L897),"",'Data Input'!L897)</f>
        <v/>
      </c>
      <c r="N897" t="str">
        <f>IF(ISBLANK('Data Input'!M897),"",'Data Input'!M897)</f>
        <v/>
      </c>
      <c r="O897" t="str">
        <f>IF(ISBLANK('Data Input'!N897),"",'Data Input'!N897)</f>
        <v/>
      </c>
      <c r="P897" t="str">
        <f>IF(ISBLANK('Data Input'!O897),"",'Data Input'!O897)</f>
        <v/>
      </c>
      <c r="Q897" t="str">
        <f>IF(ISBLANK('Data Input'!P897),"",'Data Input'!P897)</f>
        <v/>
      </c>
      <c r="R897" t="b">
        <f>IF(ISBLANK('Data Input'!Q897),"",'Data Input'!Q897)</f>
        <v>0</v>
      </c>
      <c r="T897" s="2" t="e">
        <f t="shared" si="54"/>
        <v>#VALUE!</v>
      </c>
      <c r="U897" s="12" t="e">
        <f t="shared" si="55"/>
        <v>#VALUE!</v>
      </c>
      <c r="V897" s="2" t="str">
        <f t="shared" si="56"/>
        <v/>
      </c>
      <c r="W897" s="12" t="str">
        <f t="shared" si="57"/>
        <v/>
      </c>
    </row>
    <row r="898" spans="1:23">
      <c r="A898">
        <f>IF(ISBLANK('Data Input'!A898),"",'Data Input'!A898)</f>
        <v>176</v>
      </c>
      <c r="B898" t="str">
        <f>IF(ISBLANK('Data Input'!B898),"",'Data Input'!B898)</f>
        <v/>
      </c>
      <c r="C898" t="str">
        <f>IF(ISBLANK('Data Input'!C898),"",'Data Input'!C898)</f>
        <v/>
      </c>
      <c r="E898" t="str">
        <f>IF(ISBLANK('Data Input'!D898),"",'Data Input'!D898)</f>
        <v/>
      </c>
      <c r="G898" t="str">
        <f>IF(ISBLANK('Data Input'!E898),"",'Data Input'!E898)</f>
        <v/>
      </c>
      <c r="H898" t="str">
        <f>IF(ISBLANK('Data Input'!F898),"",'Data Input'!F898)</f>
        <v/>
      </c>
      <c r="I898" t="str">
        <f>IF(ISBLANK('Data Input'!G898),"",'Data Input'!G898)</f>
        <v/>
      </c>
      <c r="J898" t="str">
        <f>IF(ISBLANK('Data Input'!I898),"",'Data Input'!I898)</f>
        <v/>
      </c>
      <c r="K898" t="str">
        <f>IF(ISBLANK('Data Input'!J898),"",'Data Input'!J898)</f>
        <v/>
      </c>
      <c r="L898" t="str">
        <f>IF(ISBLANK('Data Input'!K898),"",'Data Input'!K898)</f>
        <v/>
      </c>
      <c r="M898" t="str">
        <f>IF(ISBLANK('Data Input'!L898),"",'Data Input'!L898)</f>
        <v/>
      </c>
      <c r="N898" t="str">
        <f>IF(ISBLANK('Data Input'!M898),"",'Data Input'!M898)</f>
        <v/>
      </c>
      <c r="O898" t="str">
        <f>IF(ISBLANK('Data Input'!N898),"",'Data Input'!N898)</f>
        <v/>
      </c>
      <c r="P898" t="str">
        <f>IF(ISBLANK('Data Input'!O898),"",'Data Input'!O898)</f>
        <v/>
      </c>
      <c r="Q898" t="str">
        <f>IF(ISBLANK('Data Input'!P898),"",'Data Input'!P898)</f>
        <v/>
      </c>
      <c r="R898" t="b">
        <f>IF(ISBLANK('Data Input'!Q898),"",'Data Input'!Q898)</f>
        <v>0</v>
      </c>
      <c r="T898" s="2" t="e">
        <f t="shared" si="54"/>
        <v>#VALUE!</v>
      </c>
      <c r="U898" s="12" t="e">
        <f t="shared" si="55"/>
        <v>#VALUE!</v>
      </c>
      <c r="V898" s="2" t="str">
        <f t="shared" si="56"/>
        <v/>
      </c>
      <c r="W898" s="12" t="str">
        <f t="shared" si="57"/>
        <v/>
      </c>
    </row>
    <row r="899" spans="1:23">
      <c r="A899">
        <f>IF(ISBLANK('Data Input'!A899),"",'Data Input'!A899)</f>
        <v>176</v>
      </c>
      <c r="B899" t="str">
        <f>IF(ISBLANK('Data Input'!B899),"",'Data Input'!B899)</f>
        <v/>
      </c>
      <c r="C899" t="str">
        <f>IF(ISBLANK('Data Input'!C899),"",'Data Input'!C899)</f>
        <v/>
      </c>
      <c r="E899" t="str">
        <f>IF(ISBLANK('Data Input'!D899),"",'Data Input'!D899)</f>
        <v/>
      </c>
      <c r="G899" t="str">
        <f>IF(ISBLANK('Data Input'!E899),"",'Data Input'!E899)</f>
        <v/>
      </c>
      <c r="H899" t="str">
        <f>IF(ISBLANK('Data Input'!F899),"",'Data Input'!F899)</f>
        <v/>
      </c>
      <c r="I899" t="str">
        <f>IF(ISBLANK('Data Input'!G899),"",'Data Input'!G899)</f>
        <v/>
      </c>
      <c r="J899" t="str">
        <f>IF(ISBLANK('Data Input'!I899),"",'Data Input'!I899)</f>
        <v/>
      </c>
      <c r="K899" t="str">
        <f>IF(ISBLANK('Data Input'!J899),"",'Data Input'!J899)</f>
        <v/>
      </c>
      <c r="L899" t="str">
        <f>IF(ISBLANK('Data Input'!K899),"",'Data Input'!K899)</f>
        <v/>
      </c>
      <c r="M899" t="str">
        <f>IF(ISBLANK('Data Input'!L899),"",'Data Input'!L899)</f>
        <v/>
      </c>
      <c r="N899" t="str">
        <f>IF(ISBLANK('Data Input'!M899),"",'Data Input'!M899)</f>
        <v/>
      </c>
      <c r="O899" t="str">
        <f>IF(ISBLANK('Data Input'!N899),"",'Data Input'!N899)</f>
        <v/>
      </c>
      <c r="P899" t="str">
        <f>IF(ISBLANK('Data Input'!O899),"",'Data Input'!O899)</f>
        <v/>
      </c>
      <c r="Q899" t="str">
        <f>IF(ISBLANK('Data Input'!P899),"",'Data Input'!P899)</f>
        <v/>
      </c>
      <c r="R899" t="b">
        <f>IF(ISBLANK('Data Input'!Q899),"",'Data Input'!Q899)</f>
        <v>0</v>
      </c>
      <c r="T899" s="2" t="e">
        <f t="shared" ref="T899:T962" si="58">DATEVALUE(LEFT(C899,FIND(" ",C899)))</f>
        <v>#VALUE!</v>
      </c>
      <c r="U899" s="12" t="e">
        <f t="shared" ref="U899:U962" si="59">TIMEVALUE(CONCATENATE(MID(C899,FIND(" ",C899)+1,2),":",RIGHT(C899,LEN(C899)-FIND(" ",C899)-2)))</f>
        <v>#VALUE!</v>
      </c>
      <c r="V899" s="2" t="str">
        <f t="shared" si="56"/>
        <v/>
      </c>
      <c r="W899" s="12" t="str">
        <f t="shared" si="57"/>
        <v/>
      </c>
    </row>
    <row r="900" spans="1:23">
      <c r="A900">
        <f>IF(ISBLANK('Data Input'!A900),"",'Data Input'!A900)</f>
        <v>176</v>
      </c>
      <c r="B900" t="str">
        <f>IF(ISBLANK('Data Input'!B900),"",'Data Input'!B900)</f>
        <v/>
      </c>
      <c r="C900" t="str">
        <f>IF(ISBLANK('Data Input'!C900),"",'Data Input'!C900)</f>
        <v/>
      </c>
      <c r="E900" t="str">
        <f>IF(ISBLANK('Data Input'!D900),"",'Data Input'!D900)</f>
        <v/>
      </c>
      <c r="G900" t="str">
        <f>IF(ISBLANK('Data Input'!E900),"",'Data Input'!E900)</f>
        <v/>
      </c>
      <c r="H900" t="str">
        <f>IF(ISBLANK('Data Input'!F900),"",'Data Input'!F900)</f>
        <v/>
      </c>
      <c r="I900" t="str">
        <f>IF(ISBLANK('Data Input'!G900),"",'Data Input'!G900)</f>
        <v/>
      </c>
      <c r="J900" t="str">
        <f>IF(ISBLANK('Data Input'!I900),"",'Data Input'!I900)</f>
        <v/>
      </c>
      <c r="K900" t="str">
        <f>IF(ISBLANK('Data Input'!J900),"",'Data Input'!J900)</f>
        <v/>
      </c>
      <c r="L900" t="str">
        <f>IF(ISBLANK('Data Input'!K900),"",'Data Input'!K900)</f>
        <v/>
      </c>
      <c r="M900" t="str">
        <f>IF(ISBLANK('Data Input'!L900),"",'Data Input'!L900)</f>
        <v/>
      </c>
      <c r="N900" t="str">
        <f>IF(ISBLANK('Data Input'!M900),"",'Data Input'!M900)</f>
        <v/>
      </c>
      <c r="O900" t="str">
        <f>IF(ISBLANK('Data Input'!N900),"",'Data Input'!N900)</f>
        <v/>
      </c>
      <c r="P900" t="str">
        <f>IF(ISBLANK('Data Input'!O900),"",'Data Input'!O900)</f>
        <v/>
      </c>
      <c r="Q900" t="str">
        <f>IF(ISBLANK('Data Input'!P900),"",'Data Input'!P900)</f>
        <v/>
      </c>
      <c r="R900" t="b">
        <f>IF(ISBLANK('Data Input'!Q900),"",'Data Input'!Q900)</f>
        <v>0</v>
      </c>
      <c r="T900" s="2" t="e">
        <f t="shared" si="58"/>
        <v>#VALUE!</v>
      </c>
      <c r="U900" s="12" t="e">
        <f t="shared" si="59"/>
        <v>#VALUE!</v>
      </c>
      <c r="V900" s="2" t="str">
        <f t="shared" si="56"/>
        <v/>
      </c>
      <c r="W900" s="12" t="str">
        <f t="shared" si="57"/>
        <v/>
      </c>
    </row>
    <row r="901" spans="1:23">
      <c r="A901">
        <f>IF(ISBLANK('Data Input'!A901),"",'Data Input'!A901)</f>
        <v>176</v>
      </c>
      <c r="B901" t="str">
        <f>IF(ISBLANK('Data Input'!B901),"",'Data Input'!B901)</f>
        <v/>
      </c>
      <c r="C901" t="str">
        <f>IF(ISBLANK('Data Input'!C901),"",'Data Input'!C901)</f>
        <v/>
      </c>
      <c r="E901" t="str">
        <f>IF(ISBLANK('Data Input'!D901),"",'Data Input'!D901)</f>
        <v/>
      </c>
      <c r="G901" t="str">
        <f>IF(ISBLANK('Data Input'!E901),"",'Data Input'!E901)</f>
        <v/>
      </c>
      <c r="H901" t="str">
        <f>IF(ISBLANK('Data Input'!F901),"",'Data Input'!F901)</f>
        <v/>
      </c>
      <c r="I901" t="str">
        <f>IF(ISBLANK('Data Input'!G901),"",'Data Input'!G901)</f>
        <v/>
      </c>
      <c r="J901" t="str">
        <f>IF(ISBLANK('Data Input'!I901),"",'Data Input'!I901)</f>
        <v/>
      </c>
      <c r="K901" t="str">
        <f>IF(ISBLANK('Data Input'!J901),"",'Data Input'!J901)</f>
        <v/>
      </c>
      <c r="L901" t="str">
        <f>IF(ISBLANK('Data Input'!K901),"",'Data Input'!K901)</f>
        <v/>
      </c>
      <c r="M901" t="str">
        <f>IF(ISBLANK('Data Input'!L901),"",'Data Input'!L901)</f>
        <v/>
      </c>
      <c r="N901" t="str">
        <f>IF(ISBLANK('Data Input'!M901),"",'Data Input'!M901)</f>
        <v/>
      </c>
      <c r="O901" t="str">
        <f>IF(ISBLANK('Data Input'!N901),"",'Data Input'!N901)</f>
        <v/>
      </c>
      <c r="P901" t="str">
        <f>IF(ISBLANK('Data Input'!O901),"",'Data Input'!O901)</f>
        <v/>
      </c>
      <c r="Q901" t="str">
        <f>IF(ISBLANK('Data Input'!P901),"",'Data Input'!P901)</f>
        <v/>
      </c>
      <c r="R901" t="b">
        <f>IF(ISBLANK('Data Input'!Q901),"",'Data Input'!Q901)</f>
        <v>0</v>
      </c>
      <c r="T901" s="2" t="e">
        <f t="shared" si="58"/>
        <v>#VALUE!</v>
      </c>
      <c r="U901" s="12" t="e">
        <f t="shared" si="59"/>
        <v>#VALUE!</v>
      </c>
      <c r="V901" s="2" t="str">
        <f t="shared" si="56"/>
        <v/>
      </c>
      <c r="W901" s="12" t="str">
        <f t="shared" si="57"/>
        <v/>
      </c>
    </row>
    <row r="902" spans="1:23">
      <c r="A902">
        <f>IF(ISBLANK('Data Input'!A902),"",'Data Input'!A902)</f>
        <v>176</v>
      </c>
      <c r="B902" t="str">
        <f>IF(ISBLANK('Data Input'!B902),"",'Data Input'!B902)</f>
        <v/>
      </c>
      <c r="C902" t="str">
        <f>IF(ISBLANK('Data Input'!C902),"",'Data Input'!C902)</f>
        <v/>
      </c>
      <c r="E902" t="str">
        <f>IF(ISBLANK('Data Input'!D902),"",'Data Input'!D902)</f>
        <v/>
      </c>
      <c r="G902" t="str">
        <f>IF(ISBLANK('Data Input'!E902),"",'Data Input'!E902)</f>
        <v/>
      </c>
      <c r="H902" t="str">
        <f>IF(ISBLANK('Data Input'!F902),"",'Data Input'!F902)</f>
        <v/>
      </c>
      <c r="I902" t="str">
        <f>IF(ISBLANK('Data Input'!G902),"",'Data Input'!G902)</f>
        <v/>
      </c>
      <c r="J902" t="str">
        <f>IF(ISBLANK('Data Input'!I902),"",'Data Input'!I902)</f>
        <v/>
      </c>
      <c r="K902" t="str">
        <f>IF(ISBLANK('Data Input'!J902),"",'Data Input'!J902)</f>
        <v/>
      </c>
      <c r="L902" t="str">
        <f>IF(ISBLANK('Data Input'!K902),"",'Data Input'!K902)</f>
        <v/>
      </c>
      <c r="M902" t="str">
        <f>IF(ISBLANK('Data Input'!L902),"",'Data Input'!L902)</f>
        <v/>
      </c>
      <c r="N902" t="str">
        <f>IF(ISBLANK('Data Input'!M902),"",'Data Input'!M902)</f>
        <v/>
      </c>
      <c r="O902" t="str">
        <f>IF(ISBLANK('Data Input'!N902),"",'Data Input'!N902)</f>
        <v/>
      </c>
      <c r="P902" t="str">
        <f>IF(ISBLANK('Data Input'!O902),"",'Data Input'!O902)</f>
        <v/>
      </c>
      <c r="Q902" t="str">
        <f>IF(ISBLANK('Data Input'!P902),"",'Data Input'!P902)</f>
        <v/>
      </c>
      <c r="R902" t="b">
        <f>IF(ISBLANK('Data Input'!Q902),"",'Data Input'!Q902)</f>
        <v>0</v>
      </c>
      <c r="T902" s="2" t="e">
        <f t="shared" si="58"/>
        <v>#VALUE!</v>
      </c>
      <c r="U902" s="12" t="e">
        <f t="shared" si="59"/>
        <v>#VALUE!</v>
      </c>
      <c r="V902" s="2" t="str">
        <f t="shared" si="56"/>
        <v/>
      </c>
      <c r="W902" s="12" t="str">
        <f t="shared" si="57"/>
        <v/>
      </c>
    </row>
    <row r="903" spans="1:23">
      <c r="A903">
        <f>IF(ISBLANK('Data Input'!A903),"",'Data Input'!A903)</f>
        <v>176</v>
      </c>
      <c r="B903" t="str">
        <f>IF(ISBLANK('Data Input'!B903),"",'Data Input'!B903)</f>
        <v/>
      </c>
      <c r="C903" t="str">
        <f>IF(ISBLANK('Data Input'!C903),"",'Data Input'!C903)</f>
        <v/>
      </c>
      <c r="E903" t="str">
        <f>IF(ISBLANK('Data Input'!D903),"",'Data Input'!D903)</f>
        <v/>
      </c>
      <c r="G903" t="str">
        <f>IF(ISBLANK('Data Input'!E903),"",'Data Input'!E903)</f>
        <v/>
      </c>
      <c r="H903" t="str">
        <f>IF(ISBLANK('Data Input'!F903),"",'Data Input'!F903)</f>
        <v/>
      </c>
      <c r="I903" t="str">
        <f>IF(ISBLANK('Data Input'!G903),"",'Data Input'!G903)</f>
        <v/>
      </c>
      <c r="J903" t="str">
        <f>IF(ISBLANK('Data Input'!I903),"",'Data Input'!I903)</f>
        <v/>
      </c>
      <c r="K903" t="str">
        <f>IF(ISBLANK('Data Input'!J903),"",'Data Input'!J903)</f>
        <v/>
      </c>
      <c r="L903" t="str">
        <f>IF(ISBLANK('Data Input'!K903),"",'Data Input'!K903)</f>
        <v/>
      </c>
      <c r="M903" t="str">
        <f>IF(ISBLANK('Data Input'!L903),"",'Data Input'!L903)</f>
        <v/>
      </c>
      <c r="N903" t="str">
        <f>IF(ISBLANK('Data Input'!M903),"",'Data Input'!M903)</f>
        <v/>
      </c>
      <c r="O903" t="str">
        <f>IF(ISBLANK('Data Input'!N903),"",'Data Input'!N903)</f>
        <v/>
      </c>
      <c r="P903" t="str">
        <f>IF(ISBLANK('Data Input'!O903),"",'Data Input'!O903)</f>
        <v/>
      </c>
      <c r="Q903" t="str">
        <f>IF(ISBLANK('Data Input'!P903),"",'Data Input'!P903)</f>
        <v/>
      </c>
      <c r="R903" t="b">
        <f>IF(ISBLANK('Data Input'!Q903),"",'Data Input'!Q903)</f>
        <v>0</v>
      </c>
      <c r="T903" s="2" t="e">
        <f t="shared" si="58"/>
        <v>#VALUE!</v>
      </c>
      <c r="U903" s="12" t="e">
        <f t="shared" si="59"/>
        <v>#VALUE!</v>
      </c>
      <c r="V903" s="2" t="str">
        <f t="shared" ref="V903:V966" si="60">IFERROR(DATEVALUE(LEFT(E903,FIND(" ",E903))),E903)</f>
        <v/>
      </c>
      <c r="W903" s="12" t="str">
        <f t="shared" ref="W903:W966" si="61">IFERROR(TIMEVALUE(CONCATENATE(MID(E903,FIND(" ",E903)+1,2),":",RIGHT(E903,LEN(E903)-FIND(" ",E903)-2))),E903)</f>
        <v/>
      </c>
    </row>
    <row r="904" spans="1:23">
      <c r="A904">
        <f>IF(ISBLANK('Data Input'!A904),"",'Data Input'!A904)</f>
        <v>176</v>
      </c>
      <c r="B904" t="str">
        <f>IF(ISBLANK('Data Input'!B904),"",'Data Input'!B904)</f>
        <v/>
      </c>
      <c r="C904" t="str">
        <f>IF(ISBLANK('Data Input'!C904),"",'Data Input'!C904)</f>
        <v/>
      </c>
      <c r="E904" t="str">
        <f>IF(ISBLANK('Data Input'!D904),"",'Data Input'!D904)</f>
        <v/>
      </c>
      <c r="G904" t="str">
        <f>IF(ISBLANK('Data Input'!E904),"",'Data Input'!E904)</f>
        <v/>
      </c>
      <c r="H904" t="str">
        <f>IF(ISBLANK('Data Input'!F904),"",'Data Input'!F904)</f>
        <v/>
      </c>
      <c r="I904" t="str">
        <f>IF(ISBLANK('Data Input'!G904),"",'Data Input'!G904)</f>
        <v/>
      </c>
      <c r="J904" t="str">
        <f>IF(ISBLANK('Data Input'!I904),"",'Data Input'!I904)</f>
        <v/>
      </c>
      <c r="K904" t="str">
        <f>IF(ISBLANK('Data Input'!J904),"",'Data Input'!J904)</f>
        <v/>
      </c>
      <c r="L904" t="str">
        <f>IF(ISBLANK('Data Input'!K904),"",'Data Input'!K904)</f>
        <v/>
      </c>
      <c r="M904" t="str">
        <f>IF(ISBLANK('Data Input'!L904),"",'Data Input'!L904)</f>
        <v/>
      </c>
      <c r="N904" t="str">
        <f>IF(ISBLANK('Data Input'!M904),"",'Data Input'!M904)</f>
        <v/>
      </c>
      <c r="O904" t="str">
        <f>IF(ISBLANK('Data Input'!N904),"",'Data Input'!N904)</f>
        <v/>
      </c>
      <c r="P904" t="str">
        <f>IF(ISBLANK('Data Input'!O904),"",'Data Input'!O904)</f>
        <v/>
      </c>
      <c r="Q904" t="str">
        <f>IF(ISBLANK('Data Input'!P904),"",'Data Input'!P904)</f>
        <v/>
      </c>
      <c r="R904" t="b">
        <f>IF(ISBLANK('Data Input'!Q904),"",'Data Input'!Q904)</f>
        <v>0</v>
      </c>
      <c r="T904" s="2" t="e">
        <f t="shared" si="58"/>
        <v>#VALUE!</v>
      </c>
      <c r="U904" s="12" t="e">
        <f t="shared" si="59"/>
        <v>#VALUE!</v>
      </c>
      <c r="V904" s="2" t="str">
        <f t="shared" si="60"/>
        <v/>
      </c>
      <c r="W904" s="12" t="str">
        <f t="shared" si="61"/>
        <v/>
      </c>
    </row>
    <row r="905" spans="1:23">
      <c r="A905">
        <f>IF(ISBLANK('Data Input'!A905),"",'Data Input'!A905)</f>
        <v>176</v>
      </c>
      <c r="B905" t="str">
        <f>IF(ISBLANK('Data Input'!B905),"",'Data Input'!B905)</f>
        <v/>
      </c>
      <c r="C905" t="str">
        <f>IF(ISBLANK('Data Input'!C905),"",'Data Input'!C905)</f>
        <v/>
      </c>
      <c r="E905" t="str">
        <f>IF(ISBLANK('Data Input'!D905),"",'Data Input'!D905)</f>
        <v/>
      </c>
      <c r="G905" t="str">
        <f>IF(ISBLANK('Data Input'!E905),"",'Data Input'!E905)</f>
        <v/>
      </c>
      <c r="H905" t="str">
        <f>IF(ISBLANK('Data Input'!F905),"",'Data Input'!F905)</f>
        <v/>
      </c>
      <c r="I905" t="str">
        <f>IF(ISBLANK('Data Input'!G905),"",'Data Input'!G905)</f>
        <v/>
      </c>
      <c r="J905" t="str">
        <f>IF(ISBLANK('Data Input'!I905),"",'Data Input'!I905)</f>
        <v/>
      </c>
      <c r="K905" t="str">
        <f>IF(ISBLANK('Data Input'!J905),"",'Data Input'!J905)</f>
        <v/>
      </c>
      <c r="L905" t="str">
        <f>IF(ISBLANK('Data Input'!K905),"",'Data Input'!K905)</f>
        <v/>
      </c>
      <c r="M905" t="str">
        <f>IF(ISBLANK('Data Input'!L905),"",'Data Input'!L905)</f>
        <v/>
      </c>
      <c r="N905" t="str">
        <f>IF(ISBLANK('Data Input'!M905),"",'Data Input'!M905)</f>
        <v/>
      </c>
      <c r="O905" t="str">
        <f>IF(ISBLANK('Data Input'!N905),"",'Data Input'!N905)</f>
        <v/>
      </c>
      <c r="P905" t="str">
        <f>IF(ISBLANK('Data Input'!O905),"",'Data Input'!O905)</f>
        <v/>
      </c>
      <c r="Q905" t="str">
        <f>IF(ISBLANK('Data Input'!P905),"",'Data Input'!P905)</f>
        <v/>
      </c>
      <c r="R905" t="b">
        <f>IF(ISBLANK('Data Input'!Q905),"",'Data Input'!Q905)</f>
        <v>0</v>
      </c>
      <c r="T905" s="2" t="e">
        <f t="shared" si="58"/>
        <v>#VALUE!</v>
      </c>
      <c r="U905" s="12" t="e">
        <f t="shared" si="59"/>
        <v>#VALUE!</v>
      </c>
      <c r="V905" s="2" t="str">
        <f t="shared" si="60"/>
        <v/>
      </c>
      <c r="W905" s="12" t="str">
        <f t="shared" si="61"/>
        <v/>
      </c>
    </row>
    <row r="906" spans="1:23">
      <c r="A906">
        <f>IF(ISBLANK('Data Input'!A906),"",'Data Input'!A906)</f>
        <v>176</v>
      </c>
      <c r="B906" t="str">
        <f>IF(ISBLANK('Data Input'!B906),"",'Data Input'!B906)</f>
        <v/>
      </c>
      <c r="C906" t="str">
        <f>IF(ISBLANK('Data Input'!C906),"",'Data Input'!C906)</f>
        <v/>
      </c>
      <c r="E906" t="str">
        <f>IF(ISBLANK('Data Input'!D906),"",'Data Input'!D906)</f>
        <v/>
      </c>
      <c r="G906" t="str">
        <f>IF(ISBLANK('Data Input'!E906),"",'Data Input'!E906)</f>
        <v/>
      </c>
      <c r="H906" t="str">
        <f>IF(ISBLANK('Data Input'!F906),"",'Data Input'!F906)</f>
        <v/>
      </c>
      <c r="I906" t="str">
        <f>IF(ISBLANK('Data Input'!G906),"",'Data Input'!G906)</f>
        <v/>
      </c>
      <c r="J906" t="str">
        <f>IF(ISBLANK('Data Input'!I906),"",'Data Input'!I906)</f>
        <v/>
      </c>
      <c r="K906" t="str">
        <f>IF(ISBLANK('Data Input'!J906),"",'Data Input'!J906)</f>
        <v/>
      </c>
      <c r="L906" t="str">
        <f>IF(ISBLANK('Data Input'!K906),"",'Data Input'!K906)</f>
        <v/>
      </c>
      <c r="M906" t="str">
        <f>IF(ISBLANK('Data Input'!L906),"",'Data Input'!L906)</f>
        <v/>
      </c>
      <c r="N906" t="str">
        <f>IF(ISBLANK('Data Input'!M906),"",'Data Input'!M906)</f>
        <v/>
      </c>
      <c r="O906" t="str">
        <f>IF(ISBLANK('Data Input'!N906),"",'Data Input'!N906)</f>
        <v/>
      </c>
      <c r="P906" t="str">
        <f>IF(ISBLANK('Data Input'!O906),"",'Data Input'!O906)</f>
        <v/>
      </c>
      <c r="Q906" t="str">
        <f>IF(ISBLANK('Data Input'!P906),"",'Data Input'!P906)</f>
        <v/>
      </c>
      <c r="R906" t="b">
        <f>IF(ISBLANK('Data Input'!Q906),"",'Data Input'!Q906)</f>
        <v>0</v>
      </c>
      <c r="T906" s="2" t="e">
        <f t="shared" si="58"/>
        <v>#VALUE!</v>
      </c>
      <c r="U906" s="12" t="e">
        <f t="shared" si="59"/>
        <v>#VALUE!</v>
      </c>
      <c r="V906" s="2" t="str">
        <f t="shared" si="60"/>
        <v/>
      </c>
      <c r="W906" s="12" t="str">
        <f t="shared" si="61"/>
        <v/>
      </c>
    </row>
    <row r="907" spans="1:23">
      <c r="A907">
        <f>IF(ISBLANK('Data Input'!A907),"",'Data Input'!A907)</f>
        <v>176</v>
      </c>
      <c r="B907" t="str">
        <f>IF(ISBLANK('Data Input'!B907),"",'Data Input'!B907)</f>
        <v/>
      </c>
      <c r="C907" t="str">
        <f>IF(ISBLANK('Data Input'!C907),"",'Data Input'!C907)</f>
        <v/>
      </c>
      <c r="E907" t="str">
        <f>IF(ISBLANK('Data Input'!D907),"",'Data Input'!D907)</f>
        <v/>
      </c>
      <c r="G907" t="str">
        <f>IF(ISBLANK('Data Input'!E907),"",'Data Input'!E907)</f>
        <v/>
      </c>
      <c r="H907" t="str">
        <f>IF(ISBLANK('Data Input'!F907),"",'Data Input'!F907)</f>
        <v/>
      </c>
      <c r="I907" t="str">
        <f>IF(ISBLANK('Data Input'!G907),"",'Data Input'!G907)</f>
        <v/>
      </c>
      <c r="J907" t="str">
        <f>IF(ISBLANK('Data Input'!I907),"",'Data Input'!I907)</f>
        <v/>
      </c>
      <c r="K907" t="str">
        <f>IF(ISBLANK('Data Input'!J907),"",'Data Input'!J907)</f>
        <v/>
      </c>
      <c r="L907" t="str">
        <f>IF(ISBLANK('Data Input'!K907),"",'Data Input'!K907)</f>
        <v/>
      </c>
      <c r="M907" t="str">
        <f>IF(ISBLANK('Data Input'!L907),"",'Data Input'!L907)</f>
        <v/>
      </c>
      <c r="N907" t="str">
        <f>IF(ISBLANK('Data Input'!M907),"",'Data Input'!M907)</f>
        <v/>
      </c>
      <c r="O907" t="str">
        <f>IF(ISBLANK('Data Input'!N907),"",'Data Input'!N907)</f>
        <v/>
      </c>
      <c r="P907" t="str">
        <f>IF(ISBLANK('Data Input'!O907),"",'Data Input'!O907)</f>
        <v/>
      </c>
      <c r="Q907" t="str">
        <f>IF(ISBLANK('Data Input'!P907),"",'Data Input'!P907)</f>
        <v/>
      </c>
      <c r="R907" t="b">
        <f>IF(ISBLANK('Data Input'!Q907),"",'Data Input'!Q907)</f>
        <v>0</v>
      </c>
      <c r="T907" s="2" t="e">
        <f t="shared" si="58"/>
        <v>#VALUE!</v>
      </c>
      <c r="U907" s="12" t="e">
        <f t="shared" si="59"/>
        <v>#VALUE!</v>
      </c>
      <c r="V907" s="2" t="str">
        <f t="shared" si="60"/>
        <v/>
      </c>
      <c r="W907" s="12" t="str">
        <f t="shared" si="61"/>
        <v/>
      </c>
    </row>
    <row r="908" spans="1:23">
      <c r="A908">
        <f>IF(ISBLANK('Data Input'!A908),"",'Data Input'!A908)</f>
        <v>176</v>
      </c>
      <c r="B908" t="str">
        <f>IF(ISBLANK('Data Input'!B908),"",'Data Input'!B908)</f>
        <v/>
      </c>
      <c r="C908" t="str">
        <f>IF(ISBLANK('Data Input'!C908),"",'Data Input'!C908)</f>
        <v/>
      </c>
      <c r="E908" t="str">
        <f>IF(ISBLANK('Data Input'!D908),"",'Data Input'!D908)</f>
        <v/>
      </c>
      <c r="G908" t="str">
        <f>IF(ISBLANK('Data Input'!E908),"",'Data Input'!E908)</f>
        <v/>
      </c>
      <c r="H908" t="str">
        <f>IF(ISBLANK('Data Input'!F908),"",'Data Input'!F908)</f>
        <v/>
      </c>
      <c r="I908" t="str">
        <f>IF(ISBLANK('Data Input'!G908),"",'Data Input'!G908)</f>
        <v/>
      </c>
      <c r="J908" t="str">
        <f>IF(ISBLANK('Data Input'!I908),"",'Data Input'!I908)</f>
        <v/>
      </c>
      <c r="K908" t="str">
        <f>IF(ISBLANK('Data Input'!J908),"",'Data Input'!J908)</f>
        <v/>
      </c>
      <c r="L908" t="str">
        <f>IF(ISBLANK('Data Input'!K908),"",'Data Input'!K908)</f>
        <v/>
      </c>
      <c r="M908" t="str">
        <f>IF(ISBLANK('Data Input'!L908),"",'Data Input'!L908)</f>
        <v/>
      </c>
      <c r="N908" t="str">
        <f>IF(ISBLANK('Data Input'!M908),"",'Data Input'!M908)</f>
        <v/>
      </c>
      <c r="O908" t="str">
        <f>IF(ISBLANK('Data Input'!N908),"",'Data Input'!N908)</f>
        <v/>
      </c>
      <c r="P908" t="str">
        <f>IF(ISBLANK('Data Input'!O908),"",'Data Input'!O908)</f>
        <v/>
      </c>
      <c r="Q908" t="str">
        <f>IF(ISBLANK('Data Input'!P908),"",'Data Input'!P908)</f>
        <v/>
      </c>
      <c r="R908" t="b">
        <f>IF(ISBLANK('Data Input'!Q908),"",'Data Input'!Q908)</f>
        <v>0</v>
      </c>
      <c r="T908" s="2" t="e">
        <f t="shared" si="58"/>
        <v>#VALUE!</v>
      </c>
      <c r="U908" s="12" t="e">
        <f t="shared" si="59"/>
        <v>#VALUE!</v>
      </c>
      <c r="V908" s="2" t="str">
        <f t="shared" si="60"/>
        <v/>
      </c>
      <c r="W908" s="12" t="str">
        <f t="shared" si="61"/>
        <v/>
      </c>
    </row>
    <row r="909" spans="1:23">
      <c r="A909">
        <f>IF(ISBLANK('Data Input'!A909),"",'Data Input'!A909)</f>
        <v>176</v>
      </c>
      <c r="B909" t="str">
        <f>IF(ISBLANK('Data Input'!B909),"",'Data Input'!B909)</f>
        <v/>
      </c>
      <c r="C909" t="str">
        <f>IF(ISBLANK('Data Input'!C909),"",'Data Input'!C909)</f>
        <v/>
      </c>
      <c r="E909" t="str">
        <f>IF(ISBLANK('Data Input'!D909),"",'Data Input'!D909)</f>
        <v/>
      </c>
      <c r="G909" t="str">
        <f>IF(ISBLANK('Data Input'!E909),"",'Data Input'!E909)</f>
        <v/>
      </c>
      <c r="H909" t="str">
        <f>IF(ISBLANK('Data Input'!F909),"",'Data Input'!F909)</f>
        <v/>
      </c>
      <c r="I909" t="str">
        <f>IF(ISBLANK('Data Input'!G909),"",'Data Input'!G909)</f>
        <v/>
      </c>
      <c r="J909" t="str">
        <f>IF(ISBLANK('Data Input'!I909),"",'Data Input'!I909)</f>
        <v/>
      </c>
      <c r="K909" t="str">
        <f>IF(ISBLANK('Data Input'!J909),"",'Data Input'!J909)</f>
        <v/>
      </c>
      <c r="L909" t="str">
        <f>IF(ISBLANK('Data Input'!K909),"",'Data Input'!K909)</f>
        <v/>
      </c>
      <c r="M909" t="str">
        <f>IF(ISBLANK('Data Input'!L909),"",'Data Input'!L909)</f>
        <v/>
      </c>
      <c r="N909" t="str">
        <f>IF(ISBLANK('Data Input'!M909),"",'Data Input'!M909)</f>
        <v/>
      </c>
      <c r="O909" t="str">
        <f>IF(ISBLANK('Data Input'!N909),"",'Data Input'!N909)</f>
        <v/>
      </c>
      <c r="P909" t="str">
        <f>IF(ISBLANK('Data Input'!O909),"",'Data Input'!O909)</f>
        <v/>
      </c>
      <c r="Q909" t="str">
        <f>IF(ISBLANK('Data Input'!P909),"",'Data Input'!P909)</f>
        <v/>
      </c>
      <c r="R909" t="b">
        <f>IF(ISBLANK('Data Input'!Q909),"",'Data Input'!Q909)</f>
        <v>0</v>
      </c>
      <c r="T909" s="2" t="e">
        <f t="shared" si="58"/>
        <v>#VALUE!</v>
      </c>
      <c r="U909" s="12" t="e">
        <f t="shared" si="59"/>
        <v>#VALUE!</v>
      </c>
      <c r="V909" s="2" t="str">
        <f t="shared" si="60"/>
        <v/>
      </c>
      <c r="W909" s="12" t="str">
        <f t="shared" si="61"/>
        <v/>
      </c>
    </row>
    <row r="910" spans="1:23">
      <c r="A910">
        <f>IF(ISBLANK('Data Input'!A910),"",'Data Input'!A910)</f>
        <v>176</v>
      </c>
      <c r="B910" t="str">
        <f>IF(ISBLANK('Data Input'!B910),"",'Data Input'!B910)</f>
        <v/>
      </c>
      <c r="C910" t="str">
        <f>IF(ISBLANK('Data Input'!C910),"",'Data Input'!C910)</f>
        <v/>
      </c>
      <c r="E910" t="str">
        <f>IF(ISBLANK('Data Input'!D910),"",'Data Input'!D910)</f>
        <v/>
      </c>
      <c r="G910" t="str">
        <f>IF(ISBLANK('Data Input'!E910),"",'Data Input'!E910)</f>
        <v/>
      </c>
      <c r="H910" t="str">
        <f>IF(ISBLANK('Data Input'!F910),"",'Data Input'!F910)</f>
        <v/>
      </c>
      <c r="I910" t="str">
        <f>IF(ISBLANK('Data Input'!G910),"",'Data Input'!G910)</f>
        <v/>
      </c>
      <c r="J910" t="str">
        <f>IF(ISBLANK('Data Input'!I910),"",'Data Input'!I910)</f>
        <v/>
      </c>
      <c r="K910" t="str">
        <f>IF(ISBLANK('Data Input'!J910),"",'Data Input'!J910)</f>
        <v/>
      </c>
      <c r="L910" t="str">
        <f>IF(ISBLANK('Data Input'!K910),"",'Data Input'!K910)</f>
        <v/>
      </c>
      <c r="M910" t="str">
        <f>IF(ISBLANK('Data Input'!L910),"",'Data Input'!L910)</f>
        <v/>
      </c>
      <c r="N910" t="str">
        <f>IF(ISBLANK('Data Input'!M910),"",'Data Input'!M910)</f>
        <v/>
      </c>
      <c r="O910" t="str">
        <f>IF(ISBLANK('Data Input'!N910),"",'Data Input'!N910)</f>
        <v/>
      </c>
      <c r="P910" t="str">
        <f>IF(ISBLANK('Data Input'!O910),"",'Data Input'!O910)</f>
        <v/>
      </c>
      <c r="Q910" t="str">
        <f>IF(ISBLANK('Data Input'!P910),"",'Data Input'!P910)</f>
        <v/>
      </c>
      <c r="R910" t="b">
        <f>IF(ISBLANK('Data Input'!Q910),"",'Data Input'!Q910)</f>
        <v>0</v>
      </c>
      <c r="T910" s="2" t="e">
        <f t="shared" si="58"/>
        <v>#VALUE!</v>
      </c>
      <c r="U910" s="12" t="e">
        <f t="shared" si="59"/>
        <v>#VALUE!</v>
      </c>
      <c r="V910" s="2" t="str">
        <f t="shared" si="60"/>
        <v/>
      </c>
      <c r="W910" s="12" t="str">
        <f t="shared" si="61"/>
        <v/>
      </c>
    </row>
    <row r="911" spans="1:23">
      <c r="A911">
        <f>IF(ISBLANK('Data Input'!A911),"",'Data Input'!A911)</f>
        <v>176</v>
      </c>
      <c r="B911" t="str">
        <f>IF(ISBLANK('Data Input'!B911),"",'Data Input'!B911)</f>
        <v/>
      </c>
      <c r="C911" t="str">
        <f>IF(ISBLANK('Data Input'!C911),"",'Data Input'!C911)</f>
        <v/>
      </c>
      <c r="E911" t="str">
        <f>IF(ISBLANK('Data Input'!D911),"",'Data Input'!D911)</f>
        <v/>
      </c>
      <c r="G911" t="str">
        <f>IF(ISBLANK('Data Input'!E911),"",'Data Input'!E911)</f>
        <v/>
      </c>
      <c r="H911" t="str">
        <f>IF(ISBLANK('Data Input'!F911),"",'Data Input'!F911)</f>
        <v/>
      </c>
      <c r="I911" t="str">
        <f>IF(ISBLANK('Data Input'!G911),"",'Data Input'!G911)</f>
        <v/>
      </c>
      <c r="J911" t="str">
        <f>IF(ISBLANK('Data Input'!I911),"",'Data Input'!I911)</f>
        <v/>
      </c>
      <c r="K911" t="str">
        <f>IF(ISBLANK('Data Input'!J911),"",'Data Input'!J911)</f>
        <v/>
      </c>
      <c r="L911" t="str">
        <f>IF(ISBLANK('Data Input'!K911),"",'Data Input'!K911)</f>
        <v/>
      </c>
      <c r="M911" t="str">
        <f>IF(ISBLANK('Data Input'!L911),"",'Data Input'!L911)</f>
        <v/>
      </c>
      <c r="N911" t="str">
        <f>IF(ISBLANK('Data Input'!M911),"",'Data Input'!M911)</f>
        <v/>
      </c>
      <c r="O911" t="str">
        <f>IF(ISBLANK('Data Input'!N911),"",'Data Input'!N911)</f>
        <v/>
      </c>
      <c r="P911" t="str">
        <f>IF(ISBLANK('Data Input'!O911),"",'Data Input'!O911)</f>
        <v/>
      </c>
      <c r="Q911" t="str">
        <f>IF(ISBLANK('Data Input'!P911),"",'Data Input'!P911)</f>
        <v/>
      </c>
      <c r="R911" t="b">
        <f>IF(ISBLANK('Data Input'!Q911),"",'Data Input'!Q911)</f>
        <v>0</v>
      </c>
      <c r="T911" s="2" t="e">
        <f t="shared" si="58"/>
        <v>#VALUE!</v>
      </c>
      <c r="U911" s="12" t="e">
        <f t="shared" si="59"/>
        <v>#VALUE!</v>
      </c>
      <c r="V911" s="2" t="str">
        <f t="shared" si="60"/>
        <v/>
      </c>
      <c r="W911" s="12" t="str">
        <f t="shared" si="61"/>
        <v/>
      </c>
    </row>
    <row r="912" spans="1:23">
      <c r="A912">
        <f>IF(ISBLANK('Data Input'!A912),"",'Data Input'!A912)</f>
        <v>176</v>
      </c>
      <c r="B912" t="str">
        <f>IF(ISBLANK('Data Input'!B912),"",'Data Input'!B912)</f>
        <v/>
      </c>
      <c r="C912" t="str">
        <f>IF(ISBLANK('Data Input'!C912),"",'Data Input'!C912)</f>
        <v/>
      </c>
      <c r="E912" t="str">
        <f>IF(ISBLANK('Data Input'!D912),"",'Data Input'!D912)</f>
        <v/>
      </c>
      <c r="G912" t="str">
        <f>IF(ISBLANK('Data Input'!E912),"",'Data Input'!E912)</f>
        <v/>
      </c>
      <c r="H912" t="str">
        <f>IF(ISBLANK('Data Input'!F912),"",'Data Input'!F912)</f>
        <v/>
      </c>
      <c r="I912" t="str">
        <f>IF(ISBLANK('Data Input'!G912),"",'Data Input'!G912)</f>
        <v/>
      </c>
      <c r="J912" t="str">
        <f>IF(ISBLANK('Data Input'!I912),"",'Data Input'!I912)</f>
        <v/>
      </c>
      <c r="K912" t="str">
        <f>IF(ISBLANK('Data Input'!J912),"",'Data Input'!J912)</f>
        <v/>
      </c>
      <c r="L912" t="str">
        <f>IF(ISBLANK('Data Input'!K912),"",'Data Input'!K912)</f>
        <v/>
      </c>
      <c r="M912" t="str">
        <f>IF(ISBLANK('Data Input'!L912),"",'Data Input'!L912)</f>
        <v/>
      </c>
      <c r="N912" t="str">
        <f>IF(ISBLANK('Data Input'!M912),"",'Data Input'!M912)</f>
        <v/>
      </c>
      <c r="O912" t="str">
        <f>IF(ISBLANK('Data Input'!N912),"",'Data Input'!N912)</f>
        <v/>
      </c>
      <c r="P912" t="str">
        <f>IF(ISBLANK('Data Input'!O912),"",'Data Input'!O912)</f>
        <v/>
      </c>
      <c r="Q912" t="str">
        <f>IF(ISBLANK('Data Input'!P912),"",'Data Input'!P912)</f>
        <v/>
      </c>
      <c r="R912" t="b">
        <f>IF(ISBLANK('Data Input'!Q912),"",'Data Input'!Q912)</f>
        <v>0</v>
      </c>
      <c r="T912" s="2" t="e">
        <f t="shared" si="58"/>
        <v>#VALUE!</v>
      </c>
      <c r="U912" s="12" t="e">
        <f t="shared" si="59"/>
        <v>#VALUE!</v>
      </c>
      <c r="V912" s="2" t="str">
        <f t="shared" si="60"/>
        <v/>
      </c>
      <c r="W912" s="12" t="str">
        <f t="shared" si="61"/>
        <v/>
      </c>
    </row>
    <row r="913" spans="1:23">
      <c r="A913">
        <f>IF(ISBLANK('Data Input'!A913),"",'Data Input'!A913)</f>
        <v>176</v>
      </c>
      <c r="B913" t="str">
        <f>IF(ISBLANK('Data Input'!B913),"",'Data Input'!B913)</f>
        <v/>
      </c>
      <c r="C913" t="str">
        <f>IF(ISBLANK('Data Input'!C913),"",'Data Input'!C913)</f>
        <v/>
      </c>
      <c r="E913" t="str">
        <f>IF(ISBLANK('Data Input'!D913),"",'Data Input'!D913)</f>
        <v/>
      </c>
      <c r="G913" t="str">
        <f>IF(ISBLANK('Data Input'!E913),"",'Data Input'!E913)</f>
        <v/>
      </c>
      <c r="H913" t="str">
        <f>IF(ISBLANK('Data Input'!F913),"",'Data Input'!F913)</f>
        <v/>
      </c>
      <c r="I913" t="str">
        <f>IF(ISBLANK('Data Input'!G913),"",'Data Input'!G913)</f>
        <v/>
      </c>
      <c r="J913" t="str">
        <f>IF(ISBLANK('Data Input'!I913),"",'Data Input'!I913)</f>
        <v/>
      </c>
      <c r="K913" t="str">
        <f>IF(ISBLANK('Data Input'!J913),"",'Data Input'!J913)</f>
        <v/>
      </c>
      <c r="L913" t="str">
        <f>IF(ISBLANK('Data Input'!K913),"",'Data Input'!K913)</f>
        <v/>
      </c>
      <c r="M913" t="str">
        <f>IF(ISBLANK('Data Input'!L913),"",'Data Input'!L913)</f>
        <v/>
      </c>
      <c r="N913" t="str">
        <f>IF(ISBLANK('Data Input'!M913),"",'Data Input'!M913)</f>
        <v/>
      </c>
      <c r="O913" t="str">
        <f>IF(ISBLANK('Data Input'!N913),"",'Data Input'!N913)</f>
        <v/>
      </c>
      <c r="P913" t="str">
        <f>IF(ISBLANK('Data Input'!O913),"",'Data Input'!O913)</f>
        <v/>
      </c>
      <c r="Q913" t="str">
        <f>IF(ISBLANK('Data Input'!P913),"",'Data Input'!P913)</f>
        <v/>
      </c>
      <c r="R913" t="b">
        <f>IF(ISBLANK('Data Input'!Q913),"",'Data Input'!Q913)</f>
        <v>0</v>
      </c>
      <c r="T913" s="2" t="e">
        <f t="shared" si="58"/>
        <v>#VALUE!</v>
      </c>
      <c r="U913" s="12" t="e">
        <f t="shared" si="59"/>
        <v>#VALUE!</v>
      </c>
      <c r="V913" s="2" t="str">
        <f t="shared" si="60"/>
        <v/>
      </c>
      <c r="W913" s="12" t="str">
        <f t="shared" si="61"/>
        <v/>
      </c>
    </row>
    <row r="914" spans="1:23">
      <c r="A914">
        <f>IF(ISBLANK('Data Input'!A914),"",'Data Input'!A914)</f>
        <v>176</v>
      </c>
      <c r="B914" t="str">
        <f>IF(ISBLANK('Data Input'!B914),"",'Data Input'!B914)</f>
        <v/>
      </c>
      <c r="C914" t="str">
        <f>IF(ISBLANK('Data Input'!C914),"",'Data Input'!C914)</f>
        <v/>
      </c>
      <c r="E914" t="str">
        <f>IF(ISBLANK('Data Input'!D914),"",'Data Input'!D914)</f>
        <v/>
      </c>
      <c r="G914" t="str">
        <f>IF(ISBLANK('Data Input'!E914),"",'Data Input'!E914)</f>
        <v/>
      </c>
      <c r="H914" t="str">
        <f>IF(ISBLANK('Data Input'!F914),"",'Data Input'!F914)</f>
        <v/>
      </c>
      <c r="I914" t="str">
        <f>IF(ISBLANK('Data Input'!G914),"",'Data Input'!G914)</f>
        <v/>
      </c>
      <c r="J914" t="str">
        <f>IF(ISBLANK('Data Input'!I914),"",'Data Input'!I914)</f>
        <v/>
      </c>
      <c r="K914" t="str">
        <f>IF(ISBLANK('Data Input'!J914),"",'Data Input'!J914)</f>
        <v/>
      </c>
      <c r="L914" t="str">
        <f>IF(ISBLANK('Data Input'!K914),"",'Data Input'!K914)</f>
        <v/>
      </c>
      <c r="M914" t="str">
        <f>IF(ISBLANK('Data Input'!L914),"",'Data Input'!L914)</f>
        <v/>
      </c>
      <c r="N914" t="str">
        <f>IF(ISBLANK('Data Input'!M914),"",'Data Input'!M914)</f>
        <v/>
      </c>
      <c r="O914" t="str">
        <f>IF(ISBLANK('Data Input'!N914),"",'Data Input'!N914)</f>
        <v/>
      </c>
      <c r="P914" t="str">
        <f>IF(ISBLANK('Data Input'!O914),"",'Data Input'!O914)</f>
        <v/>
      </c>
      <c r="Q914" t="str">
        <f>IF(ISBLANK('Data Input'!P914),"",'Data Input'!P914)</f>
        <v/>
      </c>
      <c r="R914" t="b">
        <f>IF(ISBLANK('Data Input'!Q914),"",'Data Input'!Q914)</f>
        <v>0</v>
      </c>
      <c r="T914" s="2" t="e">
        <f t="shared" si="58"/>
        <v>#VALUE!</v>
      </c>
      <c r="U914" s="12" t="e">
        <f t="shared" si="59"/>
        <v>#VALUE!</v>
      </c>
      <c r="V914" s="2" t="str">
        <f t="shared" si="60"/>
        <v/>
      </c>
      <c r="W914" s="12" t="str">
        <f t="shared" si="61"/>
        <v/>
      </c>
    </row>
    <row r="915" spans="1:23">
      <c r="A915">
        <f>IF(ISBLANK('Data Input'!A915),"",'Data Input'!A915)</f>
        <v>176</v>
      </c>
      <c r="B915" t="str">
        <f>IF(ISBLANK('Data Input'!B915),"",'Data Input'!B915)</f>
        <v/>
      </c>
      <c r="C915" t="str">
        <f>IF(ISBLANK('Data Input'!C915),"",'Data Input'!C915)</f>
        <v/>
      </c>
      <c r="E915" t="str">
        <f>IF(ISBLANK('Data Input'!D915),"",'Data Input'!D915)</f>
        <v/>
      </c>
      <c r="G915" t="str">
        <f>IF(ISBLANK('Data Input'!E915),"",'Data Input'!E915)</f>
        <v/>
      </c>
      <c r="H915" t="str">
        <f>IF(ISBLANK('Data Input'!F915),"",'Data Input'!F915)</f>
        <v/>
      </c>
      <c r="I915" t="str">
        <f>IF(ISBLANK('Data Input'!G915),"",'Data Input'!G915)</f>
        <v/>
      </c>
      <c r="J915" t="str">
        <f>IF(ISBLANK('Data Input'!I915),"",'Data Input'!I915)</f>
        <v/>
      </c>
      <c r="K915" t="str">
        <f>IF(ISBLANK('Data Input'!J915),"",'Data Input'!J915)</f>
        <v/>
      </c>
      <c r="L915" t="str">
        <f>IF(ISBLANK('Data Input'!K915),"",'Data Input'!K915)</f>
        <v/>
      </c>
      <c r="M915" t="str">
        <f>IF(ISBLANK('Data Input'!L915),"",'Data Input'!L915)</f>
        <v/>
      </c>
      <c r="N915" t="str">
        <f>IF(ISBLANK('Data Input'!M915),"",'Data Input'!M915)</f>
        <v/>
      </c>
      <c r="O915" t="str">
        <f>IF(ISBLANK('Data Input'!N915),"",'Data Input'!N915)</f>
        <v/>
      </c>
      <c r="P915" t="str">
        <f>IF(ISBLANK('Data Input'!O915),"",'Data Input'!O915)</f>
        <v/>
      </c>
      <c r="Q915" t="str">
        <f>IF(ISBLANK('Data Input'!P915),"",'Data Input'!P915)</f>
        <v/>
      </c>
      <c r="R915" t="b">
        <f>IF(ISBLANK('Data Input'!Q915),"",'Data Input'!Q915)</f>
        <v>0</v>
      </c>
      <c r="T915" s="2" t="e">
        <f t="shared" si="58"/>
        <v>#VALUE!</v>
      </c>
      <c r="U915" s="12" t="e">
        <f t="shared" si="59"/>
        <v>#VALUE!</v>
      </c>
      <c r="V915" s="2" t="str">
        <f t="shared" si="60"/>
        <v/>
      </c>
      <c r="W915" s="12" t="str">
        <f t="shared" si="61"/>
        <v/>
      </c>
    </row>
    <row r="916" spans="1:23">
      <c r="A916">
        <f>IF(ISBLANK('Data Input'!A916),"",'Data Input'!A916)</f>
        <v>176</v>
      </c>
      <c r="B916" t="str">
        <f>IF(ISBLANK('Data Input'!B916),"",'Data Input'!B916)</f>
        <v/>
      </c>
      <c r="C916" t="str">
        <f>IF(ISBLANK('Data Input'!C916),"",'Data Input'!C916)</f>
        <v/>
      </c>
      <c r="E916" t="str">
        <f>IF(ISBLANK('Data Input'!D916),"",'Data Input'!D916)</f>
        <v/>
      </c>
      <c r="G916" t="str">
        <f>IF(ISBLANK('Data Input'!E916),"",'Data Input'!E916)</f>
        <v/>
      </c>
      <c r="H916" t="str">
        <f>IF(ISBLANK('Data Input'!F916),"",'Data Input'!F916)</f>
        <v/>
      </c>
      <c r="I916" t="str">
        <f>IF(ISBLANK('Data Input'!G916),"",'Data Input'!G916)</f>
        <v/>
      </c>
      <c r="J916" t="str">
        <f>IF(ISBLANK('Data Input'!I916),"",'Data Input'!I916)</f>
        <v/>
      </c>
      <c r="K916" t="str">
        <f>IF(ISBLANK('Data Input'!J916),"",'Data Input'!J916)</f>
        <v/>
      </c>
      <c r="L916" t="str">
        <f>IF(ISBLANK('Data Input'!K916),"",'Data Input'!K916)</f>
        <v/>
      </c>
      <c r="M916" t="str">
        <f>IF(ISBLANK('Data Input'!L916),"",'Data Input'!L916)</f>
        <v/>
      </c>
      <c r="N916" t="str">
        <f>IF(ISBLANK('Data Input'!M916),"",'Data Input'!M916)</f>
        <v/>
      </c>
      <c r="O916" t="str">
        <f>IF(ISBLANK('Data Input'!N916),"",'Data Input'!N916)</f>
        <v/>
      </c>
      <c r="P916" t="str">
        <f>IF(ISBLANK('Data Input'!O916),"",'Data Input'!O916)</f>
        <v/>
      </c>
      <c r="Q916" t="str">
        <f>IF(ISBLANK('Data Input'!P916),"",'Data Input'!P916)</f>
        <v/>
      </c>
      <c r="R916" t="b">
        <f>IF(ISBLANK('Data Input'!Q916),"",'Data Input'!Q916)</f>
        <v>0</v>
      </c>
      <c r="T916" s="2" t="e">
        <f t="shared" si="58"/>
        <v>#VALUE!</v>
      </c>
      <c r="U916" s="12" t="e">
        <f t="shared" si="59"/>
        <v>#VALUE!</v>
      </c>
      <c r="V916" s="2" t="str">
        <f t="shared" si="60"/>
        <v/>
      </c>
      <c r="W916" s="12" t="str">
        <f t="shared" si="61"/>
        <v/>
      </c>
    </row>
    <row r="917" spans="1:23">
      <c r="A917">
        <f>IF(ISBLANK('Data Input'!A917),"",'Data Input'!A917)</f>
        <v>176</v>
      </c>
      <c r="B917" t="str">
        <f>IF(ISBLANK('Data Input'!B917),"",'Data Input'!B917)</f>
        <v/>
      </c>
      <c r="C917" t="str">
        <f>IF(ISBLANK('Data Input'!C917),"",'Data Input'!C917)</f>
        <v/>
      </c>
      <c r="E917" t="str">
        <f>IF(ISBLANK('Data Input'!D917),"",'Data Input'!D917)</f>
        <v/>
      </c>
      <c r="G917" t="str">
        <f>IF(ISBLANK('Data Input'!E917),"",'Data Input'!E917)</f>
        <v/>
      </c>
      <c r="H917" t="str">
        <f>IF(ISBLANK('Data Input'!F917),"",'Data Input'!F917)</f>
        <v/>
      </c>
      <c r="I917" t="str">
        <f>IF(ISBLANK('Data Input'!G917),"",'Data Input'!G917)</f>
        <v/>
      </c>
      <c r="J917" t="str">
        <f>IF(ISBLANK('Data Input'!I917),"",'Data Input'!I917)</f>
        <v/>
      </c>
      <c r="K917" t="str">
        <f>IF(ISBLANK('Data Input'!J917),"",'Data Input'!J917)</f>
        <v/>
      </c>
      <c r="L917" t="str">
        <f>IF(ISBLANK('Data Input'!K917),"",'Data Input'!K917)</f>
        <v/>
      </c>
      <c r="M917" t="str">
        <f>IF(ISBLANK('Data Input'!L917),"",'Data Input'!L917)</f>
        <v/>
      </c>
      <c r="N917" t="str">
        <f>IF(ISBLANK('Data Input'!M917),"",'Data Input'!M917)</f>
        <v/>
      </c>
      <c r="O917" t="str">
        <f>IF(ISBLANK('Data Input'!N917),"",'Data Input'!N917)</f>
        <v/>
      </c>
      <c r="P917" t="str">
        <f>IF(ISBLANK('Data Input'!O917),"",'Data Input'!O917)</f>
        <v/>
      </c>
      <c r="Q917" t="str">
        <f>IF(ISBLANK('Data Input'!P917),"",'Data Input'!P917)</f>
        <v/>
      </c>
      <c r="R917" t="b">
        <f>IF(ISBLANK('Data Input'!Q917),"",'Data Input'!Q917)</f>
        <v>0</v>
      </c>
      <c r="T917" s="2" t="e">
        <f t="shared" si="58"/>
        <v>#VALUE!</v>
      </c>
      <c r="U917" s="12" t="e">
        <f t="shared" si="59"/>
        <v>#VALUE!</v>
      </c>
      <c r="V917" s="2" t="str">
        <f t="shared" si="60"/>
        <v/>
      </c>
      <c r="W917" s="12" t="str">
        <f t="shared" si="61"/>
        <v/>
      </c>
    </row>
    <row r="918" spans="1:23">
      <c r="A918">
        <f>IF(ISBLANK('Data Input'!A918),"",'Data Input'!A918)</f>
        <v>176</v>
      </c>
      <c r="B918" t="str">
        <f>IF(ISBLANK('Data Input'!B918),"",'Data Input'!B918)</f>
        <v/>
      </c>
      <c r="C918" t="str">
        <f>IF(ISBLANK('Data Input'!C918),"",'Data Input'!C918)</f>
        <v/>
      </c>
      <c r="E918" t="str">
        <f>IF(ISBLANK('Data Input'!D918),"",'Data Input'!D918)</f>
        <v/>
      </c>
      <c r="G918" t="str">
        <f>IF(ISBLANK('Data Input'!E918),"",'Data Input'!E918)</f>
        <v/>
      </c>
      <c r="H918" t="str">
        <f>IF(ISBLANK('Data Input'!F918),"",'Data Input'!F918)</f>
        <v/>
      </c>
      <c r="I918" t="str">
        <f>IF(ISBLANK('Data Input'!G918),"",'Data Input'!G918)</f>
        <v/>
      </c>
      <c r="J918" t="str">
        <f>IF(ISBLANK('Data Input'!I918),"",'Data Input'!I918)</f>
        <v/>
      </c>
      <c r="K918" t="str">
        <f>IF(ISBLANK('Data Input'!J918),"",'Data Input'!J918)</f>
        <v/>
      </c>
      <c r="L918" t="str">
        <f>IF(ISBLANK('Data Input'!K918),"",'Data Input'!K918)</f>
        <v/>
      </c>
      <c r="M918" t="str">
        <f>IF(ISBLANK('Data Input'!L918),"",'Data Input'!L918)</f>
        <v/>
      </c>
      <c r="N918" t="str">
        <f>IF(ISBLANK('Data Input'!M918),"",'Data Input'!M918)</f>
        <v/>
      </c>
      <c r="O918" t="str">
        <f>IF(ISBLANK('Data Input'!N918),"",'Data Input'!N918)</f>
        <v/>
      </c>
      <c r="P918" t="str">
        <f>IF(ISBLANK('Data Input'!O918),"",'Data Input'!O918)</f>
        <v/>
      </c>
      <c r="Q918" t="str">
        <f>IF(ISBLANK('Data Input'!P918),"",'Data Input'!P918)</f>
        <v/>
      </c>
      <c r="R918" t="b">
        <f>IF(ISBLANK('Data Input'!Q918),"",'Data Input'!Q918)</f>
        <v>0</v>
      </c>
      <c r="T918" s="2" t="e">
        <f t="shared" si="58"/>
        <v>#VALUE!</v>
      </c>
      <c r="U918" s="12" t="e">
        <f t="shared" si="59"/>
        <v>#VALUE!</v>
      </c>
      <c r="V918" s="2" t="str">
        <f t="shared" si="60"/>
        <v/>
      </c>
      <c r="W918" s="12" t="str">
        <f t="shared" si="61"/>
        <v/>
      </c>
    </row>
    <row r="919" spans="1:23">
      <c r="A919">
        <f>IF(ISBLANK('Data Input'!A919),"",'Data Input'!A919)</f>
        <v>176</v>
      </c>
      <c r="B919" t="str">
        <f>IF(ISBLANK('Data Input'!B919),"",'Data Input'!B919)</f>
        <v/>
      </c>
      <c r="C919" t="str">
        <f>IF(ISBLANK('Data Input'!C919),"",'Data Input'!C919)</f>
        <v/>
      </c>
      <c r="E919" t="str">
        <f>IF(ISBLANK('Data Input'!D919),"",'Data Input'!D919)</f>
        <v/>
      </c>
      <c r="G919" t="str">
        <f>IF(ISBLANK('Data Input'!E919),"",'Data Input'!E919)</f>
        <v/>
      </c>
      <c r="H919" t="str">
        <f>IF(ISBLANK('Data Input'!F919),"",'Data Input'!F919)</f>
        <v/>
      </c>
      <c r="I919" t="str">
        <f>IF(ISBLANK('Data Input'!G919),"",'Data Input'!G919)</f>
        <v/>
      </c>
      <c r="J919" t="str">
        <f>IF(ISBLANK('Data Input'!I919),"",'Data Input'!I919)</f>
        <v/>
      </c>
      <c r="K919" t="str">
        <f>IF(ISBLANK('Data Input'!J919),"",'Data Input'!J919)</f>
        <v/>
      </c>
      <c r="L919" t="str">
        <f>IF(ISBLANK('Data Input'!K919),"",'Data Input'!K919)</f>
        <v/>
      </c>
      <c r="M919" t="str">
        <f>IF(ISBLANK('Data Input'!L919),"",'Data Input'!L919)</f>
        <v/>
      </c>
      <c r="N919" t="str">
        <f>IF(ISBLANK('Data Input'!M919),"",'Data Input'!M919)</f>
        <v/>
      </c>
      <c r="O919" t="str">
        <f>IF(ISBLANK('Data Input'!N919),"",'Data Input'!N919)</f>
        <v/>
      </c>
      <c r="P919" t="str">
        <f>IF(ISBLANK('Data Input'!O919),"",'Data Input'!O919)</f>
        <v/>
      </c>
      <c r="Q919" t="str">
        <f>IF(ISBLANK('Data Input'!P919),"",'Data Input'!P919)</f>
        <v/>
      </c>
      <c r="R919" t="b">
        <f>IF(ISBLANK('Data Input'!Q919),"",'Data Input'!Q919)</f>
        <v>0</v>
      </c>
      <c r="T919" s="2" t="e">
        <f t="shared" si="58"/>
        <v>#VALUE!</v>
      </c>
      <c r="U919" s="12" t="e">
        <f t="shared" si="59"/>
        <v>#VALUE!</v>
      </c>
      <c r="V919" s="2" t="str">
        <f t="shared" si="60"/>
        <v/>
      </c>
      <c r="W919" s="12" t="str">
        <f t="shared" si="61"/>
        <v/>
      </c>
    </row>
    <row r="920" spans="1:23">
      <c r="A920">
        <f>IF(ISBLANK('Data Input'!A920),"",'Data Input'!A920)</f>
        <v>176</v>
      </c>
      <c r="B920" t="str">
        <f>IF(ISBLANK('Data Input'!B920),"",'Data Input'!B920)</f>
        <v/>
      </c>
      <c r="C920" t="str">
        <f>IF(ISBLANK('Data Input'!C920),"",'Data Input'!C920)</f>
        <v/>
      </c>
      <c r="E920" t="str">
        <f>IF(ISBLANK('Data Input'!D920),"",'Data Input'!D920)</f>
        <v/>
      </c>
      <c r="G920" t="str">
        <f>IF(ISBLANK('Data Input'!E920),"",'Data Input'!E920)</f>
        <v/>
      </c>
      <c r="H920" t="str">
        <f>IF(ISBLANK('Data Input'!F920),"",'Data Input'!F920)</f>
        <v/>
      </c>
      <c r="I920" t="str">
        <f>IF(ISBLANK('Data Input'!G920),"",'Data Input'!G920)</f>
        <v/>
      </c>
      <c r="J920" t="str">
        <f>IF(ISBLANK('Data Input'!I920),"",'Data Input'!I920)</f>
        <v/>
      </c>
      <c r="K920" t="str">
        <f>IF(ISBLANK('Data Input'!J920),"",'Data Input'!J920)</f>
        <v/>
      </c>
      <c r="L920" t="str">
        <f>IF(ISBLANK('Data Input'!K920),"",'Data Input'!K920)</f>
        <v/>
      </c>
      <c r="M920" t="str">
        <f>IF(ISBLANK('Data Input'!L920),"",'Data Input'!L920)</f>
        <v/>
      </c>
      <c r="N920" t="str">
        <f>IF(ISBLANK('Data Input'!M920),"",'Data Input'!M920)</f>
        <v/>
      </c>
      <c r="O920" t="str">
        <f>IF(ISBLANK('Data Input'!N920),"",'Data Input'!N920)</f>
        <v/>
      </c>
      <c r="P920" t="str">
        <f>IF(ISBLANK('Data Input'!O920),"",'Data Input'!O920)</f>
        <v/>
      </c>
      <c r="Q920" t="str">
        <f>IF(ISBLANK('Data Input'!P920),"",'Data Input'!P920)</f>
        <v/>
      </c>
      <c r="R920" t="b">
        <f>IF(ISBLANK('Data Input'!Q920),"",'Data Input'!Q920)</f>
        <v>0</v>
      </c>
      <c r="T920" s="2" t="e">
        <f t="shared" si="58"/>
        <v>#VALUE!</v>
      </c>
      <c r="U920" s="12" t="e">
        <f t="shared" si="59"/>
        <v>#VALUE!</v>
      </c>
      <c r="V920" s="2" t="str">
        <f t="shared" si="60"/>
        <v/>
      </c>
      <c r="W920" s="12" t="str">
        <f t="shared" si="61"/>
        <v/>
      </c>
    </row>
    <row r="921" spans="1:23">
      <c r="A921">
        <f>IF(ISBLANK('Data Input'!A921),"",'Data Input'!A921)</f>
        <v>176</v>
      </c>
      <c r="B921" t="str">
        <f>IF(ISBLANK('Data Input'!B921),"",'Data Input'!B921)</f>
        <v/>
      </c>
      <c r="C921" t="str">
        <f>IF(ISBLANK('Data Input'!C921),"",'Data Input'!C921)</f>
        <v/>
      </c>
      <c r="E921" t="str">
        <f>IF(ISBLANK('Data Input'!D921),"",'Data Input'!D921)</f>
        <v/>
      </c>
      <c r="G921" t="str">
        <f>IF(ISBLANK('Data Input'!E921),"",'Data Input'!E921)</f>
        <v/>
      </c>
      <c r="H921" t="str">
        <f>IF(ISBLANK('Data Input'!F921),"",'Data Input'!F921)</f>
        <v/>
      </c>
      <c r="I921" t="str">
        <f>IF(ISBLANK('Data Input'!G921),"",'Data Input'!G921)</f>
        <v/>
      </c>
      <c r="J921" t="str">
        <f>IF(ISBLANK('Data Input'!I921),"",'Data Input'!I921)</f>
        <v/>
      </c>
      <c r="K921" t="str">
        <f>IF(ISBLANK('Data Input'!J921),"",'Data Input'!J921)</f>
        <v/>
      </c>
      <c r="L921" t="str">
        <f>IF(ISBLANK('Data Input'!K921),"",'Data Input'!K921)</f>
        <v/>
      </c>
      <c r="M921" t="str">
        <f>IF(ISBLANK('Data Input'!L921),"",'Data Input'!L921)</f>
        <v/>
      </c>
      <c r="N921" t="str">
        <f>IF(ISBLANK('Data Input'!M921),"",'Data Input'!M921)</f>
        <v/>
      </c>
      <c r="O921" t="str">
        <f>IF(ISBLANK('Data Input'!N921),"",'Data Input'!N921)</f>
        <v/>
      </c>
      <c r="P921" t="str">
        <f>IF(ISBLANK('Data Input'!O921),"",'Data Input'!O921)</f>
        <v/>
      </c>
      <c r="Q921" t="str">
        <f>IF(ISBLANK('Data Input'!P921),"",'Data Input'!P921)</f>
        <v/>
      </c>
      <c r="R921" t="b">
        <f>IF(ISBLANK('Data Input'!Q921),"",'Data Input'!Q921)</f>
        <v>0</v>
      </c>
      <c r="T921" s="2" t="e">
        <f t="shared" si="58"/>
        <v>#VALUE!</v>
      </c>
      <c r="U921" s="12" t="e">
        <f t="shared" si="59"/>
        <v>#VALUE!</v>
      </c>
      <c r="V921" s="2" t="str">
        <f t="shared" si="60"/>
        <v/>
      </c>
      <c r="W921" s="12" t="str">
        <f t="shared" si="61"/>
        <v/>
      </c>
    </row>
    <row r="922" spans="1:23">
      <c r="A922">
        <f>IF(ISBLANK('Data Input'!A922),"",'Data Input'!A922)</f>
        <v>176</v>
      </c>
      <c r="B922" t="str">
        <f>IF(ISBLANK('Data Input'!B922),"",'Data Input'!B922)</f>
        <v/>
      </c>
      <c r="C922" t="str">
        <f>IF(ISBLANK('Data Input'!C922),"",'Data Input'!C922)</f>
        <v/>
      </c>
      <c r="E922" t="str">
        <f>IF(ISBLANK('Data Input'!D922),"",'Data Input'!D922)</f>
        <v/>
      </c>
      <c r="G922" t="str">
        <f>IF(ISBLANK('Data Input'!E922),"",'Data Input'!E922)</f>
        <v/>
      </c>
      <c r="H922" t="str">
        <f>IF(ISBLANK('Data Input'!F922),"",'Data Input'!F922)</f>
        <v/>
      </c>
      <c r="I922" t="str">
        <f>IF(ISBLANK('Data Input'!G922),"",'Data Input'!G922)</f>
        <v/>
      </c>
      <c r="J922" t="str">
        <f>IF(ISBLANK('Data Input'!I922),"",'Data Input'!I922)</f>
        <v/>
      </c>
      <c r="K922" t="str">
        <f>IF(ISBLANK('Data Input'!J922),"",'Data Input'!J922)</f>
        <v/>
      </c>
      <c r="L922" t="str">
        <f>IF(ISBLANK('Data Input'!K922),"",'Data Input'!K922)</f>
        <v/>
      </c>
      <c r="M922" t="str">
        <f>IF(ISBLANK('Data Input'!L922),"",'Data Input'!L922)</f>
        <v/>
      </c>
      <c r="N922" t="str">
        <f>IF(ISBLANK('Data Input'!M922),"",'Data Input'!M922)</f>
        <v/>
      </c>
      <c r="O922" t="str">
        <f>IF(ISBLANK('Data Input'!N922),"",'Data Input'!N922)</f>
        <v/>
      </c>
      <c r="P922" t="str">
        <f>IF(ISBLANK('Data Input'!O922),"",'Data Input'!O922)</f>
        <v/>
      </c>
      <c r="Q922" t="str">
        <f>IF(ISBLANK('Data Input'!P922),"",'Data Input'!P922)</f>
        <v/>
      </c>
      <c r="R922" t="b">
        <f>IF(ISBLANK('Data Input'!Q922),"",'Data Input'!Q922)</f>
        <v>0</v>
      </c>
      <c r="T922" s="2" t="e">
        <f t="shared" si="58"/>
        <v>#VALUE!</v>
      </c>
      <c r="U922" s="12" t="e">
        <f t="shared" si="59"/>
        <v>#VALUE!</v>
      </c>
      <c r="V922" s="2" t="str">
        <f t="shared" si="60"/>
        <v/>
      </c>
      <c r="W922" s="12" t="str">
        <f t="shared" si="61"/>
        <v/>
      </c>
    </row>
    <row r="923" spans="1:23">
      <c r="A923">
        <f>IF(ISBLANK('Data Input'!A923),"",'Data Input'!A923)</f>
        <v>176</v>
      </c>
      <c r="B923" t="str">
        <f>IF(ISBLANK('Data Input'!B923),"",'Data Input'!B923)</f>
        <v/>
      </c>
      <c r="C923" t="str">
        <f>IF(ISBLANK('Data Input'!C923),"",'Data Input'!C923)</f>
        <v/>
      </c>
      <c r="E923" t="str">
        <f>IF(ISBLANK('Data Input'!D923),"",'Data Input'!D923)</f>
        <v/>
      </c>
      <c r="G923" t="str">
        <f>IF(ISBLANK('Data Input'!E923),"",'Data Input'!E923)</f>
        <v/>
      </c>
      <c r="H923" t="str">
        <f>IF(ISBLANK('Data Input'!F923),"",'Data Input'!F923)</f>
        <v/>
      </c>
      <c r="I923" t="str">
        <f>IF(ISBLANK('Data Input'!G923),"",'Data Input'!G923)</f>
        <v/>
      </c>
      <c r="J923" t="str">
        <f>IF(ISBLANK('Data Input'!I923),"",'Data Input'!I923)</f>
        <v/>
      </c>
      <c r="K923" t="str">
        <f>IF(ISBLANK('Data Input'!J923),"",'Data Input'!J923)</f>
        <v/>
      </c>
      <c r="L923" t="str">
        <f>IF(ISBLANK('Data Input'!K923),"",'Data Input'!K923)</f>
        <v/>
      </c>
      <c r="M923" t="str">
        <f>IF(ISBLANK('Data Input'!L923),"",'Data Input'!L923)</f>
        <v/>
      </c>
      <c r="N923" t="str">
        <f>IF(ISBLANK('Data Input'!M923),"",'Data Input'!M923)</f>
        <v/>
      </c>
      <c r="O923" t="str">
        <f>IF(ISBLANK('Data Input'!N923),"",'Data Input'!N923)</f>
        <v/>
      </c>
      <c r="P923" t="str">
        <f>IF(ISBLANK('Data Input'!O923),"",'Data Input'!O923)</f>
        <v/>
      </c>
      <c r="Q923" t="str">
        <f>IF(ISBLANK('Data Input'!P923),"",'Data Input'!P923)</f>
        <v/>
      </c>
      <c r="R923" t="b">
        <f>IF(ISBLANK('Data Input'!Q923),"",'Data Input'!Q923)</f>
        <v>0</v>
      </c>
      <c r="T923" s="2" t="e">
        <f t="shared" si="58"/>
        <v>#VALUE!</v>
      </c>
      <c r="U923" s="12" t="e">
        <f t="shared" si="59"/>
        <v>#VALUE!</v>
      </c>
      <c r="V923" s="2" t="str">
        <f t="shared" si="60"/>
        <v/>
      </c>
      <c r="W923" s="12" t="str">
        <f t="shared" si="61"/>
        <v/>
      </c>
    </row>
    <row r="924" spans="1:23">
      <c r="A924">
        <f>IF(ISBLANK('Data Input'!A924),"",'Data Input'!A924)</f>
        <v>176</v>
      </c>
      <c r="B924" t="str">
        <f>IF(ISBLANK('Data Input'!B924),"",'Data Input'!B924)</f>
        <v/>
      </c>
      <c r="C924" t="str">
        <f>IF(ISBLANK('Data Input'!C924),"",'Data Input'!C924)</f>
        <v/>
      </c>
      <c r="E924" t="str">
        <f>IF(ISBLANK('Data Input'!D924),"",'Data Input'!D924)</f>
        <v/>
      </c>
      <c r="G924" t="str">
        <f>IF(ISBLANK('Data Input'!E924),"",'Data Input'!E924)</f>
        <v/>
      </c>
      <c r="H924" t="str">
        <f>IF(ISBLANK('Data Input'!F924),"",'Data Input'!F924)</f>
        <v/>
      </c>
      <c r="I924" t="str">
        <f>IF(ISBLANK('Data Input'!G924),"",'Data Input'!G924)</f>
        <v/>
      </c>
      <c r="J924" t="str">
        <f>IF(ISBLANK('Data Input'!I924),"",'Data Input'!I924)</f>
        <v/>
      </c>
      <c r="K924" t="str">
        <f>IF(ISBLANK('Data Input'!J924),"",'Data Input'!J924)</f>
        <v/>
      </c>
      <c r="L924" t="str">
        <f>IF(ISBLANK('Data Input'!K924),"",'Data Input'!K924)</f>
        <v/>
      </c>
      <c r="M924" t="str">
        <f>IF(ISBLANK('Data Input'!L924),"",'Data Input'!L924)</f>
        <v/>
      </c>
      <c r="N924" t="str">
        <f>IF(ISBLANK('Data Input'!M924),"",'Data Input'!M924)</f>
        <v/>
      </c>
      <c r="O924" t="str">
        <f>IF(ISBLANK('Data Input'!N924),"",'Data Input'!N924)</f>
        <v/>
      </c>
      <c r="P924" t="str">
        <f>IF(ISBLANK('Data Input'!O924),"",'Data Input'!O924)</f>
        <v/>
      </c>
      <c r="Q924" t="str">
        <f>IF(ISBLANK('Data Input'!P924),"",'Data Input'!P924)</f>
        <v/>
      </c>
      <c r="R924" t="b">
        <f>IF(ISBLANK('Data Input'!Q924),"",'Data Input'!Q924)</f>
        <v>0</v>
      </c>
      <c r="T924" s="2" t="e">
        <f t="shared" si="58"/>
        <v>#VALUE!</v>
      </c>
      <c r="U924" s="12" t="e">
        <f t="shared" si="59"/>
        <v>#VALUE!</v>
      </c>
      <c r="V924" s="2" t="str">
        <f t="shared" si="60"/>
        <v/>
      </c>
      <c r="W924" s="12" t="str">
        <f t="shared" si="61"/>
        <v/>
      </c>
    </row>
    <row r="925" spans="1:23">
      <c r="A925">
        <f>IF(ISBLANK('Data Input'!A925),"",'Data Input'!A925)</f>
        <v>176</v>
      </c>
      <c r="B925" t="str">
        <f>IF(ISBLANK('Data Input'!B925),"",'Data Input'!B925)</f>
        <v/>
      </c>
      <c r="C925" t="str">
        <f>IF(ISBLANK('Data Input'!C925),"",'Data Input'!C925)</f>
        <v/>
      </c>
      <c r="E925" t="str">
        <f>IF(ISBLANK('Data Input'!D925),"",'Data Input'!D925)</f>
        <v/>
      </c>
      <c r="G925" t="str">
        <f>IF(ISBLANK('Data Input'!E925),"",'Data Input'!E925)</f>
        <v/>
      </c>
      <c r="H925" t="str">
        <f>IF(ISBLANK('Data Input'!F925),"",'Data Input'!F925)</f>
        <v/>
      </c>
      <c r="I925" t="str">
        <f>IF(ISBLANK('Data Input'!G925),"",'Data Input'!G925)</f>
        <v/>
      </c>
      <c r="J925" t="str">
        <f>IF(ISBLANK('Data Input'!I925),"",'Data Input'!I925)</f>
        <v/>
      </c>
      <c r="K925" t="str">
        <f>IF(ISBLANK('Data Input'!J925),"",'Data Input'!J925)</f>
        <v/>
      </c>
      <c r="L925" t="str">
        <f>IF(ISBLANK('Data Input'!K925),"",'Data Input'!K925)</f>
        <v/>
      </c>
      <c r="M925" t="str">
        <f>IF(ISBLANK('Data Input'!L925),"",'Data Input'!L925)</f>
        <v/>
      </c>
      <c r="N925" t="str">
        <f>IF(ISBLANK('Data Input'!M925),"",'Data Input'!M925)</f>
        <v/>
      </c>
      <c r="O925" t="str">
        <f>IF(ISBLANK('Data Input'!N925),"",'Data Input'!N925)</f>
        <v/>
      </c>
      <c r="P925" t="str">
        <f>IF(ISBLANK('Data Input'!O925),"",'Data Input'!O925)</f>
        <v/>
      </c>
      <c r="Q925" t="str">
        <f>IF(ISBLANK('Data Input'!P925),"",'Data Input'!P925)</f>
        <v/>
      </c>
      <c r="R925" t="b">
        <f>IF(ISBLANK('Data Input'!Q925),"",'Data Input'!Q925)</f>
        <v>0</v>
      </c>
      <c r="T925" s="2" t="e">
        <f t="shared" si="58"/>
        <v>#VALUE!</v>
      </c>
      <c r="U925" s="12" t="e">
        <f t="shared" si="59"/>
        <v>#VALUE!</v>
      </c>
      <c r="V925" s="2" t="str">
        <f t="shared" si="60"/>
        <v/>
      </c>
      <c r="W925" s="12" t="str">
        <f t="shared" si="61"/>
        <v/>
      </c>
    </row>
    <row r="926" spans="1:23">
      <c r="A926">
        <f>IF(ISBLANK('Data Input'!A926),"",'Data Input'!A926)</f>
        <v>176</v>
      </c>
      <c r="B926" t="str">
        <f>IF(ISBLANK('Data Input'!B926),"",'Data Input'!B926)</f>
        <v/>
      </c>
      <c r="C926" t="str">
        <f>IF(ISBLANK('Data Input'!C926),"",'Data Input'!C926)</f>
        <v/>
      </c>
      <c r="E926" t="str">
        <f>IF(ISBLANK('Data Input'!D926),"",'Data Input'!D926)</f>
        <v/>
      </c>
      <c r="G926" t="str">
        <f>IF(ISBLANK('Data Input'!E926),"",'Data Input'!E926)</f>
        <v/>
      </c>
      <c r="H926" t="str">
        <f>IF(ISBLANK('Data Input'!F926),"",'Data Input'!F926)</f>
        <v/>
      </c>
      <c r="I926" t="str">
        <f>IF(ISBLANK('Data Input'!G926),"",'Data Input'!G926)</f>
        <v/>
      </c>
      <c r="J926" t="str">
        <f>IF(ISBLANK('Data Input'!I926),"",'Data Input'!I926)</f>
        <v/>
      </c>
      <c r="K926" t="str">
        <f>IF(ISBLANK('Data Input'!J926),"",'Data Input'!J926)</f>
        <v/>
      </c>
      <c r="L926" t="str">
        <f>IF(ISBLANK('Data Input'!K926),"",'Data Input'!K926)</f>
        <v/>
      </c>
      <c r="M926" t="str">
        <f>IF(ISBLANK('Data Input'!L926),"",'Data Input'!L926)</f>
        <v/>
      </c>
      <c r="N926" t="str">
        <f>IF(ISBLANK('Data Input'!M926),"",'Data Input'!M926)</f>
        <v/>
      </c>
      <c r="O926" t="str">
        <f>IF(ISBLANK('Data Input'!N926),"",'Data Input'!N926)</f>
        <v/>
      </c>
      <c r="P926" t="str">
        <f>IF(ISBLANK('Data Input'!O926),"",'Data Input'!O926)</f>
        <v/>
      </c>
      <c r="Q926" t="str">
        <f>IF(ISBLANK('Data Input'!P926),"",'Data Input'!P926)</f>
        <v/>
      </c>
      <c r="R926" t="b">
        <f>IF(ISBLANK('Data Input'!Q926),"",'Data Input'!Q926)</f>
        <v>0</v>
      </c>
      <c r="T926" s="2" t="e">
        <f t="shared" si="58"/>
        <v>#VALUE!</v>
      </c>
      <c r="U926" s="12" t="e">
        <f t="shared" si="59"/>
        <v>#VALUE!</v>
      </c>
      <c r="V926" s="2" t="str">
        <f t="shared" si="60"/>
        <v/>
      </c>
      <c r="W926" s="12" t="str">
        <f t="shared" si="61"/>
        <v/>
      </c>
    </row>
    <row r="927" spans="1:23">
      <c r="A927">
        <f>IF(ISBLANK('Data Input'!A927),"",'Data Input'!A927)</f>
        <v>176</v>
      </c>
      <c r="B927" t="str">
        <f>IF(ISBLANK('Data Input'!B927),"",'Data Input'!B927)</f>
        <v/>
      </c>
      <c r="C927" t="str">
        <f>IF(ISBLANK('Data Input'!C927),"",'Data Input'!C927)</f>
        <v/>
      </c>
      <c r="E927" t="str">
        <f>IF(ISBLANK('Data Input'!D927),"",'Data Input'!D927)</f>
        <v/>
      </c>
      <c r="G927" t="str">
        <f>IF(ISBLANK('Data Input'!E927),"",'Data Input'!E927)</f>
        <v/>
      </c>
      <c r="H927" t="str">
        <f>IF(ISBLANK('Data Input'!F927),"",'Data Input'!F927)</f>
        <v/>
      </c>
      <c r="I927" t="str">
        <f>IF(ISBLANK('Data Input'!G927),"",'Data Input'!G927)</f>
        <v/>
      </c>
      <c r="J927" t="str">
        <f>IF(ISBLANK('Data Input'!I927),"",'Data Input'!I927)</f>
        <v/>
      </c>
      <c r="K927" t="str">
        <f>IF(ISBLANK('Data Input'!J927),"",'Data Input'!J927)</f>
        <v/>
      </c>
      <c r="L927" t="str">
        <f>IF(ISBLANK('Data Input'!K927),"",'Data Input'!K927)</f>
        <v/>
      </c>
      <c r="M927" t="str">
        <f>IF(ISBLANK('Data Input'!L927),"",'Data Input'!L927)</f>
        <v/>
      </c>
      <c r="N927" t="str">
        <f>IF(ISBLANK('Data Input'!M927),"",'Data Input'!M927)</f>
        <v/>
      </c>
      <c r="O927" t="str">
        <f>IF(ISBLANK('Data Input'!N927),"",'Data Input'!N927)</f>
        <v/>
      </c>
      <c r="P927" t="str">
        <f>IF(ISBLANK('Data Input'!O927),"",'Data Input'!O927)</f>
        <v/>
      </c>
      <c r="Q927" t="str">
        <f>IF(ISBLANK('Data Input'!P927),"",'Data Input'!P927)</f>
        <v/>
      </c>
      <c r="R927" t="b">
        <f>IF(ISBLANK('Data Input'!Q927),"",'Data Input'!Q927)</f>
        <v>0</v>
      </c>
      <c r="T927" s="2" t="e">
        <f t="shared" si="58"/>
        <v>#VALUE!</v>
      </c>
      <c r="U927" s="12" t="e">
        <f t="shared" si="59"/>
        <v>#VALUE!</v>
      </c>
      <c r="V927" s="2" t="str">
        <f t="shared" si="60"/>
        <v/>
      </c>
      <c r="W927" s="12" t="str">
        <f t="shared" si="61"/>
        <v/>
      </c>
    </row>
    <row r="928" spans="1:23">
      <c r="A928">
        <f>IF(ISBLANK('Data Input'!A928),"",'Data Input'!A928)</f>
        <v>176</v>
      </c>
      <c r="B928" t="str">
        <f>IF(ISBLANK('Data Input'!B928),"",'Data Input'!B928)</f>
        <v/>
      </c>
      <c r="C928" t="str">
        <f>IF(ISBLANK('Data Input'!C928),"",'Data Input'!C928)</f>
        <v/>
      </c>
      <c r="E928" t="str">
        <f>IF(ISBLANK('Data Input'!D928),"",'Data Input'!D928)</f>
        <v/>
      </c>
      <c r="G928" t="str">
        <f>IF(ISBLANK('Data Input'!E928),"",'Data Input'!E928)</f>
        <v/>
      </c>
      <c r="H928" t="str">
        <f>IF(ISBLANK('Data Input'!F928),"",'Data Input'!F928)</f>
        <v/>
      </c>
      <c r="I928" t="str">
        <f>IF(ISBLANK('Data Input'!G928),"",'Data Input'!G928)</f>
        <v/>
      </c>
      <c r="J928" t="str">
        <f>IF(ISBLANK('Data Input'!I928),"",'Data Input'!I928)</f>
        <v/>
      </c>
      <c r="K928" t="str">
        <f>IF(ISBLANK('Data Input'!J928),"",'Data Input'!J928)</f>
        <v/>
      </c>
      <c r="L928" t="str">
        <f>IF(ISBLANK('Data Input'!K928),"",'Data Input'!K928)</f>
        <v/>
      </c>
      <c r="M928" t="str">
        <f>IF(ISBLANK('Data Input'!L928),"",'Data Input'!L928)</f>
        <v/>
      </c>
      <c r="N928" t="str">
        <f>IF(ISBLANK('Data Input'!M928),"",'Data Input'!M928)</f>
        <v/>
      </c>
      <c r="O928" t="str">
        <f>IF(ISBLANK('Data Input'!N928),"",'Data Input'!N928)</f>
        <v/>
      </c>
      <c r="P928" t="str">
        <f>IF(ISBLANK('Data Input'!O928),"",'Data Input'!O928)</f>
        <v/>
      </c>
      <c r="Q928" t="str">
        <f>IF(ISBLANK('Data Input'!P928),"",'Data Input'!P928)</f>
        <v/>
      </c>
      <c r="R928" t="b">
        <f>IF(ISBLANK('Data Input'!Q928),"",'Data Input'!Q928)</f>
        <v>0</v>
      </c>
      <c r="T928" s="2" t="e">
        <f t="shared" si="58"/>
        <v>#VALUE!</v>
      </c>
      <c r="U928" s="12" t="e">
        <f t="shared" si="59"/>
        <v>#VALUE!</v>
      </c>
      <c r="V928" s="2" t="str">
        <f t="shared" si="60"/>
        <v/>
      </c>
      <c r="W928" s="12" t="str">
        <f t="shared" si="61"/>
        <v/>
      </c>
    </row>
    <row r="929" spans="1:23">
      <c r="A929">
        <f>IF(ISBLANK('Data Input'!A929),"",'Data Input'!A929)</f>
        <v>176</v>
      </c>
      <c r="B929" t="str">
        <f>IF(ISBLANK('Data Input'!B929),"",'Data Input'!B929)</f>
        <v/>
      </c>
      <c r="C929" t="str">
        <f>IF(ISBLANK('Data Input'!C929),"",'Data Input'!C929)</f>
        <v/>
      </c>
      <c r="E929" t="str">
        <f>IF(ISBLANK('Data Input'!D929),"",'Data Input'!D929)</f>
        <v/>
      </c>
      <c r="G929" t="str">
        <f>IF(ISBLANK('Data Input'!E929),"",'Data Input'!E929)</f>
        <v/>
      </c>
      <c r="H929" t="str">
        <f>IF(ISBLANK('Data Input'!F929),"",'Data Input'!F929)</f>
        <v/>
      </c>
      <c r="I929" t="str">
        <f>IF(ISBLANK('Data Input'!G929),"",'Data Input'!G929)</f>
        <v/>
      </c>
      <c r="J929" t="str">
        <f>IF(ISBLANK('Data Input'!I929),"",'Data Input'!I929)</f>
        <v/>
      </c>
      <c r="K929" t="str">
        <f>IF(ISBLANK('Data Input'!J929),"",'Data Input'!J929)</f>
        <v/>
      </c>
      <c r="L929" t="str">
        <f>IF(ISBLANK('Data Input'!K929),"",'Data Input'!K929)</f>
        <v/>
      </c>
      <c r="M929" t="str">
        <f>IF(ISBLANK('Data Input'!L929),"",'Data Input'!L929)</f>
        <v/>
      </c>
      <c r="N929" t="str">
        <f>IF(ISBLANK('Data Input'!M929),"",'Data Input'!M929)</f>
        <v/>
      </c>
      <c r="O929" t="str">
        <f>IF(ISBLANK('Data Input'!N929),"",'Data Input'!N929)</f>
        <v/>
      </c>
      <c r="P929" t="str">
        <f>IF(ISBLANK('Data Input'!O929),"",'Data Input'!O929)</f>
        <v/>
      </c>
      <c r="Q929" t="str">
        <f>IF(ISBLANK('Data Input'!P929),"",'Data Input'!P929)</f>
        <v/>
      </c>
      <c r="R929" t="b">
        <f>IF(ISBLANK('Data Input'!Q929),"",'Data Input'!Q929)</f>
        <v>0</v>
      </c>
      <c r="T929" s="2" t="e">
        <f t="shared" si="58"/>
        <v>#VALUE!</v>
      </c>
      <c r="U929" s="12" t="e">
        <f t="shared" si="59"/>
        <v>#VALUE!</v>
      </c>
      <c r="V929" s="2" t="str">
        <f t="shared" si="60"/>
        <v/>
      </c>
      <c r="W929" s="12" t="str">
        <f t="shared" si="61"/>
        <v/>
      </c>
    </row>
    <row r="930" spans="1:23">
      <c r="A930">
        <f>IF(ISBLANK('Data Input'!A930),"",'Data Input'!A930)</f>
        <v>176</v>
      </c>
      <c r="B930" t="str">
        <f>IF(ISBLANK('Data Input'!B930),"",'Data Input'!B930)</f>
        <v/>
      </c>
      <c r="C930" t="str">
        <f>IF(ISBLANK('Data Input'!C930),"",'Data Input'!C930)</f>
        <v/>
      </c>
      <c r="E930" t="str">
        <f>IF(ISBLANK('Data Input'!D930),"",'Data Input'!D930)</f>
        <v/>
      </c>
      <c r="G930" t="str">
        <f>IF(ISBLANK('Data Input'!E930),"",'Data Input'!E930)</f>
        <v/>
      </c>
      <c r="H930" t="str">
        <f>IF(ISBLANK('Data Input'!F930),"",'Data Input'!F930)</f>
        <v/>
      </c>
      <c r="I930" t="str">
        <f>IF(ISBLANK('Data Input'!G930),"",'Data Input'!G930)</f>
        <v/>
      </c>
      <c r="J930" t="str">
        <f>IF(ISBLANK('Data Input'!I930),"",'Data Input'!I930)</f>
        <v/>
      </c>
      <c r="K930" t="str">
        <f>IF(ISBLANK('Data Input'!J930),"",'Data Input'!J930)</f>
        <v/>
      </c>
      <c r="L930" t="str">
        <f>IF(ISBLANK('Data Input'!K930),"",'Data Input'!K930)</f>
        <v/>
      </c>
      <c r="M930" t="str">
        <f>IF(ISBLANK('Data Input'!L930),"",'Data Input'!L930)</f>
        <v/>
      </c>
      <c r="N930" t="str">
        <f>IF(ISBLANK('Data Input'!M930),"",'Data Input'!M930)</f>
        <v/>
      </c>
      <c r="O930" t="str">
        <f>IF(ISBLANK('Data Input'!N930),"",'Data Input'!N930)</f>
        <v/>
      </c>
      <c r="P930" t="str">
        <f>IF(ISBLANK('Data Input'!O930),"",'Data Input'!O930)</f>
        <v/>
      </c>
      <c r="Q930" t="str">
        <f>IF(ISBLANK('Data Input'!P930),"",'Data Input'!P930)</f>
        <v/>
      </c>
      <c r="R930" t="b">
        <f>IF(ISBLANK('Data Input'!Q930),"",'Data Input'!Q930)</f>
        <v>0</v>
      </c>
      <c r="T930" s="2" t="e">
        <f t="shared" si="58"/>
        <v>#VALUE!</v>
      </c>
      <c r="U930" s="12" t="e">
        <f t="shared" si="59"/>
        <v>#VALUE!</v>
      </c>
      <c r="V930" s="2" t="str">
        <f t="shared" si="60"/>
        <v/>
      </c>
      <c r="W930" s="12" t="str">
        <f t="shared" si="61"/>
        <v/>
      </c>
    </row>
    <row r="931" spans="1:23">
      <c r="A931">
        <f>IF(ISBLANK('Data Input'!A931),"",'Data Input'!A931)</f>
        <v>176</v>
      </c>
      <c r="B931" t="str">
        <f>IF(ISBLANK('Data Input'!B931),"",'Data Input'!B931)</f>
        <v/>
      </c>
      <c r="C931" t="str">
        <f>IF(ISBLANK('Data Input'!C931),"",'Data Input'!C931)</f>
        <v/>
      </c>
      <c r="E931" t="str">
        <f>IF(ISBLANK('Data Input'!D931),"",'Data Input'!D931)</f>
        <v/>
      </c>
      <c r="G931" t="str">
        <f>IF(ISBLANK('Data Input'!E931),"",'Data Input'!E931)</f>
        <v/>
      </c>
      <c r="H931" t="str">
        <f>IF(ISBLANK('Data Input'!F931),"",'Data Input'!F931)</f>
        <v/>
      </c>
      <c r="I931" t="str">
        <f>IF(ISBLANK('Data Input'!G931),"",'Data Input'!G931)</f>
        <v/>
      </c>
      <c r="J931" t="str">
        <f>IF(ISBLANK('Data Input'!I931),"",'Data Input'!I931)</f>
        <v/>
      </c>
      <c r="K931" t="str">
        <f>IF(ISBLANK('Data Input'!J931),"",'Data Input'!J931)</f>
        <v/>
      </c>
      <c r="L931" t="str">
        <f>IF(ISBLANK('Data Input'!K931),"",'Data Input'!K931)</f>
        <v/>
      </c>
      <c r="M931" t="str">
        <f>IF(ISBLANK('Data Input'!L931),"",'Data Input'!L931)</f>
        <v/>
      </c>
      <c r="N931" t="str">
        <f>IF(ISBLANK('Data Input'!M931),"",'Data Input'!M931)</f>
        <v/>
      </c>
      <c r="O931" t="str">
        <f>IF(ISBLANK('Data Input'!N931),"",'Data Input'!N931)</f>
        <v/>
      </c>
      <c r="P931" t="str">
        <f>IF(ISBLANK('Data Input'!O931),"",'Data Input'!O931)</f>
        <v/>
      </c>
      <c r="Q931" t="str">
        <f>IF(ISBLANK('Data Input'!P931),"",'Data Input'!P931)</f>
        <v/>
      </c>
      <c r="R931" t="b">
        <f>IF(ISBLANK('Data Input'!Q931),"",'Data Input'!Q931)</f>
        <v>0</v>
      </c>
      <c r="T931" s="2" t="e">
        <f t="shared" si="58"/>
        <v>#VALUE!</v>
      </c>
      <c r="U931" s="12" t="e">
        <f t="shared" si="59"/>
        <v>#VALUE!</v>
      </c>
      <c r="V931" s="2" t="str">
        <f t="shared" si="60"/>
        <v/>
      </c>
      <c r="W931" s="12" t="str">
        <f t="shared" si="61"/>
        <v/>
      </c>
    </row>
    <row r="932" spans="1:23">
      <c r="A932">
        <f>IF(ISBLANK('Data Input'!A932),"",'Data Input'!A932)</f>
        <v>176</v>
      </c>
      <c r="B932" t="str">
        <f>IF(ISBLANK('Data Input'!B932),"",'Data Input'!B932)</f>
        <v/>
      </c>
      <c r="C932" t="str">
        <f>IF(ISBLANK('Data Input'!C932),"",'Data Input'!C932)</f>
        <v/>
      </c>
      <c r="E932" t="str">
        <f>IF(ISBLANK('Data Input'!D932),"",'Data Input'!D932)</f>
        <v/>
      </c>
      <c r="G932" t="str">
        <f>IF(ISBLANK('Data Input'!E932),"",'Data Input'!E932)</f>
        <v/>
      </c>
      <c r="H932" t="str">
        <f>IF(ISBLANK('Data Input'!F932),"",'Data Input'!F932)</f>
        <v/>
      </c>
      <c r="I932" t="str">
        <f>IF(ISBLANK('Data Input'!G932),"",'Data Input'!G932)</f>
        <v/>
      </c>
      <c r="J932" t="str">
        <f>IF(ISBLANK('Data Input'!I932),"",'Data Input'!I932)</f>
        <v/>
      </c>
      <c r="K932" t="str">
        <f>IF(ISBLANK('Data Input'!J932),"",'Data Input'!J932)</f>
        <v/>
      </c>
      <c r="L932" t="str">
        <f>IF(ISBLANK('Data Input'!K932),"",'Data Input'!K932)</f>
        <v/>
      </c>
      <c r="M932" t="str">
        <f>IF(ISBLANK('Data Input'!L932),"",'Data Input'!L932)</f>
        <v/>
      </c>
      <c r="N932" t="str">
        <f>IF(ISBLANK('Data Input'!M932),"",'Data Input'!M932)</f>
        <v/>
      </c>
      <c r="O932" t="str">
        <f>IF(ISBLANK('Data Input'!N932),"",'Data Input'!N932)</f>
        <v/>
      </c>
      <c r="P932" t="str">
        <f>IF(ISBLANK('Data Input'!O932),"",'Data Input'!O932)</f>
        <v/>
      </c>
      <c r="Q932" t="str">
        <f>IF(ISBLANK('Data Input'!P932),"",'Data Input'!P932)</f>
        <v/>
      </c>
      <c r="R932" t="b">
        <f>IF(ISBLANK('Data Input'!Q932),"",'Data Input'!Q932)</f>
        <v>0</v>
      </c>
      <c r="T932" s="2" t="e">
        <f t="shared" si="58"/>
        <v>#VALUE!</v>
      </c>
      <c r="U932" s="12" t="e">
        <f t="shared" si="59"/>
        <v>#VALUE!</v>
      </c>
      <c r="V932" s="2" t="str">
        <f t="shared" si="60"/>
        <v/>
      </c>
      <c r="W932" s="12" t="str">
        <f t="shared" si="61"/>
        <v/>
      </c>
    </row>
    <row r="933" spans="1:23">
      <c r="A933">
        <f>IF(ISBLANK('Data Input'!A933),"",'Data Input'!A933)</f>
        <v>176</v>
      </c>
      <c r="B933" t="str">
        <f>IF(ISBLANK('Data Input'!B933),"",'Data Input'!B933)</f>
        <v/>
      </c>
      <c r="C933" t="str">
        <f>IF(ISBLANK('Data Input'!C933),"",'Data Input'!C933)</f>
        <v/>
      </c>
      <c r="E933" t="str">
        <f>IF(ISBLANK('Data Input'!D933),"",'Data Input'!D933)</f>
        <v/>
      </c>
      <c r="G933" t="str">
        <f>IF(ISBLANK('Data Input'!E933),"",'Data Input'!E933)</f>
        <v/>
      </c>
      <c r="H933" t="str">
        <f>IF(ISBLANK('Data Input'!F933),"",'Data Input'!F933)</f>
        <v/>
      </c>
      <c r="I933" t="str">
        <f>IF(ISBLANK('Data Input'!G933),"",'Data Input'!G933)</f>
        <v/>
      </c>
      <c r="J933" t="str">
        <f>IF(ISBLANK('Data Input'!I933),"",'Data Input'!I933)</f>
        <v/>
      </c>
      <c r="K933" t="str">
        <f>IF(ISBLANK('Data Input'!J933),"",'Data Input'!J933)</f>
        <v/>
      </c>
      <c r="L933" t="str">
        <f>IF(ISBLANK('Data Input'!K933),"",'Data Input'!K933)</f>
        <v/>
      </c>
      <c r="M933" t="str">
        <f>IF(ISBLANK('Data Input'!L933),"",'Data Input'!L933)</f>
        <v/>
      </c>
      <c r="N933" t="str">
        <f>IF(ISBLANK('Data Input'!M933),"",'Data Input'!M933)</f>
        <v/>
      </c>
      <c r="O933" t="str">
        <f>IF(ISBLANK('Data Input'!N933),"",'Data Input'!N933)</f>
        <v/>
      </c>
      <c r="P933" t="str">
        <f>IF(ISBLANK('Data Input'!O933),"",'Data Input'!O933)</f>
        <v/>
      </c>
      <c r="Q933" t="str">
        <f>IF(ISBLANK('Data Input'!P933),"",'Data Input'!P933)</f>
        <v/>
      </c>
      <c r="R933" t="b">
        <f>IF(ISBLANK('Data Input'!Q933),"",'Data Input'!Q933)</f>
        <v>0</v>
      </c>
      <c r="T933" s="2" t="e">
        <f t="shared" si="58"/>
        <v>#VALUE!</v>
      </c>
      <c r="U933" s="12" t="e">
        <f t="shared" si="59"/>
        <v>#VALUE!</v>
      </c>
      <c r="V933" s="2" t="str">
        <f t="shared" si="60"/>
        <v/>
      </c>
      <c r="W933" s="12" t="str">
        <f t="shared" si="61"/>
        <v/>
      </c>
    </row>
    <row r="934" spans="1:23">
      <c r="A934">
        <f>IF(ISBLANK('Data Input'!A934),"",'Data Input'!A934)</f>
        <v>176</v>
      </c>
      <c r="B934" t="str">
        <f>IF(ISBLANK('Data Input'!B934),"",'Data Input'!B934)</f>
        <v/>
      </c>
      <c r="C934" t="str">
        <f>IF(ISBLANK('Data Input'!C934),"",'Data Input'!C934)</f>
        <v/>
      </c>
      <c r="E934" t="str">
        <f>IF(ISBLANK('Data Input'!D934),"",'Data Input'!D934)</f>
        <v/>
      </c>
      <c r="G934" t="str">
        <f>IF(ISBLANK('Data Input'!E934),"",'Data Input'!E934)</f>
        <v/>
      </c>
      <c r="H934" t="str">
        <f>IF(ISBLANK('Data Input'!F934),"",'Data Input'!F934)</f>
        <v/>
      </c>
      <c r="I934" t="str">
        <f>IF(ISBLANK('Data Input'!G934),"",'Data Input'!G934)</f>
        <v/>
      </c>
      <c r="J934" t="str">
        <f>IF(ISBLANK('Data Input'!I934),"",'Data Input'!I934)</f>
        <v/>
      </c>
      <c r="K934" t="str">
        <f>IF(ISBLANK('Data Input'!J934),"",'Data Input'!J934)</f>
        <v/>
      </c>
      <c r="L934" t="str">
        <f>IF(ISBLANK('Data Input'!K934),"",'Data Input'!K934)</f>
        <v/>
      </c>
      <c r="M934" t="str">
        <f>IF(ISBLANK('Data Input'!L934),"",'Data Input'!L934)</f>
        <v/>
      </c>
      <c r="N934" t="str">
        <f>IF(ISBLANK('Data Input'!M934),"",'Data Input'!M934)</f>
        <v/>
      </c>
      <c r="O934" t="str">
        <f>IF(ISBLANK('Data Input'!N934),"",'Data Input'!N934)</f>
        <v/>
      </c>
      <c r="P934" t="str">
        <f>IF(ISBLANK('Data Input'!O934),"",'Data Input'!O934)</f>
        <v/>
      </c>
      <c r="Q934" t="str">
        <f>IF(ISBLANK('Data Input'!P934),"",'Data Input'!P934)</f>
        <v/>
      </c>
      <c r="R934" t="b">
        <f>IF(ISBLANK('Data Input'!Q934),"",'Data Input'!Q934)</f>
        <v>0</v>
      </c>
      <c r="T934" s="2" t="e">
        <f t="shared" si="58"/>
        <v>#VALUE!</v>
      </c>
      <c r="U934" s="12" t="e">
        <f t="shared" si="59"/>
        <v>#VALUE!</v>
      </c>
      <c r="V934" s="2" t="str">
        <f t="shared" si="60"/>
        <v/>
      </c>
      <c r="W934" s="12" t="str">
        <f t="shared" si="61"/>
        <v/>
      </c>
    </row>
    <row r="935" spans="1:23">
      <c r="A935">
        <f>IF(ISBLANK('Data Input'!A935),"",'Data Input'!A935)</f>
        <v>176</v>
      </c>
      <c r="B935" t="str">
        <f>IF(ISBLANK('Data Input'!B935),"",'Data Input'!B935)</f>
        <v/>
      </c>
      <c r="C935" t="str">
        <f>IF(ISBLANK('Data Input'!C935),"",'Data Input'!C935)</f>
        <v/>
      </c>
      <c r="E935" t="str">
        <f>IF(ISBLANK('Data Input'!D935),"",'Data Input'!D935)</f>
        <v/>
      </c>
      <c r="G935" t="str">
        <f>IF(ISBLANK('Data Input'!E935),"",'Data Input'!E935)</f>
        <v/>
      </c>
      <c r="H935" t="str">
        <f>IF(ISBLANK('Data Input'!F935),"",'Data Input'!F935)</f>
        <v/>
      </c>
      <c r="I935" t="str">
        <f>IF(ISBLANK('Data Input'!G935),"",'Data Input'!G935)</f>
        <v/>
      </c>
      <c r="J935" t="str">
        <f>IF(ISBLANK('Data Input'!I935),"",'Data Input'!I935)</f>
        <v/>
      </c>
      <c r="K935" t="str">
        <f>IF(ISBLANK('Data Input'!J935),"",'Data Input'!J935)</f>
        <v/>
      </c>
      <c r="L935" t="str">
        <f>IF(ISBLANK('Data Input'!K935),"",'Data Input'!K935)</f>
        <v/>
      </c>
      <c r="M935" t="str">
        <f>IF(ISBLANK('Data Input'!L935),"",'Data Input'!L935)</f>
        <v/>
      </c>
      <c r="N935" t="str">
        <f>IF(ISBLANK('Data Input'!M935),"",'Data Input'!M935)</f>
        <v/>
      </c>
      <c r="O935" t="str">
        <f>IF(ISBLANK('Data Input'!N935),"",'Data Input'!N935)</f>
        <v/>
      </c>
      <c r="P935" t="str">
        <f>IF(ISBLANK('Data Input'!O935),"",'Data Input'!O935)</f>
        <v/>
      </c>
      <c r="Q935" t="str">
        <f>IF(ISBLANK('Data Input'!P935),"",'Data Input'!P935)</f>
        <v/>
      </c>
      <c r="R935" t="b">
        <f>IF(ISBLANK('Data Input'!Q935),"",'Data Input'!Q935)</f>
        <v>0</v>
      </c>
      <c r="T935" s="2" t="e">
        <f t="shared" si="58"/>
        <v>#VALUE!</v>
      </c>
      <c r="U935" s="12" t="e">
        <f t="shared" si="59"/>
        <v>#VALUE!</v>
      </c>
      <c r="V935" s="2" t="str">
        <f t="shared" si="60"/>
        <v/>
      </c>
      <c r="W935" s="12" t="str">
        <f t="shared" si="61"/>
        <v/>
      </c>
    </row>
    <row r="936" spans="1:23">
      <c r="A936">
        <f>IF(ISBLANK('Data Input'!A936),"",'Data Input'!A936)</f>
        <v>176</v>
      </c>
      <c r="B936" t="str">
        <f>IF(ISBLANK('Data Input'!B936),"",'Data Input'!B936)</f>
        <v/>
      </c>
      <c r="C936" t="str">
        <f>IF(ISBLANK('Data Input'!C936),"",'Data Input'!C936)</f>
        <v/>
      </c>
      <c r="E936" t="str">
        <f>IF(ISBLANK('Data Input'!D936),"",'Data Input'!D936)</f>
        <v/>
      </c>
      <c r="G936" t="str">
        <f>IF(ISBLANK('Data Input'!E936),"",'Data Input'!E936)</f>
        <v/>
      </c>
      <c r="H936" t="str">
        <f>IF(ISBLANK('Data Input'!F936),"",'Data Input'!F936)</f>
        <v/>
      </c>
      <c r="I936" t="str">
        <f>IF(ISBLANK('Data Input'!G936),"",'Data Input'!G936)</f>
        <v/>
      </c>
      <c r="J936" t="str">
        <f>IF(ISBLANK('Data Input'!I936),"",'Data Input'!I936)</f>
        <v/>
      </c>
      <c r="K936" t="str">
        <f>IF(ISBLANK('Data Input'!J936),"",'Data Input'!J936)</f>
        <v/>
      </c>
      <c r="L936" t="str">
        <f>IF(ISBLANK('Data Input'!K936),"",'Data Input'!K936)</f>
        <v/>
      </c>
      <c r="M936" t="str">
        <f>IF(ISBLANK('Data Input'!L936),"",'Data Input'!L936)</f>
        <v/>
      </c>
      <c r="N936" t="str">
        <f>IF(ISBLANK('Data Input'!M936),"",'Data Input'!M936)</f>
        <v/>
      </c>
      <c r="O936" t="str">
        <f>IF(ISBLANK('Data Input'!N936),"",'Data Input'!N936)</f>
        <v/>
      </c>
      <c r="P936" t="str">
        <f>IF(ISBLANK('Data Input'!O936),"",'Data Input'!O936)</f>
        <v/>
      </c>
      <c r="Q936" t="str">
        <f>IF(ISBLANK('Data Input'!P936),"",'Data Input'!P936)</f>
        <v/>
      </c>
      <c r="R936" t="b">
        <f>IF(ISBLANK('Data Input'!Q936),"",'Data Input'!Q936)</f>
        <v>0</v>
      </c>
      <c r="T936" s="2" t="e">
        <f t="shared" si="58"/>
        <v>#VALUE!</v>
      </c>
      <c r="U936" s="12" t="e">
        <f t="shared" si="59"/>
        <v>#VALUE!</v>
      </c>
      <c r="V936" s="2" t="str">
        <f t="shared" si="60"/>
        <v/>
      </c>
      <c r="W936" s="12" t="str">
        <f t="shared" si="61"/>
        <v/>
      </c>
    </row>
    <row r="937" spans="1:23">
      <c r="A937">
        <f>IF(ISBLANK('Data Input'!A937),"",'Data Input'!A937)</f>
        <v>176</v>
      </c>
      <c r="B937" t="str">
        <f>IF(ISBLANK('Data Input'!B937),"",'Data Input'!B937)</f>
        <v/>
      </c>
      <c r="C937" t="str">
        <f>IF(ISBLANK('Data Input'!C937),"",'Data Input'!C937)</f>
        <v/>
      </c>
      <c r="E937" t="str">
        <f>IF(ISBLANK('Data Input'!D937),"",'Data Input'!D937)</f>
        <v/>
      </c>
      <c r="G937" t="str">
        <f>IF(ISBLANK('Data Input'!E937),"",'Data Input'!E937)</f>
        <v/>
      </c>
      <c r="H937" t="str">
        <f>IF(ISBLANK('Data Input'!F937),"",'Data Input'!F937)</f>
        <v/>
      </c>
      <c r="I937" t="str">
        <f>IF(ISBLANK('Data Input'!G937),"",'Data Input'!G937)</f>
        <v/>
      </c>
      <c r="J937" t="str">
        <f>IF(ISBLANK('Data Input'!I937),"",'Data Input'!I937)</f>
        <v/>
      </c>
      <c r="K937" t="str">
        <f>IF(ISBLANK('Data Input'!J937),"",'Data Input'!J937)</f>
        <v/>
      </c>
      <c r="L937" t="str">
        <f>IF(ISBLANK('Data Input'!K937),"",'Data Input'!K937)</f>
        <v/>
      </c>
      <c r="M937" t="str">
        <f>IF(ISBLANK('Data Input'!L937),"",'Data Input'!L937)</f>
        <v/>
      </c>
      <c r="N937" t="str">
        <f>IF(ISBLANK('Data Input'!M937),"",'Data Input'!M937)</f>
        <v/>
      </c>
      <c r="O937" t="str">
        <f>IF(ISBLANK('Data Input'!N937),"",'Data Input'!N937)</f>
        <v/>
      </c>
      <c r="P937" t="str">
        <f>IF(ISBLANK('Data Input'!O937),"",'Data Input'!O937)</f>
        <v/>
      </c>
      <c r="Q937" t="str">
        <f>IF(ISBLANK('Data Input'!P937),"",'Data Input'!P937)</f>
        <v/>
      </c>
      <c r="R937" t="b">
        <f>IF(ISBLANK('Data Input'!Q937),"",'Data Input'!Q937)</f>
        <v>0</v>
      </c>
      <c r="T937" s="2" t="e">
        <f t="shared" si="58"/>
        <v>#VALUE!</v>
      </c>
      <c r="U937" s="12" t="e">
        <f t="shared" si="59"/>
        <v>#VALUE!</v>
      </c>
      <c r="V937" s="2" t="str">
        <f t="shared" si="60"/>
        <v/>
      </c>
      <c r="W937" s="12" t="str">
        <f t="shared" si="61"/>
        <v/>
      </c>
    </row>
    <row r="938" spans="1:23">
      <c r="A938">
        <f>IF(ISBLANK('Data Input'!A938),"",'Data Input'!A938)</f>
        <v>176</v>
      </c>
      <c r="B938" t="str">
        <f>IF(ISBLANK('Data Input'!B938),"",'Data Input'!B938)</f>
        <v/>
      </c>
      <c r="C938" t="str">
        <f>IF(ISBLANK('Data Input'!C938),"",'Data Input'!C938)</f>
        <v/>
      </c>
      <c r="E938" t="str">
        <f>IF(ISBLANK('Data Input'!D938),"",'Data Input'!D938)</f>
        <v/>
      </c>
      <c r="G938" t="str">
        <f>IF(ISBLANK('Data Input'!E938),"",'Data Input'!E938)</f>
        <v/>
      </c>
      <c r="H938" t="str">
        <f>IF(ISBLANK('Data Input'!F938),"",'Data Input'!F938)</f>
        <v/>
      </c>
      <c r="I938" t="str">
        <f>IF(ISBLANK('Data Input'!G938),"",'Data Input'!G938)</f>
        <v/>
      </c>
      <c r="J938" t="str">
        <f>IF(ISBLANK('Data Input'!I938),"",'Data Input'!I938)</f>
        <v/>
      </c>
      <c r="K938" t="str">
        <f>IF(ISBLANK('Data Input'!J938),"",'Data Input'!J938)</f>
        <v/>
      </c>
      <c r="L938" t="str">
        <f>IF(ISBLANK('Data Input'!K938),"",'Data Input'!K938)</f>
        <v/>
      </c>
      <c r="M938" t="str">
        <f>IF(ISBLANK('Data Input'!L938),"",'Data Input'!L938)</f>
        <v/>
      </c>
      <c r="N938" t="str">
        <f>IF(ISBLANK('Data Input'!M938),"",'Data Input'!M938)</f>
        <v/>
      </c>
      <c r="O938" t="str">
        <f>IF(ISBLANK('Data Input'!N938),"",'Data Input'!N938)</f>
        <v/>
      </c>
      <c r="P938" t="str">
        <f>IF(ISBLANK('Data Input'!O938),"",'Data Input'!O938)</f>
        <v/>
      </c>
      <c r="Q938" t="str">
        <f>IF(ISBLANK('Data Input'!P938),"",'Data Input'!P938)</f>
        <v/>
      </c>
      <c r="R938" t="b">
        <f>IF(ISBLANK('Data Input'!Q938),"",'Data Input'!Q938)</f>
        <v>0</v>
      </c>
      <c r="T938" s="2" t="e">
        <f t="shared" si="58"/>
        <v>#VALUE!</v>
      </c>
      <c r="U938" s="12" t="e">
        <f t="shared" si="59"/>
        <v>#VALUE!</v>
      </c>
      <c r="V938" s="2" t="str">
        <f t="shared" si="60"/>
        <v/>
      </c>
      <c r="W938" s="12" t="str">
        <f t="shared" si="61"/>
        <v/>
      </c>
    </row>
    <row r="939" spans="1:23">
      <c r="A939">
        <f>IF(ISBLANK('Data Input'!A939),"",'Data Input'!A939)</f>
        <v>176</v>
      </c>
      <c r="B939" t="str">
        <f>IF(ISBLANK('Data Input'!B939),"",'Data Input'!B939)</f>
        <v/>
      </c>
      <c r="C939" t="str">
        <f>IF(ISBLANK('Data Input'!C939),"",'Data Input'!C939)</f>
        <v/>
      </c>
      <c r="E939" t="str">
        <f>IF(ISBLANK('Data Input'!D939),"",'Data Input'!D939)</f>
        <v/>
      </c>
      <c r="G939" t="str">
        <f>IF(ISBLANK('Data Input'!E939),"",'Data Input'!E939)</f>
        <v/>
      </c>
      <c r="H939" t="str">
        <f>IF(ISBLANK('Data Input'!F939),"",'Data Input'!F939)</f>
        <v/>
      </c>
      <c r="I939" t="str">
        <f>IF(ISBLANK('Data Input'!G939),"",'Data Input'!G939)</f>
        <v/>
      </c>
      <c r="J939" t="str">
        <f>IF(ISBLANK('Data Input'!I939),"",'Data Input'!I939)</f>
        <v/>
      </c>
      <c r="K939" t="str">
        <f>IF(ISBLANK('Data Input'!J939),"",'Data Input'!J939)</f>
        <v/>
      </c>
      <c r="L939" t="str">
        <f>IF(ISBLANK('Data Input'!K939),"",'Data Input'!K939)</f>
        <v/>
      </c>
      <c r="M939" t="str">
        <f>IF(ISBLANK('Data Input'!L939),"",'Data Input'!L939)</f>
        <v/>
      </c>
      <c r="N939" t="str">
        <f>IF(ISBLANK('Data Input'!M939),"",'Data Input'!M939)</f>
        <v/>
      </c>
      <c r="O939" t="str">
        <f>IF(ISBLANK('Data Input'!N939),"",'Data Input'!N939)</f>
        <v/>
      </c>
      <c r="P939" t="str">
        <f>IF(ISBLANK('Data Input'!O939),"",'Data Input'!O939)</f>
        <v/>
      </c>
      <c r="Q939" t="str">
        <f>IF(ISBLANK('Data Input'!P939),"",'Data Input'!P939)</f>
        <v/>
      </c>
      <c r="R939" t="b">
        <f>IF(ISBLANK('Data Input'!Q939),"",'Data Input'!Q939)</f>
        <v>0</v>
      </c>
      <c r="T939" s="2" t="e">
        <f t="shared" si="58"/>
        <v>#VALUE!</v>
      </c>
      <c r="U939" s="12" t="e">
        <f t="shared" si="59"/>
        <v>#VALUE!</v>
      </c>
      <c r="V939" s="2" t="str">
        <f t="shared" si="60"/>
        <v/>
      </c>
      <c r="W939" s="12" t="str">
        <f t="shared" si="61"/>
        <v/>
      </c>
    </row>
    <row r="940" spans="1:23">
      <c r="A940">
        <f>IF(ISBLANK('Data Input'!A940),"",'Data Input'!A940)</f>
        <v>176</v>
      </c>
      <c r="B940" t="str">
        <f>IF(ISBLANK('Data Input'!B940),"",'Data Input'!B940)</f>
        <v/>
      </c>
      <c r="C940" t="str">
        <f>IF(ISBLANK('Data Input'!C940),"",'Data Input'!C940)</f>
        <v/>
      </c>
      <c r="E940" t="str">
        <f>IF(ISBLANK('Data Input'!D940),"",'Data Input'!D940)</f>
        <v/>
      </c>
      <c r="G940" t="str">
        <f>IF(ISBLANK('Data Input'!E940),"",'Data Input'!E940)</f>
        <v/>
      </c>
      <c r="H940" t="str">
        <f>IF(ISBLANK('Data Input'!F940),"",'Data Input'!F940)</f>
        <v/>
      </c>
      <c r="I940" t="str">
        <f>IF(ISBLANK('Data Input'!G940),"",'Data Input'!G940)</f>
        <v/>
      </c>
      <c r="J940" t="str">
        <f>IF(ISBLANK('Data Input'!I940),"",'Data Input'!I940)</f>
        <v/>
      </c>
      <c r="K940" t="str">
        <f>IF(ISBLANK('Data Input'!J940),"",'Data Input'!J940)</f>
        <v/>
      </c>
      <c r="L940" t="str">
        <f>IF(ISBLANK('Data Input'!K940),"",'Data Input'!K940)</f>
        <v/>
      </c>
      <c r="M940" t="str">
        <f>IF(ISBLANK('Data Input'!L940),"",'Data Input'!L940)</f>
        <v/>
      </c>
      <c r="N940" t="str">
        <f>IF(ISBLANK('Data Input'!M940),"",'Data Input'!M940)</f>
        <v/>
      </c>
      <c r="O940" t="str">
        <f>IF(ISBLANK('Data Input'!N940),"",'Data Input'!N940)</f>
        <v/>
      </c>
      <c r="P940" t="str">
        <f>IF(ISBLANK('Data Input'!O940),"",'Data Input'!O940)</f>
        <v/>
      </c>
      <c r="Q940" t="str">
        <f>IF(ISBLANK('Data Input'!P940),"",'Data Input'!P940)</f>
        <v/>
      </c>
      <c r="R940" t="b">
        <f>IF(ISBLANK('Data Input'!Q940),"",'Data Input'!Q940)</f>
        <v>0</v>
      </c>
      <c r="T940" s="2" t="e">
        <f t="shared" si="58"/>
        <v>#VALUE!</v>
      </c>
      <c r="U940" s="12" t="e">
        <f t="shared" si="59"/>
        <v>#VALUE!</v>
      </c>
      <c r="V940" s="2" t="str">
        <f t="shared" si="60"/>
        <v/>
      </c>
      <c r="W940" s="12" t="str">
        <f t="shared" si="61"/>
        <v/>
      </c>
    </row>
    <row r="941" spans="1:23">
      <c r="A941">
        <f>IF(ISBLANK('Data Input'!A941),"",'Data Input'!A941)</f>
        <v>176</v>
      </c>
      <c r="B941" t="str">
        <f>IF(ISBLANK('Data Input'!B941),"",'Data Input'!B941)</f>
        <v/>
      </c>
      <c r="C941" t="str">
        <f>IF(ISBLANK('Data Input'!C941),"",'Data Input'!C941)</f>
        <v/>
      </c>
      <c r="E941" t="str">
        <f>IF(ISBLANK('Data Input'!D941),"",'Data Input'!D941)</f>
        <v/>
      </c>
      <c r="G941" t="str">
        <f>IF(ISBLANK('Data Input'!E941),"",'Data Input'!E941)</f>
        <v/>
      </c>
      <c r="H941" t="str">
        <f>IF(ISBLANK('Data Input'!F941),"",'Data Input'!F941)</f>
        <v/>
      </c>
      <c r="I941" t="str">
        <f>IF(ISBLANK('Data Input'!G941),"",'Data Input'!G941)</f>
        <v/>
      </c>
      <c r="J941" t="str">
        <f>IF(ISBLANK('Data Input'!I941),"",'Data Input'!I941)</f>
        <v/>
      </c>
      <c r="K941" t="str">
        <f>IF(ISBLANK('Data Input'!J941),"",'Data Input'!J941)</f>
        <v/>
      </c>
      <c r="L941" t="str">
        <f>IF(ISBLANK('Data Input'!K941),"",'Data Input'!K941)</f>
        <v/>
      </c>
      <c r="M941" t="str">
        <f>IF(ISBLANK('Data Input'!L941),"",'Data Input'!L941)</f>
        <v/>
      </c>
      <c r="N941" t="str">
        <f>IF(ISBLANK('Data Input'!M941),"",'Data Input'!M941)</f>
        <v/>
      </c>
      <c r="O941" t="str">
        <f>IF(ISBLANK('Data Input'!N941),"",'Data Input'!N941)</f>
        <v/>
      </c>
      <c r="P941" t="str">
        <f>IF(ISBLANK('Data Input'!O941),"",'Data Input'!O941)</f>
        <v/>
      </c>
      <c r="Q941" t="str">
        <f>IF(ISBLANK('Data Input'!P941),"",'Data Input'!P941)</f>
        <v/>
      </c>
      <c r="R941" t="b">
        <f>IF(ISBLANK('Data Input'!Q941),"",'Data Input'!Q941)</f>
        <v>0</v>
      </c>
      <c r="T941" s="2" t="e">
        <f t="shared" si="58"/>
        <v>#VALUE!</v>
      </c>
      <c r="U941" s="12" t="e">
        <f t="shared" si="59"/>
        <v>#VALUE!</v>
      </c>
      <c r="V941" s="2" t="str">
        <f t="shared" si="60"/>
        <v/>
      </c>
      <c r="W941" s="12" t="str">
        <f t="shared" si="61"/>
        <v/>
      </c>
    </row>
    <row r="942" spans="1:23">
      <c r="A942">
        <f>IF(ISBLANK('Data Input'!A942),"",'Data Input'!A942)</f>
        <v>176</v>
      </c>
      <c r="B942" t="str">
        <f>IF(ISBLANK('Data Input'!B942),"",'Data Input'!B942)</f>
        <v/>
      </c>
      <c r="C942" t="str">
        <f>IF(ISBLANK('Data Input'!C942),"",'Data Input'!C942)</f>
        <v/>
      </c>
      <c r="E942" t="str">
        <f>IF(ISBLANK('Data Input'!D942),"",'Data Input'!D942)</f>
        <v/>
      </c>
      <c r="G942" t="str">
        <f>IF(ISBLANK('Data Input'!E942),"",'Data Input'!E942)</f>
        <v/>
      </c>
      <c r="H942" t="str">
        <f>IF(ISBLANK('Data Input'!F942),"",'Data Input'!F942)</f>
        <v/>
      </c>
      <c r="I942" t="str">
        <f>IF(ISBLANK('Data Input'!G942),"",'Data Input'!G942)</f>
        <v/>
      </c>
      <c r="J942" t="str">
        <f>IF(ISBLANK('Data Input'!I942),"",'Data Input'!I942)</f>
        <v/>
      </c>
      <c r="K942" t="str">
        <f>IF(ISBLANK('Data Input'!J942),"",'Data Input'!J942)</f>
        <v/>
      </c>
      <c r="L942" t="str">
        <f>IF(ISBLANK('Data Input'!K942),"",'Data Input'!K942)</f>
        <v/>
      </c>
      <c r="M942" t="str">
        <f>IF(ISBLANK('Data Input'!L942),"",'Data Input'!L942)</f>
        <v/>
      </c>
      <c r="N942" t="str">
        <f>IF(ISBLANK('Data Input'!M942),"",'Data Input'!M942)</f>
        <v/>
      </c>
      <c r="O942" t="str">
        <f>IF(ISBLANK('Data Input'!N942),"",'Data Input'!N942)</f>
        <v/>
      </c>
      <c r="P942" t="str">
        <f>IF(ISBLANK('Data Input'!O942),"",'Data Input'!O942)</f>
        <v/>
      </c>
      <c r="Q942" t="str">
        <f>IF(ISBLANK('Data Input'!P942),"",'Data Input'!P942)</f>
        <v/>
      </c>
      <c r="R942" t="b">
        <f>IF(ISBLANK('Data Input'!Q942),"",'Data Input'!Q942)</f>
        <v>0</v>
      </c>
      <c r="T942" s="2" t="e">
        <f t="shared" si="58"/>
        <v>#VALUE!</v>
      </c>
      <c r="U942" s="12" t="e">
        <f t="shared" si="59"/>
        <v>#VALUE!</v>
      </c>
      <c r="V942" s="2" t="str">
        <f t="shared" si="60"/>
        <v/>
      </c>
      <c r="W942" s="12" t="str">
        <f t="shared" si="61"/>
        <v/>
      </c>
    </row>
    <row r="943" spans="1:23">
      <c r="A943">
        <f>IF(ISBLANK('Data Input'!A943),"",'Data Input'!A943)</f>
        <v>176</v>
      </c>
      <c r="B943" t="str">
        <f>IF(ISBLANK('Data Input'!B943),"",'Data Input'!B943)</f>
        <v/>
      </c>
      <c r="C943" t="str">
        <f>IF(ISBLANK('Data Input'!C943),"",'Data Input'!C943)</f>
        <v/>
      </c>
      <c r="E943" t="str">
        <f>IF(ISBLANK('Data Input'!D943),"",'Data Input'!D943)</f>
        <v/>
      </c>
      <c r="G943" t="str">
        <f>IF(ISBLANK('Data Input'!E943),"",'Data Input'!E943)</f>
        <v/>
      </c>
      <c r="H943" t="str">
        <f>IF(ISBLANK('Data Input'!F943),"",'Data Input'!F943)</f>
        <v/>
      </c>
      <c r="I943" t="str">
        <f>IF(ISBLANK('Data Input'!G943),"",'Data Input'!G943)</f>
        <v/>
      </c>
      <c r="J943" t="str">
        <f>IF(ISBLANK('Data Input'!I943),"",'Data Input'!I943)</f>
        <v/>
      </c>
      <c r="K943" t="str">
        <f>IF(ISBLANK('Data Input'!J943),"",'Data Input'!J943)</f>
        <v/>
      </c>
      <c r="L943" t="str">
        <f>IF(ISBLANK('Data Input'!K943),"",'Data Input'!K943)</f>
        <v/>
      </c>
      <c r="M943" t="str">
        <f>IF(ISBLANK('Data Input'!L943),"",'Data Input'!L943)</f>
        <v/>
      </c>
      <c r="N943" t="str">
        <f>IF(ISBLANK('Data Input'!M943),"",'Data Input'!M943)</f>
        <v/>
      </c>
      <c r="O943" t="str">
        <f>IF(ISBLANK('Data Input'!N943),"",'Data Input'!N943)</f>
        <v/>
      </c>
      <c r="P943" t="str">
        <f>IF(ISBLANK('Data Input'!O943),"",'Data Input'!O943)</f>
        <v/>
      </c>
      <c r="Q943" t="str">
        <f>IF(ISBLANK('Data Input'!P943),"",'Data Input'!P943)</f>
        <v/>
      </c>
      <c r="R943" t="b">
        <f>IF(ISBLANK('Data Input'!Q943),"",'Data Input'!Q943)</f>
        <v>0</v>
      </c>
      <c r="T943" s="2" t="e">
        <f t="shared" si="58"/>
        <v>#VALUE!</v>
      </c>
      <c r="U943" s="12" t="e">
        <f t="shared" si="59"/>
        <v>#VALUE!</v>
      </c>
      <c r="V943" s="2" t="str">
        <f t="shared" si="60"/>
        <v/>
      </c>
      <c r="W943" s="12" t="str">
        <f t="shared" si="61"/>
        <v/>
      </c>
    </row>
    <row r="944" spans="1:23">
      <c r="A944">
        <f>IF(ISBLANK('Data Input'!A944),"",'Data Input'!A944)</f>
        <v>176</v>
      </c>
      <c r="B944" t="str">
        <f>IF(ISBLANK('Data Input'!B944),"",'Data Input'!B944)</f>
        <v/>
      </c>
      <c r="C944" t="str">
        <f>IF(ISBLANK('Data Input'!C944),"",'Data Input'!C944)</f>
        <v/>
      </c>
      <c r="E944" t="str">
        <f>IF(ISBLANK('Data Input'!D944),"",'Data Input'!D944)</f>
        <v/>
      </c>
      <c r="G944" t="str">
        <f>IF(ISBLANK('Data Input'!E944),"",'Data Input'!E944)</f>
        <v/>
      </c>
      <c r="H944" t="str">
        <f>IF(ISBLANK('Data Input'!F944),"",'Data Input'!F944)</f>
        <v/>
      </c>
      <c r="I944" t="str">
        <f>IF(ISBLANK('Data Input'!G944),"",'Data Input'!G944)</f>
        <v/>
      </c>
      <c r="J944" t="str">
        <f>IF(ISBLANK('Data Input'!I944),"",'Data Input'!I944)</f>
        <v/>
      </c>
      <c r="K944" t="str">
        <f>IF(ISBLANK('Data Input'!J944),"",'Data Input'!J944)</f>
        <v/>
      </c>
      <c r="L944" t="str">
        <f>IF(ISBLANK('Data Input'!K944),"",'Data Input'!K944)</f>
        <v/>
      </c>
      <c r="M944" t="str">
        <f>IF(ISBLANK('Data Input'!L944),"",'Data Input'!L944)</f>
        <v/>
      </c>
      <c r="N944" t="str">
        <f>IF(ISBLANK('Data Input'!M944),"",'Data Input'!M944)</f>
        <v/>
      </c>
      <c r="O944" t="str">
        <f>IF(ISBLANK('Data Input'!N944),"",'Data Input'!N944)</f>
        <v/>
      </c>
      <c r="P944" t="str">
        <f>IF(ISBLANK('Data Input'!O944),"",'Data Input'!O944)</f>
        <v/>
      </c>
      <c r="Q944" t="str">
        <f>IF(ISBLANK('Data Input'!P944),"",'Data Input'!P944)</f>
        <v/>
      </c>
      <c r="R944" t="b">
        <f>IF(ISBLANK('Data Input'!Q944),"",'Data Input'!Q944)</f>
        <v>0</v>
      </c>
      <c r="T944" s="2" t="e">
        <f t="shared" si="58"/>
        <v>#VALUE!</v>
      </c>
      <c r="U944" s="12" t="e">
        <f t="shared" si="59"/>
        <v>#VALUE!</v>
      </c>
      <c r="V944" s="2" t="str">
        <f t="shared" si="60"/>
        <v/>
      </c>
      <c r="W944" s="12" t="str">
        <f t="shared" si="61"/>
        <v/>
      </c>
    </row>
    <row r="945" spans="1:23">
      <c r="A945">
        <f>IF(ISBLANK('Data Input'!A945),"",'Data Input'!A945)</f>
        <v>176</v>
      </c>
      <c r="B945" t="str">
        <f>IF(ISBLANK('Data Input'!B945),"",'Data Input'!B945)</f>
        <v/>
      </c>
      <c r="C945" t="str">
        <f>IF(ISBLANK('Data Input'!C945),"",'Data Input'!C945)</f>
        <v/>
      </c>
      <c r="E945" t="str">
        <f>IF(ISBLANK('Data Input'!D945),"",'Data Input'!D945)</f>
        <v/>
      </c>
      <c r="G945" t="str">
        <f>IF(ISBLANK('Data Input'!E945),"",'Data Input'!E945)</f>
        <v/>
      </c>
      <c r="H945" t="str">
        <f>IF(ISBLANK('Data Input'!F945),"",'Data Input'!F945)</f>
        <v/>
      </c>
      <c r="I945" t="str">
        <f>IF(ISBLANK('Data Input'!G945),"",'Data Input'!G945)</f>
        <v/>
      </c>
      <c r="J945" t="str">
        <f>IF(ISBLANK('Data Input'!I945),"",'Data Input'!I945)</f>
        <v/>
      </c>
      <c r="K945" t="str">
        <f>IF(ISBLANK('Data Input'!J945),"",'Data Input'!J945)</f>
        <v/>
      </c>
      <c r="L945" t="str">
        <f>IF(ISBLANK('Data Input'!K945),"",'Data Input'!K945)</f>
        <v/>
      </c>
      <c r="M945" t="str">
        <f>IF(ISBLANK('Data Input'!L945),"",'Data Input'!L945)</f>
        <v/>
      </c>
      <c r="N945" t="str">
        <f>IF(ISBLANK('Data Input'!M945),"",'Data Input'!M945)</f>
        <v/>
      </c>
      <c r="O945" t="str">
        <f>IF(ISBLANK('Data Input'!N945),"",'Data Input'!N945)</f>
        <v/>
      </c>
      <c r="P945" t="str">
        <f>IF(ISBLANK('Data Input'!O945),"",'Data Input'!O945)</f>
        <v/>
      </c>
      <c r="Q945" t="str">
        <f>IF(ISBLANK('Data Input'!P945),"",'Data Input'!P945)</f>
        <v/>
      </c>
      <c r="R945" t="b">
        <f>IF(ISBLANK('Data Input'!Q945),"",'Data Input'!Q945)</f>
        <v>0</v>
      </c>
      <c r="T945" s="2" t="e">
        <f t="shared" si="58"/>
        <v>#VALUE!</v>
      </c>
      <c r="U945" s="12" t="e">
        <f t="shared" si="59"/>
        <v>#VALUE!</v>
      </c>
      <c r="V945" s="2" t="str">
        <f t="shared" si="60"/>
        <v/>
      </c>
      <c r="W945" s="12" t="str">
        <f t="shared" si="61"/>
        <v/>
      </c>
    </row>
    <row r="946" spans="1:23">
      <c r="A946">
        <f>IF(ISBLANK('Data Input'!A946),"",'Data Input'!A946)</f>
        <v>176</v>
      </c>
      <c r="B946" t="str">
        <f>IF(ISBLANK('Data Input'!B946),"",'Data Input'!B946)</f>
        <v/>
      </c>
      <c r="C946" t="str">
        <f>IF(ISBLANK('Data Input'!C946),"",'Data Input'!C946)</f>
        <v/>
      </c>
      <c r="E946" t="str">
        <f>IF(ISBLANK('Data Input'!D946),"",'Data Input'!D946)</f>
        <v/>
      </c>
      <c r="G946" t="str">
        <f>IF(ISBLANK('Data Input'!E946),"",'Data Input'!E946)</f>
        <v/>
      </c>
      <c r="H946" t="str">
        <f>IF(ISBLANK('Data Input'!F946),"",'Data Input'!F946)</f>
        <v/>
      </c>
      <c r="I946" t="str">
        <f>IF(ISBLANK('Data Input'!G946),"",'Data Input'!G946)</f>
        <v/>
      </c>
      <c r="J946" t="str">
        <f>IF(ISBLANK('Data Input'!I946),"",'Data Input'!I946)</f>
        <v/>
      </c>
      <c r="K946" t="str">
        <f>IF(ISBLANK('Data Input'!J946),"",'Data Input'!J946)</f>
        <v/>
      </c>
      <c r="L946" t="str">
        <f>IF(ISBLANK('Data Input'!K946),"",'Data Input'!K946)</f>
        <v/>
      </c>
      <c r="M946" t="str">
        <f>IF(ISBLANK('Data Input'!L946),"",'Data Input'!L946)</f>
        <v/>
      </c>
      <c r="N946" t="str">
        <f>IF(ISBLANK('Data Input'!M946),"",'Data Input'!M946)</f>
        <v/>
      </c>
      <c r="O946" t="str">
        <f>IF(ISBLANK('Data Input'!N946),"",'Data Input'!N946)</f>
        <v/>
      </c>
      <c r="P946" t="str">
        <f>IF(ISBLANK('Data Input'!O946),"",'Data Input'!O946)</f>
        <v/>
      </c>
      <c r="Q946" t="str">
        <f>IF(ISBLANK('Data Input'!P946),"",'Data Input'!P946)</f>
        <v/>
      </c>
      <c r="R946" t="b">
        <f>IF(ISBLANK('Data Input'!Q946),"",'Data Input'!Q946)</f>
        <v>0</v>
      </c>
      <c r="T946" s="2" t="e">
        <f t="shared" si="58"/>
        <v>#VALUE!</v>
      </c>
      <c r="U946" s="12" t="e">
        <f t="shared" si="59"/>
        <v>#VALUE!</v>
      </c>
      <c r="V946" s="2" t="str">
        <f t="shared" si="60"/>
        <v/>
      </c>
      <c r="W946" s="12" t="str">
        <f t="shared" si="61"/>
        <v/>
      </c>
    </row>
    <row r="947" spans="1:23">
      <c r="A947">
        <f>IF(ISBLANK('Data Input'!A947),"",'Data Input'!A947)</f>
        <v>176</v>
      </c>
      <c r="B947" t="str">
        <f>IF(ISBLANK('Data Input'!B947),"",'Data Input'!B947)</f>
        <v/>
      </c>
      <c r="C947" t="str">
        <f>IF(ISBLANK('Data Input'!C947),"",'Data Input'!C947)</f>
        <v/>
      </c>
      <c r="E947" t="str">
        <f>IF(ISBLANK('Data Input'!D947),"",'Data Input'!D947)</f>
        <v/>
      </c>
      <c r="G947" t="str">
        <f>IF(ISBLANK('Data Input'!E947),"",'Data Input'!E947)</f>
        <v/>
      </c>
      <c r="H947" t="str">
        <f>IF(ISBLANK('Data Input'!F947),"",'Data Input'!F947)</f>
        <v/>
      </c>
      <c r="I947" t="str">
        <f>IF(ISBLANK('Data Input'!G947),"",'Data Input'!G947)</f>
        <v/>
      </c>
      <c r="J947" t="str">
        <f>IF(ISBLANK('Data Input'!I947),"",'Data Input'!I947)</f>
        <v/>
      </c>
      <c r="K947" t="str">
        <f>IF(ISBLANK('Data Input'!J947),"",'Data Input'!J947)</f>
        <v/>
      </c>
      <c r="L947" t="str">
        <f>IF(ISBLANK('Data Input'!K947),"",'Data Input'!K947)</f>
        <v/>
      </c>
      <c r="M947" t="str">
        <f>IF(ISBLANK('Data Input'!L947),"",'Data Input'!L947)</f>
        <v/>
      </c>
      <c r="N947" t="str">
        <f>IF(ISBLANK('Data Input'!M947),"",'Data Input'!M947)</f>
        <v/>
      </c>
      <c r="O947" t="str">
        <f>IF(ISBLANK('Data Input'!N947),"",'Data Input'!N947)</f>
        <v/>
      </c>
      <c r="P947" t="str">
        <f>IF(ISBLANK('Data Input'!O947),"",'Data Input'!O947)</f>
        <v/>
      </c>
      <c r="Q947" t="str">
        <f>IF(ISBLANK('Data Input'!P947),"",'Data Input'!P947)</f>
        <v/>
      </c>
      <c r="R947" t="b">
        <f>IF(ISBLANK('Data Input'!Q947),"",'Data Input'!Q947)</f>
        <v>0</v>
      </c>
      <c r="T947" s="2" t="e">
        <f t="shared" si="58"/>
        <v>#VALUE!</v>
      </c>
      <c r="U947" s="12" t="e">
        <f t="shared" si="59"/>
        <v>#VALUE!</v>
      </c>
      <c r="V947" s="2" t="str">
        <f t="shared" si="60"/>
        <v/>
      </c>
      <c r="W947" s="12" t="str">
        <f t="shared" si="61"/>
        <v/>
      </c>
    </row>
    <row r="948" spans="1:23">
      <c r="A948">
        <f>IF(ISBLANK('Data Input'!A948),"",'Data Input'!A948)</f>
        <v>176</v>
      </c>
      <c r="B948" t="str">
        <f>IF(ISBLANK('Data Input'!B948),"",'Data Input'!B948)</f>
        <v/>
      </c>
      <c r="C948" t="str">
        <f>IF(ISBLANK('Data Input'!C948),"",'Data Input'!C948)</f>
        <v/>
      </c>
      <c r="E948" t="str">
        <f>IF(ISBLANK('Data Input'!D948),"",'Data Input'!D948)</f>
        <v/>
      </c>
      <c r="G948" t="str">
        <f>IF(ISBLANK('Data Input'!E948),"",'Data Input'!E948)</f>
        <v/>
      </c>
      <c r="H948" t="str">
        <f>IF(ISBLANK('Data Input'!F948),"",'Data Input'!F948)</f>
        <v/>
      </c>
      <c r="I948" t="str">
        <f>IF(ISBLANK('Data Input'!G948),"",'Data Input'!G948)</f>
        <v/>
      </c>
      <c r="J948" t="str">
        <f>IF(ISBLANK('Data Input'!I948),"",'Data Input'!I948)</f>
        <v/>
      </c>
      <c r="K948" t="str">
        <f>IF(ISBLANK('Data Input'!J948),"",'Data Input'!J948)</f>
        <v/>
      </c>
      <c r="L948" t="str">
        <f>IF(ISBLANK('Data Input'!K948),"",'Data Input'!K948)</f>
        <v/>
      </c>
      <c r="M948" t="str">
        <f>IF(ISBLANK('Data Input'!L948),"",'Data Input'!L948)</f>
        <v/>
      </c>
      <c r="N948" t="str">
        <f>IF(ISBLANK('Data Input'!M948),"",'Data Input'!M948)</f>
        <v/>
      </c>
      <c r="O948" t="str">
        <f>IF(ISBLANK('Data Input'!N948),"",'Data Input'!N948)</f>
        <v/>
      </c>
      <c r="P948" t="str">
        <f>IF(ISBLANK('Data Input'!O948),"",'Data Input'!O948)</f>
        <v/>
      </c>
      <c r="Q948" t="str">
        <f>IF(ISBLANK('Data Input'!P948),"",'Data Input'!P948)</f>
        <v/>
      </c>
      <c r="R948" t="b">
        <f>IF(ISBLANK('Data Input'!Q948),"",'Data Input'!Q948)</f>
        <v>0</v>
      </c>
      <c r="T948" s="2" t="e">
        <f t="shared" si="58"/>
        <v>#VALUE!</v>
      </c>
      <c r="U948" s="12" t="e">
        <f t="shared" si="59"/>
        <v>#VALUE!</v>
      </c>
      <c r="V948" s="2" t="str">
        <f t="shared" si="60"/>
        <v/>
      </c>
      <c r="W948" s="12" t="str">
        <f t="shared" si="61"/>
        <v/>
      </c>
    </row>
    <row r="949" spans="1:23">
      <c r="A949">
        <f>IF(ISBLANK('Data Input'!A949),"",'Data Input'!A949)</f>
        <v>176</v>
      </c>
      <c r="B949" t="str">
        <f>IF(ISBLANK('Data Input'!B949),"",'Data Input'!B949)</f>
        <v/>
      </c>
      <c r="C949" t="str">
        <f>IF(ISBLANK('Data Input'!C949),"",'Data Input'!C949)</f>
        <v/>
      </c>
      <c r="E949" t="str">
        <f>IF(ISBLANK('Data Input'!D949),"",'Data Input'!D949)</f>
        <v/>
      </c>
      <c r="G949" t="str">
        <f>IF(ISBLANK('Data Input'!E949),"",'Data Input'!E949)</f>
        <v/>
      </c>
      <c r="H949" t="str">
        <f>IF(ISBLANK('Data Input'!F949),"",'Data Input'!F949)</f>
        <v/>
      </c>
      <c r="I949" t="str">
        <f>IF(ISBLANK('Data Input'!G949),"",'Data Input'!G949)</f>
        <v/>
      </c>
      <c r="J949" t="str">
        <f>IF(ISBLANK('Data Input'!I949),"",'Data Input'!I949)</f>
        <v/>
      </c>
      <c r="K949" t="str">
        <f>IF(ISBLANK('Data Input'!J949),"",'Data Input'!J949)</f>
        <v/>
      </c>
      <c r="L949" t="str">
        <f>IF(ISBLANK('Data Input'!K949),"",'Data Input'!K949)</f>
        <v/>
      </c>
      <c r="M949" t="str">
        <f>IF(ISBLANK('Data Input'!L949),"",'Data Input'!L949)</f>
        <v/>
      </c>
      <c r="N949" t="str">
        <f>IF(ISBLANK('Data Input'!M949),"",'Data Input'!M949)</f>
        <v/>
      </c>
      <c r="O949" t="str">
        <f>IF(ISBLANK('Data Input'!N949),"",'Data Input'!N949)</f>
        <v/>
      </c>
      <c r="P949" t="str">
        <f>IF(ISBLANK('Data Input'!O949),"",'Data Input'!O949)</f>
        <v/>
      </c>
      <c r="Q949" t="str">
        <f>IF(ISBLANK('Data Input'!P949),"",'Data Input'!P949)</f>
        <v/>
      </c>
      <c r="R949" t="b">
        <f>IF(ISBLANK('Data Input'!Q949),"",'Data Input'!Q949)</f>
        <v>0</v>
      </c>
      <c r="T949" s="2" t="e">
        <f t="shared" si="58"/>
        <v>#VALUE!</v>
      </c>
      <c r="U949" s="12" t="e">
        <f t="shared" si="59"/>
        <v>#VALUE!</v>
      </c>
      <c r="V949" s="2" t="str">
        <f t="shared" si="60"/>
        <v/>
      </c>
      <c r="W949" s="12" t="str">
        <f t="shared" si="61"/>
        <v/>
      </c>
    </row>
    <row r="950" spans="1:23">
      <c r="A950">
        <f>IF(ISBLANK('Data Input'!A950),"",'Data Input'!A950)</f>
        <v>176</v>
      </c>
      <c r="B950" t="str">
        <f>IF(ISBLANK('Data Input'!B950),"",'Data Input'!B950)</f>
        <v/>
      </c>
      <c r="C950" t="str">
        <f>IF(ISBLANK('Data Input'!C950),"",'Data Input'!C950)</f>
        <v/>
      </c>
      <c r="E950" t="str">
        <f>IF(ISBLANK('Data Input'!D950),"",'Data Input'!D950)</f>
        <v/>
      </c>
      <c r="G950" t="str">
        <f>IF(ISBLANK('Data Input'!E950),"",'Data Input'!E950)</f>
        <v/>
      </c>
      <c r="H950" t="str">
        <f>IF(ISBLANK('Data Input'!F950),"",'Data Input'!F950)</f>
        <v/>
      </c>
      <c r="I950" t="str">
        <f>IF(ISBLANK('Data Input'!G950),"",'Data Input'!G950)</f>
        <v/>
      </c>
      <c r="J950" t="str">
        <f>IF(ISBLANK('Data Input'!I950),"",'Data Input'!I950)</f>
        <v/>
      </c>
      <c r="K950" t="str">
        <f>IF(ISBLANK('Data Input'!J950),"",'Data Input'!J950)</f>
        <v/>
      </c>
      <c r="L950" t="str">
        <f>IF(ISBLANK('Data Input'!K950),"",'Data Input'!K950)</f>
        <v/>
      </c>
      <c r="M950" t="str">
        <f>IF(ISBLANK('Data Input'!L950),"",'Data Input'!L950)</f>
        <v/>
      </c>
      <c r="N950" t="str">
        <f>IF(ISBLANK('Data Input'!M950),"",'Data Input'!M950)</f>
        <v/>
      </c>
      <c r="O950" t="str">
        <f>IF(ISBLANK('Data Input'!N950),"",'Data Input'!N950)</f>
        <v/>
      </c>
      <c r="P950" t="str">
        <f>IF(ISBLANK('Data Input'!O950),"",'Data Input'!O950)</f>
        <v/>
      </c>
      <c r="Q950" t="str">
        <f>IF(ISBLANK('Data Input'!P950),"",'Data Input'!P950)</f>
        <v/>
      </c>
      <c r="R950" t="b">
        <f>IF(ISBLANK('Data Input'!Q950),"",'Data Input'!Q950)</f>
        <v>0</v>
      </c>
      <c r="T950" s="2" t="e">
        <f t="shared" si="58"/>
        <v>#VALUE!</v>
      </c>
      <c r="U950" s="12" t="e">
        <f t="shared" si="59"/>
        <v>#VALUE!</v>
      </c>
      <c r="V950" s="2" t="str">
        <f t="shared" si="60"/>
        <v/>
      </c>
      <c r="W950" s="12" t="str">
        <f t="shared" si="61"/>
        <v/>
      </c>
    </row>
    <row r="951" spans="1:23">
      <c r="A951">
        <f>IF(ISBLANK('Data Input'!A951),"",'Data Input'!A951)</f>
        <v>176</v>
      </c>
      <c r="B951" t="str">
        <f>IF(ISBLANK('Data Input'!B951),"",'Data Input'!B951)</f>
        <v/>
      </c>
      <c r="C951" t="str">
        <f>IF(ISBLANK('Data Input'!C951),"",'Data Input'!C951)</f>
        <v/>
      </c>
      <c r="E951" t="str">
        <f>IF(ISBLANK('Data Input'!D951),"",'Data Input'!D951)</f>
        <v/>
      </c>
      <c r="G951" t="str">
        <f>IF(ISBLANK('Data Input'!E951),"",'Data Input'!E951)</f>
        <v/>
      </c>
      <c r="H951" t="str">
        <f>IF(ISBLANK('Data Input'!F951),"",'Data Input'!F951)</f>
        <v/>
      </c>
      <c r="I951" t="str">
        <f>IF(ISBLANK('Data Input'!G951),"",'Data Input'!G951)</f>
        <v/>
      </c>
      <c r="J951" t="str">
        <f>IF(ISBLANK('Data Input'!I951),"",'Data Input'!I951)</f>
        <v/>
      </c>
      <c r="K951" t="str">
        <f>IF(ISBLANK('Data Input'!J951),"",'Data Input'!J951)</f>
        <v/>
      </c>
      <c r="L951" t="str">
        <f>IF(ISBLANK('Data Input'!K951),"",'Data Input'!K951)</f>
        <v/>
      </c>
      <c r="M951" t="str">
        <f>IF(ISBLANK('Data Input'!L951),"",'Data Input'!L951)</f>
        <v/>
      </c>
      <c r="N951" t="str">
        <f>IF(ISBLANK('Data Input'!M951),"",'Data Input'!M951)</f>
        <v/>
      </c>
      <c r="O951" t="str">
        <f>IF(ISBLANK('Data Input'!N951),"",'Data Input'!N951)</f>
        <v/>
      </c>
      <c r="P951" t="str">
        <f>IF(ISBLANK('Data Input'!O951),"",'Data Input'!O951)</f>
        <v/>
      </c>
      <c r="Q951" t="str">
        <f>IF(ISBLANK('Data Input'!P951),"",'Data Input'!P951)</f>
        <v/>
      </c>
      <c r="R951" t="b">
        <f>IF(ISBLANK('Data Input'!Q951),"",'Data Input'!Q951)</f>
        <v>0</v>
      </c>
      <c r="T951" s="2" t="e">
        <f t="shared" si="58"/>
        <v>#VALUE!</v>
      </c>
      <c r="U951" s="12" t="e">
        <f t="shared" si="59"/>
        <v>#VALUE!</v>
      </c>
      <c r="V951" s="2" t="str">
        <f t="shared" si="60"/>
        <v/>
      </c>
      <c r="W951" s="12" t="str">
        <f t="shared" si="61"/>
        <v/>
      </c>
    </row>
    <row r="952" spans="1:23">
      <c r="A952">
        <f>IF(ISBLANK('Data Input'!A952),"",'Data Input'!A952)</f>
        <v>176</v>
      </c>
      <c r="B952" t="str">
        <f>IF(ISBLANK('Data Input'!B952),"",'Data Input'!B952)</f>
        <v/>
      </c>
      <c r="C952" t="str">
        <f>IF(ISBLANK('Data Input'!C952),"",'Data Input'!C952)</f>
        <v/>
      </c>
      <c r="E952" t="str">
        <f>IF(ISBLANK('Data Input'!D952),"",'Data Input'!D952)</f>
        <v/>
      </c>
      <c r="G952" t="str">
        <f>IF(ISBLANK('Data Input'!E952),"",'Data Input'!E952)</f>
        <v/>
      </c>
      <c r="H952" t="str">
        <f>IF(ISBLANK('Data Input'!F952),"",'Data Input'!F952)</f>
        <v/>
      </c>
      <c r="I952" t="str">
        <f>IF(ISBLANK('Data Input'!G952),"",'Data Input'!G952)</f>
        <v/>
      </c>
      <c r="J952" t="str">
        <f>IF(ISBLANK('Data Input'!I952),"",'Data Input'!I952)</f>
        <v/>
      </c>
      <c r="K952" t="str">
        <f>IF(ISBLANK('Data Input'!J952),"",'Data Input'!J952)</f>
        <v/>
      </c>
      <c r="L952" t="str">
        <f>IF(ISBLANK('Data Input'!K952),"",'Data Input'!K952)</f>
        <v/>
      </c>
      <c r="M952" t="str">
        <f>IF(ISBLANK('Data Input'!L952),"",'Data Input'!L952)</f>
        <v/>
      </c>
      <c r="N952" t="str">
        <f>IF(ISBLANK('Data Input'!M952),"",'Data Input'!M952)</f>
        <v/>
      </c>
      <c r="O952" t="str">
        <f>IF(ISBLANK('Data Input'!N952),"",'Data Input'!N952)</f>
        <v/>
      </c>
      <c r="P952" t="str">
        <f>IF(ISBLANK('Data Input'!O952),"",'Data Input'!O952)</f>
        <v/>
      </c>
      <c r="Q952" t="str">
        <f>IF(ISBLANK('Data Input'!P952),"",'Data Input'!P952)</f>
        <v/>
      </c>
      <c r="R952" t="b">
        <f>IF(ISBLANK('Data Input'!Q952),"",'Data Input'!Q952)</f>
        <v>0</v>
      </c>
      <c r="T952" s="2" t="e">
        <f t="shared" si="58"/>
        <v>#VALUE!</v>
      </c>
      <c r="U952" s="12" t="e">
        <f t="shared" si="59"/>
        <v>#VALUE!</v>
      </c>
      <c r="V952" s="2" t="str">
        <f t="shared" si="60"/>
        <v/>
      </c>
      <c r="W952" s="12" t="str">
        <f t="shared" si="61"/>
        <v/>
      </c>
    </row>
    <row r="953" spans="1:23">
      <c r="A953">
        <f>IF(ISBLANK('Data Input'!A953),"",'Data Input'!A953)</f>
        <v>176</v>
      </c>
      <c r="B953" t="str">
        <f>IF(ISBLANK('Data Input'!B953),"",'Data Input'!B953)</f>
        <v/>
      </c>
      <c r="C953" t="str">
        <f>IF(ISBLANK('Data Input'!C953),"",'Data Input'!C953)</f>
        <v/>
      </c>
      <c r="E953" t="str">
        <f>IF(ISBLANK('Data Input'!D953),"",'Data Input'!D953)</f>
        <v/>
      </c>
      <c r="G953" t="str">
        <f>IF(ISBLANK('Data Input'!E953),"",'Data Input'!E953)</f>
        <v/>
      </c>
      <c r="H953" t="str">
        <f>IF(ISBLANK('Data Input'!F953),"",'Data Input'!F953)</f>
        <v/>
      </c>
      <c r="I953" t="str">
        <f>IF(ISBLANK('Data Input'!G953),"",'Data Input'!G953)</f>
        <v/>
      </c>
      <c r="J953" t="str">
        <f>IF(ISBLANK('Data Input'!I953),"",'Data Input'!I953)</f>
        <v/>
      </c>
      <c r="K953" t="str">
        <f>IF(ISBLANK('Data Input'!J953),"",'Data Input'!J953)</f>
        <v/>
      </c>
      <c r="L953" t="str">
        <f>IF(ISBLANK('Data Input'!K953),"",'Data Input'!K953)</f>
        <v/>
      </c>
      <c r="M953" t="str">
        <f>IF(ISBLANK('Data Input'!L953),"",'Data Input'!L953)</f>
        <v/>
      </c>
      <c r="N953" t="str">
        <f>IF(ISBLANK('Data Input'!M953),"",'Data Input'!M953)</f>
        <v/>
      </c>
      <c r="O953" t="str">
        <f>IF(ISBLANK('Data Input'!N953),"",'Data Input'!N953)</f>
        <v/>
      </c>
      <c r="P953" t="str">
        <f>IF(ISBLANK('Data Input'!O953),"",'Data Input'!O953)</f>
        <v/>
      </c>
      <c r="Q953" t="str">
        <f>IF(ISBLANK('Data Input'!P953),"",'Data Input'!P953)</f>
        <v/>
      </c>
      <c r="R953" t="b">
        <f>IF(ISBLANK('Data Input'!Q953),"",'Data Input'!Q953)</f>
        <v>0</v>
      </c>
      <c r="T953" s="2" t="e">
        <f t="shared" si="58"/>
        <v>#VALUE!</v>
      </c>
      <c r="U953" s="12" t="e">
        <f t="shared" si="59"/>
        <v>#VALUE!</v>
      </c>
      <c r="V953" s="2" t="str">
        <f t="shared" si="60"/>
        <v/>
      </c>
      <c r="W953" s="12" t="str">
        <f t="shared" si="61"/>
        <v/>
      </c>
    </row>
    <row r="954" spans="1:23">
      <c r="A954">
        <f>IF(ISBLANK('Data Input'!A954),"",'Data Input'!A954)</f>
        <v>176</v>
      </c>
      <c r="B954" t="str">
        <f>IF(ISBLANK('Data Input'!B954),"",'Data Input'!B954)</f>
        <v/>
      </c>
      <c r="C954" t="str">
        <f>IF(ISBLANK('Data Input'!C954),"",'Data Input'!C954)</f>
        <v/>
      </c>
      <c r="E954" t="str">
        <f>IF(ISBLANK('Data Input'!D954),"",'Data Input'!D954)</f>
        <v/>
      </c>
      <c r="G954" t="str">
        <f>IF(ISBLANK('Data Input'!E954),"",'Data Input'!E954)</f>
        <v/>
      </c>
      <c r="H954" t="str">
        <f>IF(ISBLANK('Data Input'!F954),"",'Data Input'!F954)</f>
        <v/>
      </c>
      <c r="I954" t="str">
        <f>IF(ISBLANK('Data Input'!G954),"",'Data Input'!G954)</f>
        <v/>
      </c>
      <c r="J954" t="str">
        <f>IF(ISBLANK('Data Input'!I954),"",'Data Input'!I954)</f>
        <v/>
      </c>
      <c r="K954" t="str">
        <f>IF(ISBLANK('Data Input'!J954),"",'Data Input'!J954)</f>
        <v/>
      </c>
      <c r="L954" t="str">
        <f>IF(ISBLANK('Data Input'!K954),"",'Data Input'!K954)</f>
        <v/>
      </c>
      <c r="M954" t="str">
        <f>IF(ISBLANK('Data Input'!L954),"",'Data Input'!L954)</f>
        <v/>
      </c>
      <c r="N954" t="str">
        <f>IF(ISBLANK('Data Input'!M954),"",'Data Input'!M954)</f>
        <v/>
      </c>
      <c r="O954" t="str">
        <f>IF(ISBLANK('Data Input'!N954),"",'Data Input'!N954)</f>
        <v/>
      </c>
      <c r="P954" t="str">
        <f>IF(ISBLANK('Data Input'!O954),"",'Data Input'!O954)</f>
        <v/>
      </c>
      <c r="Q954" t="str">
        <f>IF(ISBLANK('Data Input'!P954),"",'Data Input'!P954)</f>
        <v/>
      </c>
      <c r="R954" t="b">
        <f>IF(ISBLANK('Data Input'!Q954),"",'Data Input'!Q954)</f>
        <v>0</v>
      </c>
      <c r="T954" s="2" t="e">
        <f t="shared" si="58"/>
        <v>#VALUE!</v>
      </c>
      <c r="U954" s="12" t="e">
        <f t="shared" si="59"/>
        <v>#VALUE!</v>
      </c>
      <c r="V954" s="2" t="str">
        <f t="shared" si="60"/>
        <v/>
      </c>
      <c r="W954" s="12" t="str">
        <f t="shared" si="61"/>
        <v/>
      </c>
    </row>
    <row r="955" spans="1:23">
      <c r="A955">
        <f>IF(ISBLANK('Data Input'!A955),"",'Data Input'!A955)</f>
        <v>176</v>
      </c>
      <c r="B955" t="str">
        <f>IF(ISBLANK('Data Input'!B955),"",'Data Input'!B955)</f>
        <v/>
      </c>
      <c r="C955" t="str">
        <f>IF(ISBLANK('Data Input'!C955),"",'Data Input'!C955)</f>
        <v/>
      </c>
      <c r="E955" t="str">
        <f>IF(ISBLANK('Data Input'!D955),"",'Data Input'!D955)</f>
        <v/>
      </c>
      <c r="G955" t="str">
        <f>IF(ISBLANK('Data Input'!E955),"",'Data Input'!E955)</f>
        <v/>
      </c>
      <c r="H955" t="str">
        <f>IF(ISBLANK('Data Input'!F955),"",'Data Input'!F955)</f>
        <v/>
      </c>
      <c r="I955" t="str">
        <f>IF(ISBLANK('Data Input'!G955),"",'Data Input'!G955)</f>
        <v/>
      </c>
      <c r="J955" t="str">
        <f>IF(ISBLANK('Data Input'!I955),"",'Data Input'!I955)</f>
        <v/>
      </c>
      <c r="K955" t="str">
        <f>IF(ISBLANK('Data Input'!J955),"",'Data Input'!J955)</f>
        <v/>
      </c>
      <c r="L955" t="str">
        <f>IF(ISBLANK('Data Input'!K955),"",'Data Input'!K955)</f>
        <v/>
      </c>
      <c r="M955" t="str">
        <f>IF(ISBLANK('Data Input'!L955),"",'Data Input'!L955)</f>
        <v/>
      </c>
      <c r="N955" t="str">
        <f>IF(ISBLANK('Data Input'!M955),"",'Data Input'!M955)</f>
        <v/>
      </c>
      <c r="O955" t="str">
        <f>IF(ISBLANK('Data Input'!N955),"",'Data Input'!N955)</f>
        <v/>
      </c>
      <c r="P955" t="str">
        <f>IF(ISBLANK('Data Input'!O955),"",'Data Input'!O955)</f>
        <v/>
      </c>
      <c r="Q955" t="str">
        <f>IF(ISBLANK('Data Input'!P955),"",'Data Input'!P955)</f>
        <v/>
      </c>
      <c r="R955" t="b">
        <f>IF(ISBLANK('Data Input'!Q955),"",'Data Input'!Q955)</f>
        <v>0</v>
      </c>
      <c r="T955" s="2" t="e">
        <f t="shared" si="58"/>
        <v>#VALUE!</v>
      </c>
      <c r="U955" s="12" t="e">
        <f t="shared" si="59"/>
        <v>#VALUE!</v>
      </c>
      <c r="V955" s="2" t="str">
        <f t="shared" si="60"/>
        <v/>
      </c>
      <c r="W955" s="12" t="str">
        <f t="shared" si="61"/>
        <v/>
      </c>
    </row>
    <row r="956" spans="1:23">
      <c r="A956">
        <f>IF(ISBLANK('Data Input'!A956),"",'Data Input'!A956)</f>
        <v>176</v>
      </c>
      <c r="B956" t="str">
        <f>IF(ISBLANK('Data Input'!B956),"",'Data Input'!B956)</f>
        <v/>
      </c>
      <c r="C956" t="str">
        <f>IF(ISBLANK('Data Input'!C956),"",'Data Input'!C956)</f>
        <v/>
      </c>
      <c r="E956" t="str">
        <f>IF(ISBLANK('Data Input'!D956),"",'Data Input'!D956)</f>
        <v/>
      </c>
      <c r="G956" t="str">
        <f>IF(ISBLANK('Data Input'!E956),"",'Data Input'!E956)</f>
        <v/>
      </c>
      <c r="H956" t="str">
        <f>IF(ISBLANK('Data Input'!F956),"",'Data Input'!F956)</f>
        <v/>
      </c>
      <c r="I956" t="str">
        <f>IF(ISBLANK('Data Input'!G956),"",'Data Input'!G956)</f>
        <v/>
      </c>
      <c r="J956" t="str">
        <f>IF(ISBLANK('Data Input'!I956),"",'Data Input'!I956)</f>
        <v/>
      </c>
      <c r="K956" t="str">
        <f>IF(ISBLANK('Data Input'!J956),"",'Data Input'!J956)</f>
        <v/>
      </c>
      <c r="L956" t="str">
        <f>IF(ISBLANK('Data Input'!K956),"",'Data Input'!K956)</f>
        <v/>
      </c>
      <c r="M956" t="str">
        <f>IF(ISBLANK('Data Input'!L956),"",'Data Input'!L956)</f>
        <v/>
      </c>
      <c r="N956" t="str">
        <f>IF(ISBLANK('Data Input'!M956),"",'Data Input'!M956)</f>
        <v/>
      </c>
      <c r="O956" t="str">
        <f>IF(ISBLANK('Data Input'!N956),"",'Data Input'!N956)</f>
        <v/>
      </c>
      <c r="P956" t="str">
        <f>IF(ISBLANK('Data Input'!O956),"",'Data Input'!O956)</f>
        <v/>
      </c>
      <c r="Q956" t="str">
        <f>IF(ISBLANK('Data Input'!P956),"",'Data Input'!P956)</f>
        <v/>
      </c>
      <c r="R956" t="b">
        <f>IF(ISBLANK('Data Input'!Q956),"",'Data Input'!Q956)</f>
        <v>0</v>
      </c>
      <c r="T956" s="2" t="e">
        <f t="shared" si="58"/>
        <v>#VALUE!</v>
      </c>
      <c r="U956" s="12" t="e">
        <f t="shared" si="59"/>
        <v>#VALUE!</v>
      </c>
      <c r="V956" s="2" t="str">
        <f t="shared" si="60"/>
        <v/>
      </c>
      <c r="W956" s="12" t="str">
        <f t="shared" si="61"/>
        <v/>
      </c>
    </row>
    <row r="957" spans="1:23">
      <c r="A957">
        <f>IF(ISBLANK('Data Input'!A957),"",'Data Input'!A957)</f>
        <v>176</v>
      </c>
      <c r="B957" t="str">
        <f>IF(ISBLANK('Data Input'!B957),"",'Data Input'!B957)</f>
        <v/>
      </c>
      <c r="C957" t="str">
        <f>IF(ISBLANK('Data Input'!C957),"",'Data Input'!C957)</f>
        <v/>
      </c>
      <c r="E957" t="str">
        <f>IF(ISBLANK('Data Input'!D957),"",'Data Input'!D957)</f>
        <v/>
      </c>
      <c r="G957" t="str">
        <f>IF(ISBLANK('Data Input'!E957),"",'Data Input'!E957)</f>
        <v/>
      </c>
      <c r="H957" t="str">
        <f>IF(ISBLANK('Data Input'!F957),"",'Data Input'!F957)</f>
        <v/>
      </c>
      <c r="I957" t="str">
        <f>IF(ISBLANK('Data Input'!G957),"",'Data Input'!G957)</f>
        <v/>
      </c>
      <c r="J957" t="str">
        <f>IF(ISBLANK('Data Input'!I957),"",'Data Input'!I957)</f>
        <v/>
      </c>
      <c r="K957" t="str">
        <f>IF(ISBLANK('Data Input'!J957),"",'Data Input'!J957)</f>
        <v/>
      </c>
      <c r="L957" t="str">
        <f>IF(ISBLANK('Data Input'!K957),"",'Data Input'!K957)</f>
        <v/>
      </c>
      <c r="M957" t="str">
        <f>IF(ISBLANK('Data Input'!L957),"",'Data Input'!L957)</f>
        <v/>
      </c>
      <c r="N957" t="str">
        <f>IF(ISBLANK('Data Input'!M957),"",'Data Input'!M957)</f>
        <v/>
      </c>
      <c r="O957" t="str">
        <f>IF(ISBLANK('Data Input'!N957),"",'Data Input'!N957)</f>
        <v/>
      </c>
      <c r="P957" t="str">
        <f>IF(ISBLANK('Data Input'!O957),"",'Data Input'!O957)</f>
        <v/>
      </c>
      <c r="Q957" t="str">
        <f>IF(ISBLANK('Data Input'!P957),"",'Data Input'!P957)</f>
        <v/>
      </c>
      <c r="R957" t="b">
        <f>IF(ISBLANK('Data Input'!Q957),"",'Data Input'!Q957)</f>
        <v>0</v>
      </c>
      <c r="T957" s="2" t="e">
        <f t="shared" si="58"/>
        <v>#VALUE!</v>
      </c>
      <c r="U957" s="12" t="e">
        <f t="shared" si="59"/>
        <v>#VALUE!</v>
      </c>
      <c r="V957" s="2" t="str">
        <f t="shared" si="60"/>
        <v/>
      </c>
      <c r="W957" s="12" t="str">
        <f t="shared" si="61"/>
        <v/>
      </c>
    </row>
    <row r="958" spans="1:23">
      <c r="A958">
        <f>IF(ISBLANK('Data Input'!A958),"",'Data Input'!A958)</f>
        <v>176</v>
      </c>
      <c r="B958" t="str">
        <f>IF(ISBLANK('Data Input'!B958),"",'Data Input'!B958)</f>
        <v/>
      </c>
      <c r="C958" t="str">
        <f>IF(ISBLANK('Data Input'!C958),"",'Data Input'!C958)</f>
        <v/>
      </c>
      <c r="E958" t="str">
        <f>IF(ISBLANK('Data Input'!D958),"",'Data Input'!D958)</f>
        <v/>
      </c>
      <c r="G958" t="str">
        <f>IF(ISBLANK('Data Input'!E958),"",'Data Input'!E958)</f>
        <v/>
      </c>
      <c r="H958" t="str">
        <f>IF(ISBLANK('Data Input'!F958),"",'Data Input'!F958)</f>
        <v/>
      </c>
      <c r="I958" t="str">
        <f>IF(ISBLANK('Data Input'!G958),"",'Data Input'!G958)</f>
        <v/>
      </c>
      <c r="J958" t="str">
        <f>IF(ISBLANK('Data Input'!I958),"",'Data Input'!I958)</f>
        <v/>
      </c>
      <c r="K958" t="str">
        <f>IF(ISBLANK('Data Input'!J958),"",'Data Input'!J958)</f>
        <v/>
      </c>
      <c r="L958" t="str">
        <f>IF(ISBLANK('Data Input'!K958),"",'Data Input'!K958)</f>
        <v/>
      </c>
      <c r="M958" t="str">
        <f>IF(ISBLANK('Data Input'!L958),"",'Data Input'!L958)</f>
        <v/>
      </c>
      <c r="N958" t="str">
        <f>IF(ISBLANK('Data Input'!M958),"",'Data Input'!M958)</f>
        <v/>
      </c>
      <c r="O958" t="str">
        <f>IF(ISBLANK('Data Input'!N958),"",'Data Input'!N958)</f>
        <v/>
      </c>
      <c r="P958" t="str">
        <f>IF(ISBLANK('Data Input'!O958),"",'Data Input'!O958)</f>
        <v/>
      </c>
      <c r="Q958" t="str">
        <f>IF(ISBLANK('Data Input'!P958),"",'Data Input'!P958)</f>
        <v/>
      </c>
      <c r="R958" t="b">
        <f>IF(ISBLANK('Data Input'!Q958),"",'Data Input'!Q958)</f>
        <v>0</v>
      </c>
      <c r="T958" s="2" t="e">
        <f t="shared" si="58"/>
        <v>#VALUE!</v>
      </c>
      <c r="U958" s="12" t="e">
        <f t="shared" si="59"/>
        <v>#VALUE!</v>
      </c>
      <c r="V958" s="2" t="str">
        <f t="shared" si="60"/>
        <v/>
      </c>
      <c r="W958" s="12" t="str">
        <f t="shared" si="61"/>
        <v/>
      </c>
    </row>
    <row r="959" spans="1:23">
      <c r="A959">
        <f>IF(ISBLANK('Data Input'!A959),"",'Data Input'!A959)</f>
        <v>176</v>
      </c>
      <c r="B959" t="str">
        <f>IF(ISBLANK('Data Input'!B959),"",'Data Input'!B959)</f>
        <v/>
      </c>
      <c r="C959" t="str">
        <f>IF(ISBLANK('Data Input'!C959),"",'Data Input'!C959)</f>
        <v/>
      </c>
      <c r="E959" t="str">
        <f>IF(ISBLANK('Data Input'!D959),"",'Data Input'!D959)</f>
        <v/>
      </c>
      <c r="G959" t="str">
        <f>IF(ISBLANK('Data Input'!E959),"",'Data Input'!E959)</f>
        <v/>
      </c>
      <c r="H959" t="str">
        <f>IF(ISBLANK('Data Input'!F959),"",'Data Input'!F959)</f>
        <v/>
      </c>
      <c r="I959" t="str">
        <f>IF(ISBLANK('Data Input'!G959),"",'Data Input'!G959)</f>
        <v/>
      </c>
      <c r="J959" t="str">
        <f>IF(ISBLANK('Data Input'!I959),"",'Data Input'!I959)</f>
        <v/>
      </c>
      <c r="K959" t="str">
        <f>IF(ISBLANK('Data Input'!J959),"",'Data Input'!J959)</f>
        <v/>
      </c>
      <c r="L959" t="str">
        <f>IF(ISBLANK('Data Input'!K959),"",'Data Input'!K959)</f>
        <v/>
      </c>
      <c r="M959" t="str">
        <f>IF(ISBLANK('Data Input'!L959),"",'Data Input'!L959)</f>
        <v/>
      </c>
      <c r="N959" t="str">
        <f>IF(ISBLANK('Data Input'!M959),"",'Data Input'!M959)</f>
        <v/>
      </c>
      <c r="O959" t="str">
        <f>IF(ISBLANK('Data Input'!N959),"",'Data Input'!N959)</f>
        <v/>
      </c>
      <c r="P959" t="str">
        <f>IF(ISBLANK('Data Input'!O959),"",'Data Input'!O959)</f>
        <v/>
      </c>
      <c r="Q959" t="str">
        <f>IF(ISBLANK('Data Input'!P959),"",'Data Input'!P959)</f>
        <v/>
      </c>
      <c r="R959" t="b">
        <f>IF(ISBLANK('Data Input'!Q959),"",'Data Input'!Q959)</f>
        <v>0</v>
      </c>
      <c r="T959" s="2" t="e">
        <f t="shared" si="58"/>
        <v>#VALUE!</v>
      </c>
      <c r="U959" s="12" t="e">
        <f t="shared" si="59"/>
        <v>#VALUE!</v>
      </c>
      <c r="V959" s="2" t="str">
        <f t="shared" si="60"/>
        <v/>
      </c>
      <c r="W959" s="12" t="str">
        <f t="shared" si="61"/>
        <v/>
      </c>
    </row>
    <row r="960" spans="1:23">
      <c r="A960">
        <f>IF(ISBLANK('Data Input'!A960),"",'Data Input'!A960)</f>
        <v>176</v>
      </c>
      <c r="B960" t="str">
        <f>IF(ISBLANK('Data Input'!B960),"",'Data Input'!B960)</f>
        <v/>
      </c>
      <c r="C960" t="str">
        <f>IF(ISBLANK('Data Input'!C960),"",'Data Input'!C960)</f>
        <v/>
      </c>
      <c r="E960" t="str">
        <f>IF(ISBLANK('Data Input'!D960),"",'Data Input'!D960)</f>
        <v/>
      </c>
      <c r="G960" t="str">
        <f>IF(ISBLANK('Data Input'!E960),"",'Data Input'!E960)</f>
        <v/>
      </c>
      <c r="H960" t="str">
        <f>IF(ISBLANK('Data Input'!F960),"",'Data Input'!F960)</f>
        <v/>
      </c>
      <c r="I960" t="str">
        <f>IF(ISBLANK('Data Input'!G960),"",'Data Input'!G960)</f>
        <v/>
      </c>
      <c r="J960" t="str">
        <f>IF(ISBLANK('Data Input'!I960),"",'Data Input'!I960)</f>
        <v/>
      </c>
      <c r="K960" t="str">
        <f>IF(ISBLANK('Data Input'!J960),"",'Data Input'!J960)</f>
        <v/>
      </c>
      <c r="L960" t="str">
        <f>IF(ISBLANK('Data Input'!K960),"",'Data Input'!K960)</f>
        <v/>
      </c>
      <c r="M960" t="str">
        <f>IF(ISBLANK('Data Input'!L960),"",'Data Input'!L960)</f>
        <v/>
      </c>
      <c r="N960" t="str">
        <f>IF(ISBLANK('Data Input'!M960),"",'Data Input'!M960)</f>
        <v/>
      </c>
      <c r="O960" t="str">
        <f>IF(ISBLANK('Data Input'!N960),"",'Data Input'!N960)</f>
        <v/>
      </c>
      <c r="P960" t="str">
        <f>IF(ISBLANK('Data Input'!O960),"",'Data Input'!O960)</f>
        <v/>
      </c>
      <c r="Q960" t="str">
        <f>IF(ISBLANK('Data Input'!P960),"",'Data Input'!P960)</f>
        <v/>
      </c>
      <c r="R960" t="b">
        <f>IF(ISBLANK('Data Input'!Q960),"",'Data Input'!Q960)</f>
        <v>0</v>
      </c>
      <c r="T960" s="2" t="e">
        <f t="shared" si="58"/>
        <v>#VALUE!</v>
      </c>
      <c r="U960" s="12" t="e">
        <f t="shared" si="59"/>
        <v>#VALUE!</v>
      </c>
      <c r="V960" s="2" t="str">
        <f t="shared" si="60"/>
        <v/>
      </c>
      <c r="W960" s="12" t="str">
        <f t="shared" si="61"/>
        <v/>
      </c>
    </row>
    <row r="961" spans="1:23">
      <c r="A961">
        <f>IF(ISBLANK('Data Input'!A961),"",'Data Input'!A961)</f>
        <v>176</v>
      </c>
      <c r="B961" t="str">
        <f>IF(ISBLANK('Data Input'!B961),"",'Data Input'!B961)</f>
        <v/>
      </c>
      <c r="C961" t="str">
        <f>IF(ISBLANK('Data Input'!C961),"",'Data Input'!C961)</f>
        <v/>
      </c>
      <c r="E961" t="str">
        <f>IF(ISBLANK('Data Input'!D961),"",'Data Input'!D961)</f>
        <v/>
      </c>
      <c r="G961" t="str">
        <f>IF(ISBLANK('Data Input'!E961),"",'Data Input'!E961)</f>
        <v/>
      </c>
      <c r="H961" t="str">
        <f>IF(ISBLANK('Data Input'!F961),"",'Data Input'!F961)</f>
        <v/>
      </c>
      <c r="I961" t="str">
        <f>IF(ISBLANK('Data Input'!G961),"",'Data Input'!G961)</f>
        <v/>
      </c>
      <c r="J961" t="str">
        <f>IF(ISBLANK('Data Input'!I961),"",'Data Input'!I961)</f>
        <v/>
      </c>
      <c r="K961" t="str">
        <f>IF(ISBLANK('Data Input'!J961),"",'Data Input'!J961)</f>
        <v/>
      </c>
      <c r="L961" t="str">
        <f>IF(ISBLANK('Data Input'!K961),"",'Data Input'!K961)</f>
        <v/>
      </c>
      <c r="M961" t="str">
        <f>IF(ISBLANK('Data Input'!L961),"",'Data Input'!L961)</f>
        <v/>
      </c>
      <c r="N961" t="str">
        <f>IF(ISBLANK('Data Input'!M961),"",'Data Input'!M961)</f>
        <v/>
      </c>
      <c r="O961" t="str">
        <f>IF(ISBLANK('Data Input'!N961),"",'Data Input'!N961)</f>
        <v/>
      </c>
      <c r="P961" t="str">
        <f>IF(ISBLANK('Data Input'!O961),"",'Data Input'!O961)</f>
        <v/>
      </c>
      <c r="Q961" t="str">
        <f>IF(ISBLANK('Data Input'!P961),"",'Data Input'!P961)</f>
        <v/>
      </c>
      <c r="R961" t="b">
        <f>IF(ISBLANK('Data Input'!Q961),"",'Data Input'!Q961)</f>
        <v>0</v>
      </c>
      <c r="T961" s="2" t="e">
        <f t="shared" si="58"/>
        <v>#VALUE!</v>
      </c>
      <c r="U961" s="12" t="e">
        <f t="shared" si="59"/>
        <v>#VALUE!</v>
      </c>
      <c r="V961" s="2" t="str">
        <f t="shared" si="60"/>
        <v/>
      </c>
      <c r="W961" s="12" t="str">
        <f t="shared" si="61"/>
        <v/>
      </c>
    </row>
    <row r="962" spans="1:23">
      <c r="A962">
        <f>IF(ISBLANK('Data Input'!A962),"",'Data Input'!A962)</f>
        <v>176</v>
      </c>
      <c r="B962" t="str">
        <f>IF(ISBLANK('Data Input'!B962),"",'Data Input'!B962)</f>
        <v/>
      </c>
      <c r="C962" t="str">
        <f>IF(ISBLANK('Data Input'!C962),"",'Data Input'!C962)</f>
        <v/>
      </c>
      <c r="E962" t="str">
        <f>IF(ISBLANK('Data Input'!D962),"",'Data Input'!D962)</f>
        <v/>
      </c>
      <c r="G962" t="str">
        <f>IF(ISBLANK('Data Input'!E962),"",'Data Input'!E962)</f>
        <v/>
      </c>
      <c r="H962" t="str">
        <f>IF(ISBLANK('Data Input'!F962),"",'Data Input'!F962)</f>
        <v/>
      </c>
      <c r="I962" t="str">
        <f>IF(ISBLANK('Data Input'!G962),"",'Data Input'!G962)</f>
        <v/>
      </c>
      <c r="J962" t="str">
        <f>IF(ISBLANK('Data Input'!I962),"",'Data Input'!I962)</f>
        <v/>
      </c>
      <c r="K962" t="str">
        <f>IF(ISBLANK('Data Input'!J962),"",'Data Input'!J962)</f>
        <v/>
      </c>
      <c r="L962" t="str">
        <f>IF(ISBLANK('Data Input'!K962),"",'Data Input'!K962)</f>
        <v/>
      </c>
      <c r="M962" t="str">
        <f>IF(ISBLANK('Data Input'!L962),"",'Data Input'!L962)</f>
        <v/>
      </c>
      <c r="N962" t="str">
        <f>IF(ISBLANK('Data Input'!M962),"",'Data Input'!M962)</f>
        <v/>
      </c>
      <c r="O962" t="str">
        <f>IF(ISBLANK('Data Input'!N962),"",'Data Input'!N962)</f>
        <v/>
      </c>
      <c r="P962" t="str">
        <f>IF(ISBLANK('Data Input'!O962),"",'Data Input'!O962)</f>
        <v/>
      </c>
      <c r="Q962" t="str">
        <f>IF(ISBLANK('Data Input'!P962),"",'Data Input'!P962)</f>
        <v/>
      </c>
      <c r="R962" t="b">
        <f>IF(ISBLANK('Data Input'!Q962),"",'Data Input'!Q962)</f>
        <v>0</v>
      </c>
      <c r="T962" s="2" t="e">
        <f t="shared" si="58"/>
        <v>#VALUE!</v>
      </c>
      <c r="U962" s="12" t="e">
        <f t="shared" si="59"/>
        <v>#VALUE!</v>
      </c>
      <c r="V962" s="2" t="str">
        <f t="shared" si="60"/>
        <v/>
      </c>
      <c r="W962" s="12" t="str">
        <f t="shared" si="61"/>
        <v/>
      </c>
    </row>
    <row r="963" spans="1:23">
      <c r="A963">
        <f>IF(ISBLANK('Data Input'!A963),"",'Data Input'!A963)</f>
        <v>176</v>
      </c>
      <c r="B963" t="str">
        <f>IF(ISBLANK('Data Input'!B963),"",'Data Input'!B963)</f>
        <v/>
      </c>
      <c r="C963" t="str">
        <f>IF(ISBLANK('Data Input'!C963),"",'Data Input'!C963)</f>
        <v/>
      </c>
      <c r="E963" t="str">
        <f>IF(ISBLANK('Data Input'!D963),"",'Data Input'!D963)</f>
        <v/>
      </c>
      <c r="G963" t="str">
        <f>IF(ISBLANK('Data Input'!E963),"",'Data Input'!E963)</f>
        <v/>
      </c>
      <c r="H963" t="str">
        <f>IF(ISBLANK('Data Input'!F963),"",'Data Input'!F963)</f>
        <v/>
      </c>
      <c r="I963" t="str">
        <f>IF(ISBLANK('Data Input'!G963),"",'Data Input'!G963)</f>
        <v/>
      </c>
      <c r="J963" t="str">
        <f>IF(ISBLANK('Data Input'!I963),"",'Data Input'!I963)</f>
        <v/>
      </c>
      <c r="K963" t="str">
        <f>IF(ISBLANK('Data Input'!J963),"",'Data Input'!J963)</f>
        <v/>
      </c>
      <c r="L963" t="str">
        <f>IF(ISBLANK('Data Input'!K963),"",'Data Input'!K963)</f>
        <v/>
      </c>
      <c r="M963" t="str">
        <f>IF(ISBLANK('Data Input'!L963),"",'Data Input'!L963)</f>
        <v/>
      </c>
      <c r="N963" t="str">
        <f>IF(ISBLANK('Data Input'!M963),"",'Data Input'!M963)</f>
        <v/>
      </c>
      <c r="O963" t="str">
        <f>IF(ISBLANK('Data Input'!N963),"",'Data Input'!N963)</f>
        <v/>
      </c>
      <c r="P963" t="str">
        <f>IF(ISBLANK('Data Input'!O963),"",'Data Input'!O963)</f>
        <v/>
      </c>
      <c r="Q963" t="str">
        <f>IF(ISBLANK('Data Input'!P963),"",'Data Input'!P963)</f>
        <v/>
      </c>
      <c r="R963" t="b">
        <f>IF(ISBLANK('Data Input'!Q963),"",'Data Input'!Q963)</f>
        <v>0</v>
      </c>
      <c r="T963" s="2" t="e">
        <f t="shared" ref="T963:T1026" si="62">DATEVALUE(LEFT(C963,FIND(" ",C963)))</f>
        <v>#VALUE!</v>
      </c>
      <c r="U963" s="12" t="e">
        <f t="shared" ref="U963:U1026" si="63">TIMEVALUE(CONCATENATE(MID(C963,FIND(" ",C963)+1,2),":",RIGHT(C963,LEN(C963)-FIND(" ",C963)-2)))</f>
        <v>#VALUE!</v>
      </c>
      <c r="V963" s="2" t="str">
        <f t="shared" si="60"/>
        <v/>
      </c>
      <c r="W963" s="12" t="str">
        <f t="shared" si="61"/>
        <v/>
      </c>
    </row>
    <row r="964" spans="1:23">
      <c r="A964">
        <f>IF(ISBLANK('Data Input'!A964),"",'Data Input'!A964)</f>
        <v>176</v>
      </c>
      <c r="B964" t="str">
        <f>IF(ISBLANK('Data Input'!B964),"",'Data Input'!B964)</f>
        <v/>
      </c>
      <c r="C964" t="str">
        <f>IF(ISBLANK('Data Input'!C964),"",'Data Input'!C964)</f>
        <v/>
      </c>
      <c r="E964" t="str">
        <f>IF(ISBLANK('Data Input'!D964),"",'Data Input'!D964)</f>
        <v/>
      </c>
      <c r="G964" t="str">
        <f>IF(ISBLANK('Data Input'!E964),"",'Data Input'!E964)</f>
        <v/>
      </c>
      <c r="H964" t="str">
        <f>IF(ISBLANK('Data Input'!F964),"",'Data Input'!F964)</f>
        <v/>
      </c>
      <c r="I964" t="str">
        <f>IF(ISBLANK('Data Input'!G964),"",'Data Input'!G964)</f>
        <v/>
      </c>
      <c r="J964" t="str">
        <f>IF(ISBLANK('Data Input'!I964),"",'Data Input'!I964)</f>
        <v/>
      </c>
      <c r="K964" t="str">
        <f>IF(ISBLANK('Data Input'!J964),"",'Data Input'!J964)</f>
        <v/>
      </c>
      <c r="L964" t="str">
        <f>IF(ISBLANK('Data Input'!K964),"",'Data Input'!K964)</f>
        <v/>
      </c>
      <c r="M964" t="str">
        <f>IF(ISBLANK('Data Input'!L964),"",'Data Input'!L964)</f>
        <v/>
      </c>
      <c r="N964" t="str">
        <f>IF(ISBLANK('Data Input'!M964),"",'Data Input'!M964)</f>
        <v/>
      </c>
      <c r="O964" t="str">
        <f>IF(ISBLANK('Data Input'!N964),"",'Data Input'!N964)</f>
        <v/>
      </c>
      <c r="P964" t="str">
        <f>IF(ISBLANK('Data Input'!O964),"",'Data Input'!O964)</f>
        <v/>
      </c>
      <c r="Q964" t="str">
        <f>IF(ISBLANK('Data Input'!P964),"",'Data Input'!P964)</f>
        <v/>
      </c>
      <c r="R964" t="b">
        <f>IF(ISBLANK('Data Input'!Q964),"",'Data Input'!Q964)</f>
        <v>0</v>
      </c>
      <c r="T964" s="2" t="e">
        <f t="shared" si="62"/>
        <v>#VALUE!</v>
      </c>
      <c r="U964" s="12" t="e">
        <f t="shared" si="63"/>
        <v>#VALUE!</v>
      </c>
      <c r="V964" s="2" t="str">
        <f t="shared" si="60"/>
        <v/>
      </c>
      <c r="W964" s="12" t="str">
        <f t="shared" si="61"/>
        <v/>
      </c>
    </row>
    <row r="965" spans="1:23">
      <c r="A965">
        <f>IF(ISBLANK('Data Input'!A965),"",'Data Input'!A965)</f>
        <v>176</v>
      </c>
      <c r="B965" t="str">
        <f>IF(ISBLANK('Data Input'!B965),"",'Data Input'!B965)</f>
        <v/>
      </c>
      <c r="C965" t="str">
        <f>IF(ISBLANK('Data Input'!C965),"",'Data Input'!C965)</f>
        <v/>
      </c>
      <c r="E965" t="str">
        <f>IF(ISBLANK('Data Input'!D965),"",'Data Input'!D965)</f>
        <v/>
      </c>
      <c r="G965" t="str">
        <f>IF(ISBLANK('Data Input'!E965),"",'Data Input'!E965)</f>
        <v/>
      </c>
      <c r="H965" t="str">
        <f>IF(ISBLANK('Data Input'!F965),"",'Data Input'!F965)</f>
        <v/>
      </c>
      <c r="I965" t="str">
        <f>IF(ISBLANK('Data Input'!G965),"",'Data Input'!G965)</f>
        <v/>
      </c>
      <c r="J965" t="str">
        <f>IF(ISBLANK('Data Input'!I965),"",'Data Input'!I965)</f>
        <v/>
      </c>
      <c r="K965" t="str">
        <f>IF(ISBLANK('Data Input'!J965),"",'Data Input'!J965)</f>
        <v/>
      </c>
      <c r="L965" t="str">
        <f>IF(ISBLANK('Data Input'!K965),"",'Data Input'!K965)</f>
        <v/>
      </c>
      <c r="M965" t="str">
        <f>IF(ISBLANK('Data Input'!L965),"",'Data Input'!L965)</f>
        <v/>
      </c>
      <c r="N965" t="str">
        <f>IF(ISBLANK('Data Input'!M965),"",'Data Input'!M965)</f>
        <v/>
      </c>
      <c r="O965" t="str">
        <f>IF(ISBLANK('Data Input'!N965),"",'Data Input'!N965)</f>
        <v/>
      </c>
      <c r="P965" t="str">
        <f>IF(ISBLANK('Data Input'!O965),"",'Data Input'!O965)</f>
        <v/>
      </c>
      <c r="Q965" t="str">
        <f>IF(ISBLANK('Data Input'!P965),"",'Data Input'!P965)</f>
        <v/>
      </c>
      <c r="R965" t="b">
        <f>IF(ISBLANK('Data Input'!Q965),"",'Data Input'!Q965)</f>
        <v>0</v>
      </c>
      <c r="T965" s="2" t="e">
        <f t="shared" si="62"/>
        <v>#VALUE!</v>
      </c>
      <c r="U965" s="12" t="e">
        <f t="shared" si="63"/>
        <v>#VALUE!</v>
      </c>
      <c r="V965" s="2" t="str">
        <f t="shared" si="60"/>
        <v/>
      </c>
      <c r="W965" s="12" t="str">
        <f t="shared" si="61"/>
        <v/>
      </c>
    </row>
    <row r="966" spans="1:23">
      <c r="A966">
        <f>IF(ISBLANK('Data Input'!A966),"",'Data Input'!A966)</f>
        <v>176</v>
      </c>
      <c r="B966" t="str">
        <f>IF(ISBLANK('Data Input'!B966),"",'Data Input'!B966)</f>
        <v/>
      </c>
      <c r="C966" t="str">
        <f>IF(ISBLANK('Data Input'!C966),"",'Data Input'!C966)</f>
        <v/>
      </c>
      <c r="E966" t="str">
        <f>IF(ISBLANK('Data Input'!D966),"",'Data Input'!D966)</f>
        <v/>
      </c>
      <c r="G966" t="str">
        <f>IF(ISBLANK('Data Input'!E966),"",'Data Input'!E966)</f>
        <v/>
      </c>
      <c r="H966" t="str">
        <f>IF(ISBLANK('Data Input'!F966),"",'Data Input'!F966)</f>
        <v/>
      </c>
      <c r="I966" t="str">
        <f>IF(ISBLANK('Data Input'!G966),"",'Data Input'!G966)</f>
        <v/>
      </c>
      <c r="J966" t="str">
        <f>IF(ISBLANK('Data Input'!I966),"",'Data Input'!I966)</f>
        <v/>
      </c>
      <c r="K966" t="str">
        <f>IF(ISBLANK('Data Input'!J966),"",'Data Input'!J966)</f>
        <v/>
      </c>
      <c r="L966" t="str">
        <f>IF(ISBLANK('Data Input'!K966),"",'Data Input'!K966)</f>
        <v/>
      </c>
      <c r="M966" t="str">
        <f>IF(ISBLANK('Data Input'!L966),"",'Data Input'!L966)</f>
        <v/>
      </c>
      <c r="N966" t="str">
        <f>IF(ISBLANK('Data Input'!M966),"",'Data Input'!M966)</f>
        <v/>
      </c>
      <c r="O966" t="str">
        <f>IF(ISBLANK('Data Input'!N966),"",'Data Input'!N966)</f>
        <v/>
      </c>
      <c r="P966" t="str">
        <f>IF(ISBLANK('Data Input'!O966),"",'Data Input'!O966)</f>
        <v/>
      </c>
      <c r="Q966" t="str">
        <f>IF(ISBLANK('Data Input'!P966),"",'Data Input'!P966)</f>
        <v/>
      </c>
      <c r="R966" t="b">
        <f>IF(ISBLANK('Data Input'!Q966),"",'Data Input'!Q966)</f>
        <v>0</v>
      </c>
      <c r="T966" s="2" t="e">
        <f t="shared" si="62"/>
        <v>#VALUE!</v>
      </c>
      <c r="U966" s="12" t="e">
        <f t="shared" si="63"/>
        <v>#VALUE!</v>
      </c>
      <c r="V966" s="2" t="str">
        <f t="shared" si="60"/>
        <v/>
      </c>
      <c r="W966" s="12" t="str">
        <f t="shared" si="61"/>
        <v/>
      </c>
    </row>
    <row r="967" spans="1:23">
      <c r="A967">
        <f>IF(ISBLANK('Data Input'!A967),"",'Data Input'!A967)</f>
        <v>176</v>
      </c>
      <c r="B967" t="str">
        <f>IF(ISBLANK('Data Input'!B967),"",'Data Input'!B967)</f>
        <v/>
      </c>
      <c r="C967" t="str">
        <f>IF(ISBLANK('Data Input'!C967),"",'Data Input'!C967)</f>
        <v/>
      </c>
      <c r="E967" t="str">
        <f>IF(ISBLANK('Data Input'!D967),"",'Data Input'!D967)</f>
        <v/>
      </c>
      <c r="G967" t="str">
        <f>IF(ISBLANK('Data Input'!E967),"",'Data Input'!E967)</f>
        <v/>
      </c>
      <c r="H967" t="str">
        <f>IF(ISBLANK('Data Input'!F967),"",'Data Input'!F967)</f>
        <v/>
      </c>
      <c r="I967" t="str">
        <f>IF(ISBLANK('Data Input'!G967),"",'Data Input'!G967)</f>
        <v/>
      </c>
      <c r="J967" t="str">
        <f>IF(ISBLANK('Data Input'!I967),"",'Data Input'!I967)</f>
        <v/>
      </c>
      <c r="K967" t="str">
        <f>IF(ISBLANK('Data Input'!J967),"",'Data Input'!J967)</f>
        <v/>
      </c>
      <c r="L967" t="str">
        <f>IF(ISBLANK('Data Input'!K967),"",'Data Input'!K967)</f>
        <v/>
      </c>
      <c r="M967" t="str">
        <f>IF(ISBLANK('Data Input'!L967),"",'Data Input'!L967)</f>
        <v/>
      </c>
      <c r="N967" t="str">
        <f>IF(ISBLANK('Data Input'!M967),"",'Data Input'!M967)</f>
        <v/>
      </c>
      <c r="O967" t="str">
        <f>IF(ISBLANK('Data Input'!N967),"",'Data Input'!N967)</f>
        <v/>
      </c>
      <c r="P967" t="str">
        <f>IF(ISBLANK('Data Input'!O967),"",'Data Input'!O967)</f>
        <v/>
      </c>
      <c r="Q967" t="str">
        <f>IF(ISBLANK('Data Input'!P967),"",'Data Input'!P967)</f>
        <v/>
      </c>
      <c r="R967" t="b">
        <f>IF(ISBLANK('Data Input'!Q967),"",'Data Input'!Q967)</f>
        <v>0</v>
      </c>
      <c r="T967" s="2" t="e">
        <f t="shared" si="62"/>
        <v>#VALUE!</v>
      </c>
      <c r="U967" s="12" t="e">
        <f t="shared" si="63"/>
        <v>#VALUE!</v>
      </c>
      <c r="V967" s="2" t="str">
        <f t="shared" ref="V967:V1030" si="64">IFERROR(DATEVALUE(LEFT(E967,FIND(" ",E967))),E967)</f>
        <v/>
      </c>
      <c r="W967" s="12" t="str">
        <f t="shared" ref="W967:W1030" si="65">IFERROR(TIMEVALUE(CONCATENATE(MID(E967,FIND(" ",E967)+1,2),":",RIGHT(E967,LEN(E967)-FIND(" ",E967)-2))),E967)</f>
        <v/>
      </c>
    </row>
    <row r="968" spans="1:23">
      <c r="A968">
        <f>IF(ISBLANK('Data Input'!A968),"",'Data Input'!A968)</f>
        <v>176</v>
      </c>
      <c r="B968" t="str">
        <f>IF(ISBLANK('Data Input'!B968),"",'Data Input'!B968)</f>
        <v/>
      </c>
      <c r="C968" t="str">
        <f>IF(ISBLANK('Data Input'!C968),"",'Data Input'!C968)</f>
        <v/>
      </c>
      <c r="E968" t="str">
        <f>IF(ISBLANK('Data Input'!D968),"",'Data Input'!D968)</f>
        <v/>
      </c>
      <c r="G968" t="str">
        <f>IF(ISBLANK('Data Input'!E968),"",'Data Input'!E968)</f>
        <v/>
      </c>
      <c r="H968" t="str">
        <f>IF(ISBLANK('Data Input'!F968),"",'Data Input'!F968)</f>
        <v/>
      </c>
      <c r="I968" t="str">
        <f>IF(ISBLANK('Data Input'!G968),"",'Data Input'!G968)</f>
        <v/>
      </c>
      <c r="J968" t="str">
        <f>IF(ISBLANK('Data Input'!I968),"",'Data Input'!I968)</f>
        <v/>
      </c>
      <c r="K968" t="str">
        <f>IF(ISBLANK('Data Input'!J968),"",'Data Input'!J968)</f>
        <v/>
      </c>
      <c r="L968" t="str">
        <f>IF(ISBLANK('Data Input'!K968),"",'Data Input'!K968)</f>
        <v/>
      </c>
      <c r="M968" t="str">
        <f>IF(ISBLANK('Data Input'!L968),"",'Data Input'!L968)</f>
        <v/>
      </c>
      <c r="N968" t="str">
        <f>IF(ISBLANK('Data Input'!M968),"",'Data Input'!M968)</f>
        <v/>
      </c>
      <c r="O968" t="str">
        <f>IF(ISBLANK('Data Input'!N968),"",'Data Input'!N968)</f>
        <v/>
      </c>
      <c r="P968" t="str">
        <f>IF(ISBLANK('Data Input'!O968),"",'Data Input'!O968)</f>
        <v/>
      </c>
      <c r="Q968" t="str">
        <f>IF(ISBLANK('Data Input'!P968),"",'Data Input'!P968)</f>
        <v/>
      </c>
      <c r="R968" t="b">
        <f>IF(ISBLANK('Data Input'!Q968),"",'Data Input'!Q968)</f>
        <v>0</v>
      </c>
      <c r="T968" s="2" t="e">
        <f t="shared" si="62"/>
        <v>#VALUE!</v>
      </c>
      <c r="U968" s="12" t="e">
        <f t="shared" si="63"/>
        <v>#VALUE!</v>
      </c>
      <c r="V968" s="2" t="str">
        <f t="shared" si="64"/>
        <v/>
      </c>
      <c r="W968" s="12" t="str">
        <f t="shared" si="65"/>
        <v/>
      </c>
    </row>
    <row r="969" spans="1:23">
      <c r="A969">
        <f>IF(ISBLANK('Data Input'!A969),"",'Data Input'!A969)</f>
        <v>176</v>
      </c>
      <c r="B969" t="str">
        <f>IF(ISBLANK('Data Input'!B969),"",'Data Input'!B969)</f>
        <v/>
      </c>
      <c r="C969" t="str">
        <f>IF(ISBLANK('Data Input'!C969),"",'Data Input'!C969)</f>
        <v/>
      </c>
      <c r="E969" t="str">
        <f>IF(ISBLANK('Data Input'!D969),"",'Data Input'!D969)</f>
        <v/>
      </c>
      <c r="G969" t="str">
        <f>IF(ISBLANK('Data Input'!E969),"",'Data Input'!E969)</f>
        <v/>
      </c>
      <c r="H969" t="str">
        <f>IF(ISBLANK('Data Input'!F969),"",'Data Input'!F969)</f>
        <v/>
      </c>
      <c r="I969" t="str">
        <f>IF(ISBLANK('Data Input'!G969),"",'Data Input'!G969)</f>
        <v/>
      </c>
      <c r="J969" t="str">
        <f>IF(ISBLANK('Data Input'!I969),"",'Data Input'!I969)</f>
        <v/>
      </c>
      <c r="K969" t="str">
        <f>IF(ISBLANK('Data Input'!J969),"",'Data Input'!J969)</f>
        <v/>
      </c>
      <c r="L969" t="str">
        <f>IF(ISBLANK('Data Input'!K969),"",'Data Input'!K969)</f>
        <v/>
      </c>
      <c r="M969" t="str">
        <f>IF(ISBLANK('Data Input'!L969),"",'Data Input'!L969)</f>
        <v/>
      </c>
      <c r="N969" t="str">
        <f>IF(ISBLANK('Data Input'!M969),"",'Data Input'!M969)</f>
        <v/>
      </c>
      <c r="O969" t="str">
        <f>IF(ISBLANK('Data Input'!N969),"",'Data Input'!N969)</f>
        <v/>
      </c>
      <c r="P969" t="str">
        <f>IF(ISBLANK('Data Input'!O969),"",'Data Input'!O969)</f>
        <v/>
      </c>
      <c r="Q969" t="str">
        <f>IF(ISBLANK('Data Input'!P969),"",'Data Input'!P969)</f>
        <v/>
      </c>
      <c r="R969" t="b">
        <f>IF(ISBLANK('Data Input'!Q969),"",'Data Input'!Q969)</f>
        <v>0</v>
      </c>
      <c r="T969" s="2" t="e">
        <f t="shared" si="62"/>
        <v>#VALUE!</v>
      </c>
      <c r="U969" s="12" t="e">
        <f t="shared" si="63"/>
        <v>#VALUE!</v>
      </c>
      <c r="V969" s="2" t="str">
        <f t="shared" si="64"/>
        <v/>
      </c>
      <c r="W969" s="12" t="str">
        <f t="shared" si="65"/>
        <v/>
      </c>
    </row>
    <row r="970" spans="1:23">
      <c r="A970">
        <f>IF(ISBLANK('Data Input'!A970),"",'Data Input'!A970)</f>
        <v>176</v>
      </c>
      <c r="B970" t="str">
        <f>IF(ISBLANK('Data Input'!B970),"",'Data Input'!B970)</f>
        <v/>
      </c>
      <c r="C970" t="str">
        <f>IF(ISBLANK('Data Input'!C970),"",'Data Input'!C970)</f>
        <v/>
      </c>
      <c r="E970" t="str">
        <f>IF(ISBLANK('Data Input'!D970),"",'Data Input'!D970)</f>
        <v/>
      </c>
      <c r="G970" t="str">
        <f>IF(ISBLANK('Data Input'!E970),"",'Data Input'!E970)</f>
        <v/>
      </c>
      <c r="H970" t="str">
        <f>IF(ISBLANK('Data Input'!F970),"",'Data Input'!F970)</f>
        <v/>
      </c>
      <c r="I970" t="str">
        <f>IF(ISBLANK('Data Input'!G970),"",'Data Input'!G970)</f>
        <v/>
      </c>
      <c r="J970" t="str">
        <f>IF(ISBLANK('Data Input'!I970),"",'Data Input'!I970)</f>
        <v/>
      </c>
      <c r="K970" t="str">
        <f>IF(ISBLANK('Data Input'!J970),"",'Data Input'!J970)</f>
        <v/>
      </c>
      <c r="L970" t="str">
        <f>IF(ISBLANK('Data Input'!K970),"",'Data Input'!K970)</f>
        <v/>
      </c>
      <c r="M970" t="str">
        <f>IF(ISBLANK('Data Input'!L970),"",'Data Input'!L970)</f>
        <v/>
      </c>
      <c r="N970" t="str">
        <f>IF(ISBLANK('Data Input'!M970),"",'Data Input'!M970)</f>
        <v/>
      </c>
      <c r="O970" t="str">
        <f>IF(ISBLANK('Data Input'!N970),"",'Data Input'!N970)</f>
        <v/>
      </c>
      <c r="P970" t="str">
        <f>IF(ISBLANK('Data Input'!O970),"",'Data Input'!O970)</f>
        <v/>
      </c>
      <c r="Q970" t="str">
        <f>IF(ISBLANK('Data Input'!P970),"",'Data Input'!P970)</f>
        <v/>
      </c>
      <c r="R970" t="b">
        <f>IF(ISBLANK('Data Input'!Q970),"",'Data Input'!Q970)</f>
        <v>0</v>
      </c>
      <c r="T970" s="2" t="e">
        <f t="shared" si="62"/>
        <v>#VALUE!</v>
      </c>
      <c r="U970" s="12" t="e">
        <f t="shared" si="63"/>
        <v>#VALUE!</v>
      </c>
      <c r="V970" s="2" t="str">
        <f t="shared" si="64"/>
        <v/>
      </c>
      <c r="W970" s="12" t="str">
        <f t="shared" si="65"/>
        <v/>
      </c>
    </row>
    <row r="971" spans="1:23">
      <c r="A971">
        <f>IF(ISBLANK('Data Input'!A971),"",'Data Input'!A971)</f>
        <v>176</v>
      </c>
      <c r="B971" t="str">
        <f>IF(ISBLANK('Data Input'!B971),"",'Data Input'!B971)</f>
        <v/>
      </c>
      <c r="C971" t="str">
        <f>IF(ISBLANK('Data Input'!C971),"",'Data Input'!C971)</f>
        <v/>
      </c>
      <c r="E971" t="str">
        <f>IF(ISBLANK('Data Input'!D971),"",'Data Input'!D971)</f>
        <v/>
      </c>
      <c r="G971" t="str">
        <f>IF(ISBLANK('Data Input'!E971),"",'Data Input'!E971)</f>
        <v/>
      </c>
      <c r="H971" t="str">
        <f>IF(ISBLANK('Data Input'!F971),"",'Data Input'!F971)</f>
        <v/>
      </c>
      <c r="I971" t="str">
        <f>IF(ISBLANK('Data Input'!G971),"",'Data Input'!G971)</f>
        <v/>
      </c>
      <c r="J971" t="str">
        <f>IF(ISBLANK('Data Input'!I971),"",'Data Input'!I971)</f>
        <v/>
      </c>
      <c r="K971" t="str">
        <f>IF(ISBLANK('Data Input'!J971),"",'Data Input'!J971)</f>
        <v/>
      </c>
      <c r="L971" t="str">
        <f>IF(ISBLANK('Data Input'!K971),"",'Data Input'!K971)</f>
        <v/>
      </c>
      <c r="M971" t="str">
        <f>IF(ISBLANK('Data Input'!L971),"",'Data Input'!L971)</f>
        <v/>
      </c>
      <c r="N971" t="str">
        <f>IF(ISBLANK('Data Input'!M971),"",'Data Input'!M971)</f>
        <v/>
      </c>
      <c r="O971" t="str">
        <f>IF(ISBLANK('Data Input'!N971),"",'Data Input'!N971)</f>
        <v/>
      </c>
      <c r="P971" t="str">
        <f>IF(ISBLANK('Data Input'!O971),"",'Data Input'!O971)</f>
        <v/>
      </c>
      <c r="Q971" t="str">
        <f>IF(ISBLANK('Data Input'!P971),"",'Data Input'!P971)</f>
        <v/>
      </c>
      <c r="R971" t="b">
        <f>IF(ISBLANK('Data Input'!Q971),"",'Data Input'!Q971)</f>
        <v>0</v>
      </c>
      <c r="T971" s="2" t="e">
        <f t="shared" si="62"/>
        <v>#VALUE!</v>
      </c>
      <c r="U971" s="12" t="e">
        <f t="shared" si="63"/>
        <v>#VALUE!</v>
      </c>
      <c r="V971" s="2" t="str">
        <f t="shared" si="64"/>
        <v/>
      </c>
      <c r="W971" s="12" t="str">
        <f t="shared" si="65"/>
        <v/>
      </c>
    </row>
    <row r="972" spans="1:23">
      <c r="A972">
        <f>IF(ISBLANK('Data Input'!A972),"",'Data Input'!A972)</f>
        <v>176</v>
      </c>
      <c r="B972" t="str">
        <f>IF(ISBLANK('Data Input'!B972),"",'Data Input'!B972)</f>
        <v/>
      </c>
      <c r="C972" t="str">
        <f>IF(ISBLANK('Data Input'!C972),"",'Data Input'!C972)</f>
        <v/>
      </c>
      <c r="E972" t="str">
        <f>IF(ISBLANK('Data Input'!D972),"",'Data Input'!D972)</f>
        <v/>
      </c>
      <c r="G972" t="str">
        <f>IF(ISBLANK('Data Input'!E972),"",'Data Input'!E972)</f>
        <v/>
      </c>
      <c r="H972" t="str">
        <f>IF(ISBLANK('Data Input'!F972),"",'Data Input'!F972)</f>
        <v/>
      </c>
      <c r="I972" t="str">
        <f>IF(ISBLANK('Data Input'!G972),"",'Data Input'!G972)</f>
        <v/>
      </c>
      <c r="J972" t="str">
        <f>IF(ISBLANK('Data Input'!I972),"",'Data Input'!I972)</f>
        <v/>
      </c>
      <c r="K972" t="str">
        <f>IF(ISBLANK('Data Input'!J972),"",'Data Input'!J972)</f>
        <v/>
      </c>
      <c r="L972" t="str">
        <f>IF(ISBLANK('Data Input'!K972),"",'Data Input'!K972)</f>
        <v/>
      </c>
      <c r="M972" t="str">
        <f>IF(ISBLANK('Data Input'!L972),"",'Data Input'!L972)</f>
        <v/>
      </c>
      <c r="N972" t="str">
        <f>IF(ISBLANK('Data Input'!M972),"",'Data Input'!M972)</f>
        <v/>
      </c>
      <c r="O972" t="str">
        <f>IF(ISBLANK('Data Input'!N972),"",'Data Input'!N972)</f>
        <v/>
      </c>
      <c r="P972" t="str">
        <f>IF(ISBLANK('Data Input'!O972),"",'Data Input'!O972)</f>
        <v/>
      </c>
      <c r="Q972" t="str">
        <f>IF(ISBLANK('Data Input'!P972),"",'Data Input'!P972)</f>
        <v/>
      </c>
      <c r="R972" t="b">
        <f>IF(ISBLANK('Data Input'!Q972),"",'Data Input'!Q972)</f>
        <v>0</v>
      </c>
      <c r="T972" s="2" t="e">
        <f t="shared" si="62"/>
        <v>#VALUE!</v>
      </c>
      <c r="U972" s="12" t="e">
        <f t="shared" si="63"/>
        <v>#VALUE!</v>
      </c>
      <c r="V972" s="2" t="str">
        <f t="shared" si="64"/>
        <v/>
      </c>
      <c r="W972" s="12" t="str">
        <f t="shared" si="65"/>
        <v/>
      </c>
    </row>
    <row r="973" spans="1:23">
      <c r="A973">
        <f>IF(ISBLANK('Data Input'!A973),"",'Data Input'!A973)</f>
        <v>176</v>
      </c>
      <c r="B973" t="str">
        <f>IF(ISBLANK('Data Input'!B973),"",'Data Input'!B973)</f>
        <v/>
      </c>
      <c r="C973" t="str">
        <f>IF(ISBLANK('Data Input'!C973),"",'Data Input'!C973)</f>
        <v/>
      </c>
      <c r="E973" t="str">
        <f>IF(ISBLANK('Data Input'!D973),"",'Data Input'!D973)</f>
        <v/>
      </c>
      <c r="G973" t="str">
        <f>IF(ISBLANK('Data Input'!E973),"",'Data Input'!E973)</f>
        <v/>
      </c>
      <c r="H973" t="str">
        <f>IF(ISBLANK('Data Input'!F973),"",'Data Input'!F973)</f>
        <v/>
      </c>
      <c r="I973" t="str">
        <f>IF(ISBLANK('Data Input'!G973),"",'Data Input'!G973)</f>
        <v/>
      </c>
      <c r="J973" t="str">
        <f>IF(ISBLANK('Data Input'!I973),"",'Data Input'!I973)</f>
        <v/>
      </c>
      <c r="K973" t="str">
        <f>IF(ISBLANK('Data Input'!J973),"",'Data Input'!J973)</f>
        <v/>
      </c>
      <c r="L973" t="str">
        <f>IF(ISBLANK('Data Input'!K973),"",'Data Input'!K973)</f>
        <v/>
      </c>
      <c r="M973" t="str">
        <f>IF(ISBLANK('Data Input'!L973),"",'Data Input'!L973)</f>
        <v/>
      </c>
      <c r="N973" t="str">
        <f>IF(ISBLANK('Data Input'!M973),"",'Data Input'!M973)</f>
        <v/>
      </c>
      <c r="O973" t="str">
        <f>IF(ISBLANK('Data Input'!N973),"",'Data Input'!N973)</f>
        <v/>
      </c>
      <c r="P973" t="str">
        <f>IF(ISBLANK('Data Input'!O973),"",'Data Input'!O973)</f>
        <v/>
      </c>
      <c r="Q973" t="str">
        <f>IF(ISBLANK('Data Input'!P973),"",'Data Input'!P973)</f>
        <v/>
      </c>
      <c r="R973" t="b">
        <f>IF(ISBLANK('Data Input'!Q973),"",'Data Input'!Q973)</f>
        <v>0</v>
      </c>
      <c r="T973" s="2" t="e">
        <f t="shared" si="62"/>
        <v>#VALUE!</v>
      </c>
      <c r="U973" s="12" t="e">
        <f t="shared" si="63"/>
        <v>#VALUE!</v>
      </c>
      <c r="V973" s="2" t="str">
        <f t="shared" si="64"/>
        <v/>
      </c>
      <c r="W973" s="12" t="str">
        <f t="shared" si="65"/>
        <v/>
      </c>
    </row>
    <row r="974" spans="1:23">
      <c r="A974">
        <f>IF(ISBLANK('Data Input'!A974),"",'Data Input'!A974)</f>
        <v>176</v>
      </c>
      <c r="B974" t="str">
        <f>IF(ISBLANK('Data Input'!B974),"",'Data Input'!B974)</f>
        <v/>
      </c>
      <c r="C974" t="str">
        <f>IF(ISBLANK('Data Input'!C974),"",'Data Input'!C974)</f>
        <v/>
      </c>
      <c r="E974" t="str">
        <f>IF(ISBLANK('Data Input'!D974),"",'Data Input'!D974)</f>
        <v/>
      </c>
      <c r="G974" t="str">
        <f>IF(ISBLANK('Data Input'!E974),"",'Data Input'!E974)</f>
        <v/>
      </c>
      <c r="H974" t="str">
        <f>IF(ISBLANK('Data Input'!F974),"",'Data Input'!F974)</f>
        <v/>
      </c>
      <c r="I974" t="str">
        <f>IF(ISBLANK('Data Input'!G974),"",'Data Input'!G974)</f>
        <v/>
      </c>
      <c r="J974" t="str">
        <f>IF(ISBLANK('Data Input'!I974),"",'Data Input'!I974)</f>
        <v/>
      </c>
      <c r="K974" t="str">
        <f>IF(ISBLANK('Data Input'!J974),"",'Data Input'!J974)</f>
        <v/>
      </c>
      <c r="L974" t="str">
        <f>IF(ISBLANK('Data Input'!K974),"",'Data Input'!K974)</f>
        <v/>
      </c>
      <c r="M974" t="str">
        <f>IF(ISBLANK('Data Input'!L974),"",'Data Input'!L974)</f>
        <v/>
      </c>
      <c r="N974" t="str">
        <f>IF(ISBLANK('Data Input'!M974),"",'Data Input'!M974)</f>
        <v/>
      </c>
      <c r="O974" t="str">
        <f>IF(ISBLANK('Data Input'!N974),"",'Data Input'!N974)</f>
        <v/>
      </c>
      <c r="P974" t="str">
        <f>IF(ISBLANK('Data Input'!O974),"",'Data Input'!O974)</f>
        <v/>
      </c>
      <c r="Q974" t="str">
        <f>IF(ISBLANK('Data Input'!P974),"",'Data Input'!P974)</f>
        <v/>
      </c>
      <c r="R974" t="b">
        <f>IF(ISBLANK('Data Input'!Q974),"",'Data Input'!Q974)</f>
        <v>0</v>
      </c>
      <c r="T974" s="2" t="e">
        <f t="shared" si="62"/>
        <v>#VALUE!</v>
      </c>
      <c r="U974" s="12" t="e">
        <f t="shared" si="63"/>
        <v>#VALUE!</v>
      </c>
      <c r="V974" s="2" t="str">
        <f t="shared" si="64"/>
        <v/>
      </c>
      <c r="W974" s="12" t="str">
        <f t="shared" si="65"/>
        <v/>
      </c>
    </row>
    <row r="975" spans="1:23">
      <c r="A975">
        <f>IF(ISBLANK('Data Input'!A975),"",'Data Input'!A975)</f>
        <v>176</v>
      </c>
      <c r="B975" t="str">
        <f>IF(ISBLANK('Data Input'!B975),"",'Data Input'!B975)</f>
        <v/>
      </c>
      <c r="C975" t="str">
        <f>IF(ISBLANK('Data Input'!C975),"",'Data Input'!C975)</f>
        <v/>
      </c>
      <c r="E975" t="str">
        <f>IF(ISBLANK('Data Input'!D975),"",'Data Input'!D975)</f>
        <v/>
      </c>
      <c r="G975" t="str">
        <f>IF(ISBLANK('Data Input'!E975),"",'Data Input'!E975)</f>
        <v/>
      </c>
      <c r="H975" t="str">
        <f>IF(ISBLANK('Data Input'!F975),"",'Data Input'!F975)</f>
        <v/>
      </c>
      <c r="I975" t="str">
        <f>IF(ISBLANK('Data Input'!G975),"",'Data Input'!G975)</f>
        <v/>
      </c>
      <c r="J975" t="str">
        <f>IF(ISBLANK('Data Input'!I975),"",'Data Input'!I975)</f>
        <v/>
      </c>
      <c r="K975" t="str">
        <f>IF(ISBLANK('Data Input'!J975),"",'Data Input'!J975)</f>
        <v/>
      </c>
      <c r="L975" t="str">
        <f>IF(ISBLANK('Data Input'!K975),"",'Data Input'!K975)</f>
        <v/>
      </c>
      <c r="M975" t="str">
        <f>IF(ISBLANK('Data Input'!L975),"",'Data Input'!L975)</f>
        <v/>
      </c>
      <c r="N975" t="str">
        <f>IF(ISBLANK('Data Input'!M975),"",'Data Input'!M975)</f>
        <v/>
      </c>
      <c r="O975" t="str">
        <f>IF(ISBLANK('Data Input'!N975),"",'Data Input'!N975)</f>
        <v/>
      </c>
      <c r="P975" t="str">
        <f>IF(ISBLANK('Data Input'!O975),"",'Data Input'!O975)</f>
        <v/>
      </c>
      <c r="Q975" t="str">
        <f>IF(ISBLANK('Data Input'!P975),"",'Data Input'!P975)</f>
        <v/>
      </c>
      <c r="R975" t="b">
        <f>IF(ISBLANK('Data Input'!Q975),"",'Data Input'!Q975)</f>
        <v>0</v>
      </c>
      <c r="T975" s="2" t="e">
        <f t="shared" si="62"/>
        <v>#VALUE!</v>
      </c>
      <c r="U975" s="12" t="e">
        <f t="shared" si="63"/>
        <v>#VALUE!</v>
      </c>
      <c r="V975" s="2" t="str">
        <f t="shared" si="64"/>
        <v/>
      </c>
      <c r="W975" s="12" t="str">
        <f t="shared" si="65"/>
        <v/>
      </c>
    </row>
    <row r="976" spans="1:23">
      <c r="A976">
        <f>IF(ISBLANK('Data Input'!A976),"",'Data Input'!A976)</f>
        <v>176</v>
      </c>
      <c r="B976" t="str">
        <f>IF(ISBLANK('Data Input'!B976),"",'Data Input'!B976)</f>
        <v/>
      </c>
      <c r="C976" t="str">
        <f>IF(ISBLANK('Data Input'!C976),"",'Data Input'!C976)</f>
        <v/>
      </c>
      <c r="E976" t="str">
        <f>IF(ISBLANK('Data Input'!D976),"",'Data Input'!D976)</f>
        <v/>
      </c>
      <c r="G976" t="str">
        <f>IF(ISBLANK('Data Input'!E976),"",'Data Input'!E976)</f>
        <v/>
      </c>
      <c r="H976" t="str">
        <f>IF(ISBLANK('Data Input'!F976),"",'Data Input'!F976)</f>
        <v/>
      </c>
      <c r="I976" t="str">
        <f>IF(ISBLANK('Data Input'!G976),"",'Data Input'!G976)</f>
        <v/>
      </c>
      <c r="J976" t="str">
        <f>IF(ISBLANK('Data Input'!I976),"",'Data Input'!I976)</f>
        <v/>
      </c>
      <c r="K976" t="str">
        <f>IF(ISBLANK('Data Input'!J976),"",'Data Input'!J976)</f>
        <v/>
      </c>
      <c r="L976" t="str">
        <f>IF(ISBLANK('Data Input'!K976),"",'Data Input'!K976)</f>
        <v/>
      </c>
      <c r="M976" t="str">
        <f>IF(ISBLANK('Data Input'!L976),"",'Data Input'!L976)</f>
        <v/>
      </c>
      <c r="N976" t="str">
        <f>IF(ISBLANK('Data Input'!M976),"",'Data Input'!M976)</f>
        <v/>
      </c>
      <c r="O976" t="str">
        <f>IF(ISBLANK('Data Input'!N976),"",'Data Input'!N976)</f>
        <v/>
      </c>
      <c r="P976" t="str">
        <f>IF(ISBLANK('Data Input'!O976),"",'Data Input'!O976)</f>
        <v/>
      </c>
      <c r="Q976" t="str">
        <f>IF(ISBLANK('Data Input'!P976),"",'Data Input'!P976)</f>
        <v/>
      </c>
      <c r="R976" t="b">
        <f>IF(ISBLANK('Data Input'!Q976),"",'Data Input'!Q976)</f>
        <v>0</v>
      </c>
      <c r="T976" s="2" t="e">
        <f t="shared" si="62"/>
        <v>#VALUE!</v>
      </c>
      <c r="U976" s="12" t="e">
        <f t="shared" si="63"/>
        <v>#VALUE!</v>
      </c>
      <c r="V976" s="2" t="str">
        <f t="shared" si="64"/>
        <v/>
      </c>
      <c r="W976" s="12" t="str">
        <f t="shared" si="65"/>
        <v/>
      </c>
    </row>
    <row r="977" spans="1:23">
      <c r="A977">
        <f>IF(ISBLANK('Data Input'!A977),"",'Data Input'!A977)</f>
        <v>176</v>
      </c>
      <c r="B977" t="str">
        <f>IF(ISBLANK('Data Input'!B977),"",'Data Input'!B977)</f>
        <v/>
      </c>
      <c r="C977" t="str">
        <f>IF(ISBLANK('Data Input'!C977),"",'Data Input'!C977)</f>
        <v/>
      </c>
      <c r="E977" t="str">
        <f>IF(ISBLANK('Data Input'!D977),"",'Data Input'!D977)</f>
        <v/>
      </c>
      <c r="G977" t="str">
        <f>IF(ISBLANK('Data Input'!E977),"",'Data Input'!E977)</f>
        <v/>
      </c>
      <c r="H977" t="str">
        <f>IF(ISBLANK('Data Input'!F977),"",'Data Input'!F977)</f>
        <v/>
      </c>
      <c r="I977" t="str">
        <f>IF(ISBLANK('Data Input'!G977),"",'Data Input'!G977)</f>
        <v/>
      </c>
      <c r="J977" t="str">
        <f>IF(ISBLANK('Data Input'!I977),"",'Data Input'!I977)</f>
        <v/>
      </c>
      <c r="K977" t="str">
        <f>IF(ISBLANK('Data Input'!J977),"",'Data Input'!J977)</f>
        <v/>
      </c>
      <c r="L977" t="str">
        <f>IF(ISBLANK('Data Input'!K977),"",'Data Input'!K977)</f>
        <v/>
      </c>
      <c r="M977" t="str">
        <f>IF(ISBLANK('Data Input'!L977),"",'Data Input'!L977)</f>
        <v/>
      </c>
      <c r="N977" t="str">
        <f>IF(ISBLANK('Data Input'!M977),"",'Data Input'!M977)</f>
        <v/>
      </c>
      <c r="O977" t="str">
        <f>IF(ISBLANK('Data Input'!N977),"",'Data Input'!N977)</f>
        <v/>
      </c>
      <c r="P977" t="str">
        <f>IF(ISBLANK('Data Input'!O977),"",'Data Input'!O977)</f>
        <v/>
      </c>
      <c r="Q977" t="str">
        <f>IF(ISBLANK('Data Input'!P977),"",'Data Input'!P977)</f>
        <v/>
      </c>
      <c r="R977" t="b">
        <f>IF(ISBLANK('Data Input'!Q977),"",'Data Input'!Q977)</f>
        <v>0</v>
      </c>
      <c r="T977" s="2" t="e">
        <f t="shared" si="62"/>
        <v>#VALUE!</v>
      </c>
      <c r="U977" s="12" t="e">
        <f t="shared" si="63"/>
        <v>#VALUE!</v>
      </c>
      <c r="V977" s="2" t="str">
        <f t="shared" si="64"/>
        <v/>
      </c>
      <c r="W977" s="12" t="str">
        <f t="shared" si="65"/>
        <v/>
      </c>
    </row>
    <row r="978" spans="1:23">
      <c r="A978">
        <f>IF(ISBLANK('Data Input'!A978),"",'Data Input'!A978)</f>
        <v>176</v>
      </c>
      <c r="B978" t="str">
        <f>IF(ISBLANK('Data Input'!B978),"",'Data Input'!B978)</f>
        <v/>
      </c>
      <c r="C978" t="str">
        <f>IF(ISBLANK('Data Input'!C978),"",'Data Input'!C978)</f>
        <v/>
      </c>
      <c r="E978" t="str">
        <f>IF(ISBLANK('Data Input'!D978),"",'Data Input'!D978)</f>
        <v/>
      </c>
      <c r="G978" t="str">
        <f>IF(ISBLANK('Data Input'!E978),"",'Data Input'!E978)</f>
        <v/>
      </c>
      <c r="H978" t="str">
        <f>IF(ISBLANK('Data Input'!F978),"",'Data Input'!F978)</f>
        <v/>
      </c>
      <c r="I978" t="str">
        <f>IF(ISBLANK('Data Input'!G978),"",'Data Input'!G978)</f>
        <v/>
      </c>
      <c r="J978" t="str">
        <f>IF(ISBLANK('Data Input'!I978),"",'Data Input'!I978)</f>
        <v/>
      </c>
      <c r="K978" t="str">
        <f>IF(ISBLANK('Data Input'!J978),"",'Data Input'!J978)</f>
        <v/>
      </c>
      <c r="L978" t="str">
        <f>IF(ISBLANK('Data Input'!K978),"",'Data Input'!K978)</f>
        <v/>
      </c>
      <c r="M978" t="str">
        <f>IF(ISBLANK('Data Input'!L978),"",'Data Input'!L978)</f>
        <v/>
      </c>
      <c r="N978" t="str">
        <f>IF(ISBLANK('Data Input'!M978),"",'Data Input'!M978)</f>
        <v/>
      </c>
      <c r="O978" t="str">
        <f>IF(ISBLANK('Data Input'!N978),"",'Data Input'!N978)</f>
        <v/>
      </c>
      <c r="P978" t="str">
        <f>IF(ISBLANK('Data Input'!O978),"",'Data Input'!O978)</f>
        <v/>
      </c>
      <c r="Q978" t="str">
        <f>IF(ISBLANK('Data Input'!P978),"",'Data Input'!P978)</f>
        <v/>
      </c>
      <c r="R978" t="b">
        <f>IF(ISBLANK('Data Input'!Q978),"",'Data Input'!Q978)</f>
        <v>0</v>
      </c>
      <c r="T978" s="2" t="e">
        <f t="shared" si="62"/>
        <v>#VALUE!</v>
      </c>
      <c r="U978" s="12" t="e">
        <f t="shared" si="63"/>
        <v>#VALUE!</v>
      </c>
      <c r="V978" s="2" t="str">
        <f t="shared" si="64"/>
        <v/>
      </c>
      <c r="W978" s="12" t="str">
        <f t="shared" si="65"/>
        <v/>
      </c>
    </row>
    <row r="979" spans="1:23">
      <c r="A979">
        <f>IF(ISBLANK('Data Input'!A979),"",'Data Input'!A979)</f>
        <v>176</v>
      </c>
      <c r="B979" t="str">
        <f>IF(ISBLANK('Data Input'!B979),"",'Data Input'!B979)</f>
        <v/>
      </c>
      <c r="C979" t="str">
        <f>IF(ISBLANK('Data Input'!C979),"",'Data Input'!C979)</f>
        <v/>
      </c>
      <c r="E979" t="str">
        <f>IF(ISBLANK('Data Input'!D979),"",'Data Input'!D979)</f>
        <v/>
      </c>
      <c r="G979" t="str">
        <f>IF(ISBLANK('Data Input'!E979),"",'Data Input'!E979)</f>
        <v/>
      </c>
      <c r="H979" t="str">
        <f>IF(ISBLANK('Data Input'!F979),"",'Data Input'!F979)</f>
        <v/>
      </c>
      <c r="I979" t="str">
        <f>IF(ISBLANK('Data Input'!G979),"",'Data Input'!G979)</f>
        <v/>
      </c>
      <c r="J979" t="str">
        <f>IF(ISBLANK('Data Input'!I979),"",'Data Input'!I979)</f>
        <v/>
      </c>
      <c r="K979" t="str">
        <f>IF(ISBLANK('Data Input'!J979),"",'Data Input'!J979)</f>
        <v/>
      </c>
      <c r="L979" t="str">
        <f>IF(ISBLANK('Data Input'!K979),"",'Data Input'!K979)</f>
        <v/>
      </c>
      <c r="M979" t="str">
        <f>IF(ISBLANK('Data Input'!L979),"",'Data Input'!L979)</f>
        <v/>
      </c>
      <c r="N979" t="str">
        <f>IF(ISBLANK('Data Input'!M979),"",'Data Input'!M979)</f>
        <v/>
      </c>
      <c r="O979" t="str">
        <f>IF(ISBLANK('Data Input'!N979),"",'Data Input'!N979)</f>
        <v/>
      </c>
      <c r="P979" t="str">
        <f>IF(ISBLANK('Data Input'!O979),"",'Data Input'!O979)</f>
        <v/>
      </c>
      <c r="Q979" t="str">
        <f>IF(ISBLANK('Data Input'!P979),"",'Data Input'!P979)</f>
        <v/>
      </c>
      <c r="R979" t="b">
        <f>IF(ISBLANK('Data Input'!Q979),"",'Data Input'!Q979)</f>
        <v>0</v>
      </c>
      <c r="T979" s="2" t="e">
        <f t="shared" si="62"/>
        <v>#VALUE!</v>
      </c>
      <c r="U979" s="12" t="e">
        <f t="shared" si="63"/>
        <v>#VALUE!</v>
      </c>
      <c r="V979" s="2" t="str">
        <f t="shared" si="64"/>
        <v/>
      </c>
      <c r="W979" s="12" t="str">
        <f t="shared" si="65"/>
        <v/>
      </c>
    </row>
    <row r="980" spans="1:23">
      <c r="A980">
        <f>IF(ISBLANK('Data Input'!A980),"",'Data Input'!A980)</f>
        <v>176</v>
      </c>
      <c r="B980" t="str">
        <f>IF(ISBLANK('Data Input'!B980),"",'Data Input'!B980)</f>
        <v/>
      </c>
      <c r="C980" t="str">
        <f>IF(ISBLANK('Data Input'!C980),"",'Data Input'!C980)</f>
        <v/>
      </c>
      <c r="E980" t="str">
        <f>IF(ISBLANK('Data Input'!D980),"",'Data Input'!D980)</f>
        <v/>
      </c>
      <c r="G980" t="str">
        <f>IF(ISBLANK('Data Input'!E980),"",'Data Input'!E980)</f>
        <v/>
      </c>
      <c r="H980" t="str">
        <f>IF(ISBLANK('Data Input'!F980),"",'Data Input'!F980)</f>
        <v/>
      </c>
      <c r="I980" t="str">
        <f>IF(ISBLANK('Data Input'!G980),"",'Data Input'!G980)</f>
        <v/>
      </c>
      <c r="J980" t="str">
        <f>IF(ISBLANK('Data Input'!I980),"",'Data Input'!I980)</f>
        <v/>
      </c>
      <c r="K980" t="str">
        <f>IF(ISBLANK('Data Input'!J980),"",'Data Input'!J980)</f>
        <v/>
      </c>
      <c r="L980" t="str">
        <f>IF(ISBLANK('Data Input'!K980),"",'Data Input'!K980)</f>
        <v/>
      </c>
      <c r="M980" t="str">
        <f>IF(ISBLANK('Data Input'!L980),"",'Data Input'!L980)</f>
        <v/>
      </c>
      <c r="N980" t="str">
        <f>IF(ISBLANK('Data Input'!M980),"",'Data Input'!M980)</f>
        <v/>
      </c>
      <c r="O980" t="str">
        <f>IF(ISBLANK('Data Input'!N980),"",'Data Input'!N980)</f>
        <v/>
      </c>
      <c r="P980" t="str">
        <f>IF(ISBLANK('Data Input'!O980),"",'Data Input'!O980)</f>
        <v/>
      </c>
      <c r="Q980" t="str">
        <f>IF(ISBLANK('Data Input'!P980),"",'Data Input'!P980)</f>
        <v/>
      </c>
      <c r="R980" t="b">
        <f>IF(ISBLANK('Data Input'!Q980),"",'Data Input'!Q980)</f>
        <v>0</v>
      </c>
      <c r="T980" s="2" t="e">
        <f t="shared" si="62"/>
        <v>#VALUE!</v>
      </c>
      <c r="U980" s="12" t="e">
        <f t="shared" si="63"/>
        <v>#VALUE!</v>
      </c>
      <c r="V980" s="2" t="str">
        <f t="shared" si="64"/>
        <v/>
      </c>
      <c r="W980" s="12" t="str">
        <f t="shared" si="65"/>
        <v/>
      </c>
    </row>
    <row r="981" spans="1:23">
      <c r="A981">
        <f>IF(ISBLANK('Data Input'!A981),"",'Data Input'!A981)</f>
        <v>176</v>
      </c>
      <c r="B981" t="str">
        <f>IF(ISBLANK('Data Input'!B981),"",'Data Input'!B981)</f>
        <v/>
      </c>
      <c r="C981" t="str">
        <f>IF(ISBLANK('Data Input'!C981),"",'Data Input'!C981)</f>
        <v/>
      </c>
      <c r="E981" t="str">
        <f>IF(ISBLANK('Data Input'!D981),"",'Data Input'!D981)</f>
        <v/>
      </c>
      <c r="G981" t="str">
        <f>IF(ISBLANK('Data Input'!E981),"",'Data Input'!E981)</f>
        <v/>
      </c>
      <c r="H981" t="str">
        <f>IF(ISBLANK('Data Input'!F981),"",'Data Input'!F981)</f>
        <v/>
      </c>
      <c r="I981" t="str">
        <f>IF(ISBLANK('Data Input'!G981),"",'Data Input'!G981)</f>
        <v/>
      </c>
      <c r="J981" t="str">
        <f>IF(ISBLANK('Data Input'!I981),"",'Data Input'!I981)</f>
        <v/>
      </c>
      <c r="K981" t="str">
        <f>IF(ISBLANK('Data Input'!J981),"",'Data Input'!J981)</f>
        <v/>
      </c>
      <c r="L981" t="str">
        <f>IF(ISBLANK('Data Input'!K981),"",'Data Input'!K981)</f>
        <v/>
      </c>
      <c r="M981" t="str">
        <f>IF(ISBLANK('Data Input'!L981),"",'Data Input'!L981)</f>
        <v/>
      </c>
      <c r="N981" t="str">
        <f>IF(ISBLANK('Data Input'!M981),"",'Data Input'!M981)</f>
        <v/>
      </c>
      <c r="O981" t="str">
        <f>IF(ISBLANK('Data Input'!N981),"",'Data Input'!N981)</f>
        <v/>
      </c>
      <c r="P981" t="str">
        <f>IF(ISBLANK('Data Input'!O981),"",'Data Input'!O981)</f>
        <v/>
      </c>
      <c r="Q981" t="str">
        <f>IF(ISBLANK('Data Input'!P981),"",'Data Input'!P981)</f>
        <v/>
      </c>
      <c r="R981" t="b">
        <f>IF(ISBLANK('Data Input'!Q981),"",'Data Input'!Q981)</f>
        <v>0</v>
      </c>
      <c r="T981" s="2" t="e">
        <f t="shared" si="62"/>
        <v>#VALUE!</v>
      </c>
      <c r="U981" s="12" t="e">
        <f t="shared" si="63"/>
        <v>#VALUE!</v>
      </c>
      <c r="V981" s="2" t="str">
        <f t="shared" si="64"/>
        <v/>
      </c>
      <c r="W981" s="12" t="str">
        <f t="shared" si="65"/>
        <v/>
      </c>
    </row>
    <row r="982" spans="1:23">
      <c r="A982">
        <f>IF(ISBLANK('Data Input'!A982),"",'Data Input'!A982)</f>
        <v>176</v>
      </c>
      <c r="B982" t="str">
        <f>IF(ISBLANK('Data Input'!B982),"",'Data Input'!B982)</f>
        <v/>
      </c>
      <c r="C982" t="str">
        <f>IF(ISBLANK('Data Input'!C982),"",'Data Input'!C982)</f>
        <v/>
      </c>
      <c r="E982" t="str">
        <f>IF(ISBLANK('Data Input'!D982),"",'Data Input'!D982)</f>
        <v/>
      </c>
      <c r="G982" t="str">
        <f>IF(ISBLANK('Data Input'!E982),"",'Data Input'!E982)</f>
        <v/>
      </c>
      <c r="H982" t="str">
        <f>IF(ISBLANK('Data Input'!F982),"",'Data Input'!F982)</f>
        <v/>
      </c>
      <c r="I982" t="str">
        <f>IF(ISBLANK('Data Input'!G982),"",'Data Input'!G982)</f>
        <v/>
      </c>
      <c r="J982" t="str">
        <f>IF(ISBLANK('Data Input'!I982),"",'Data Input'!I982)</f>
        <v/>
      </c>
      <c r="K982" t="str">
        <f>IF(ISBLANK('Data Input'!J982),"",'Data Input'!J982)</f>
        <v/>
      </c>
      <c r="L982" t="str">
        <f>IF(ISBLANK('Data Input'!K982),"",'Data Input'!K982)</f>
        <v/>
      </c>
      <c r="M982" t="str">
        <f>IF(ISBLANK('Data Input'!L982),"",'Data Input'!L982)</f>
        <v/>
      </c>
      <c r="N982" t="str">
        <f>IF(ISBLANK('Data Input'!M982),"",'Data Input'!M982)</f>
        <v/>
      </c>
      <c r="O982" t="str">
        <f>IF(ISBLANK('Data Input'!N982),"",'Data Input'!N982)</f>
        <v/>
      </c>
      <c r="P982" t="str">
        <f>IF(ISBLANK('Data Input'!O982),"",'Data Input'!O982)</f>
        <v/>
      </c>
      <c r="Q982" t="str">
        <f>IF(ISBLANK('Data Input'!P982),"",'Data Input'!P982)</f>
        <v/>
      </c>
      <c r="R982" t="b">
        <f>IF(ISBLANK('Data Input'!Q982),"",'Data Input'!Q982)</f>
        <v>0</v>
      </c>
      <c r="T982" s="2" t="e">
        <f t="shared" si="62"/>
        <v>#VALUE!</v>
      </c>
      <c r="U982" s="12" t="e">
        <f t="shared" si="63"/>
        <v>#VALUE!</v>
      </c>
      <c r="V982" s="2" t="str">
        <f t="shared" si="64"/>
        <v/>
      </c>
      <c r="W982" s="12" t="str">
        <f t="shared" si="65"/>
        <v/>
      </c>
    </row>
    <row r="983" spans="1:23">
      <c r="A983">
        <f>IF(ISBLANK('Data Input'!A983),"",'Data Input'!A983)</f>
        <v>176</v>
      </c>
      <c r="B983" t="str">
        <f>IF(ISBLANK('Data Input'!B983),"",'Data Input'!B983)</f>
        <v/>
      </c>
      <c r="C983" t="str">
        <f>IF(ISBLANK('Data Input'!C983),"",'Data Input'!C983)</f>
        <v/>
      </c>
      <c r="E983" t="str">
        <f>IF(ISBLANK('Data Input'!D983),"",'Data Input'!D983)</f>
        <v/>
      </c>
      <c r="G983" t="str">
        <f>IF(ISBLANK('Data Input'!E983),"",'Data Input'!E983)</f>
        <v/>
      </c>
      <c r="H983" t="str">
        <f>IF(ISBLANK('Data Input'!F983),"",'Data Input'!F983)</f>
        <v/>
      </c>
      <c r="I983" t="str">
        <f>IF(ISBLANK('Data Input'!G983),"",'Data Input'!G983)</f>
        <v/>
      </c>
      <c r="J983" t="str">
        <f>IF(ISBLANK('Data Input'!I983),"",'Data Input'!I983)</f>
        <v/>
      </c>
      <c r="K983" t="str">
        <f>IF(ISBLANK('Data Input'!J983),"",'Data Input'!J983)</f>
        <v/>
      </c>
      <c r="L983" t="str">
        <f>IF(ISBLANK('Data Input'!K983),"",'Data Input'!K983)</f>
        <v/>
      </c>
      <c r="M983" t="str">
        <f>IF(ISBLANK('Data Input'!L983),"",'Data Input'!L983)</f>
        <v/>
      </c>
      <c r="N983" t="str">
        <f>IF(ISBLANK('Data Input'!M983),"",'Data Input'!M983)</f>
        <v/>
      </c>
      <c r="O983" t="str">
        <f>IF(ISBLANK('Data Input'!N983),"",'Data Input'!N983)</f>
        <v/>
      </c>
      <c r="P983" t="str">
        <f>IF(ISBLANK('Data Input'!O983),"",'Data Input'!O983)</f>
        <v/>
      </c>
      <c r="Q983" t="str">
        <f>IF(ISBLANK('Data Input'!P983),"",'Data Input'!P983)</f>
        <v/>
      </c>
      <c r="R983" t="b">
        <f>IF(ISBLANK('Data Input'!Q983),"",'Data Input'!Q983)</f>
        <v>0</v>
      </c>
      <c r="T983" s="2" t="e">
        <f t="shared" si="62"/>
        <v>#VALUE!</v>
      </c>
      <c r="U983" s="12" t="e">
        <f t="shared" si="63"/>
        <v>#VALUE!</v>
      </c>
      <c r="V983" s="2" t="str">
        <f t="shared" si="64"/>
        <v/>
      </c>
      <c r="W983" s="12" t="str">
        <f t="shared" si="65"/>
        <v/>
      </c>
    </row>
    <row r="984" spans="1:23">
      <c r="A984">
        <f>IF(ISBLANK('Data Input'!A984),"",'Data Input'!A984)</f>
        <v>176</v>
      </c>
      <c r="B984" t="str">
        <f>IF(ISBLANK('Data Input'!B984),"",'Data Input'!B984)</f>
        <v/>
      </c>
      <c r="C984" t="str">
        <f>IF(ISBLANK('Data Input'!C984),"",'Data Input'!C984)</f>
        <v/>
      </c>
      <c r="E984" t="str">
        <f>IF(ISBLANK('Data Input'!D984),"",'Data Input'!D984)</f>
        <v/>
      </c>
      <c r="G984" t="str">
        <f>IF(ISBLANK('Data Input'!E984),"",'Data Input'!E984)</f>
        <v/>
      </c>
      <c r="H984" t="str">
        <f>IF(ISBLANK('Data Input'!F984),"",'Data Input'!F984)</f>
        <v/>
      </c>
      <c r="I984" t="str">
        <f>IF(ISBLANK('Data Input'!G984),"",'Data Input'!G984)</f>
        <v/>
      </c>
      <c r="J984" t="str">
        <f>IF(ISBLANK('Data Input'!I984),"",'Data Input'!I984)</f>
        <v/>
      </c>
      <c r="K984" t="str">
        <f>IF(ISBLANK('Data Input'!J984),"",'Data Input'!J984)</f>
        <v/>
      </c>
      <c r="L984" t="str">
        <f>IF(ISBLANK('Data Input'!K984),"",'Data Input'!K984)</f>
        <v/>
      </c>
      <c r="M984" t="str">
        <f>IF(ISBLANK('Data Input'!L984),"",'Data Input'!L984)</f>
        <v/>
      </c>
      <c r="N984" t="str">
        <f>IF(ISBLANK('Data Input'!M984),"",'Data Input'!M984)</f>
        <v/>
      </c>
      <c r="O984" t="str">
        <f>IF(ISBLANK('Data Input'!N984),"",'Data Input'!N984)</f>
        <v/>
      </c>
      <c r="P984" t="str">
        <f>IF(ISBLANK('Data Input'!O984),"",'Data Input'!O984)</f>
        <v/>
      </c>
      <c r="Q984" t="str">
        <f>IF(ISBLANK('Data Input'!P984),"",'Data Input'!P984)</f>
        <v/>
      </c>
      <c r="R984" t="b">
        <f>IF(ISBLANK('Data Input'!Q984),"",'Data Input'!Q984)</f>
        <v>0</v>
      </c>
      <c r="T984" s="2" t="e">
        <f t="shared" si="62"/>
        <v>#VALUE!</v>
      </c>
      <c r="U984" s="12" t="e">
        <f t="shared" si="63"/>
        <v>#VALUE!</v>
      </c>
      <c r="V984" s="2" t="str">
        <f t="shared" si="64"/>
        <v/>
      </c>
      <c r="W984" s="12" t="str">
        <f t="shared" si="65"/>
        <v/>
      </c>
    </row>
    <row r="985" spans="1:23">
      <c r="A985">
        <f>IF(ISBLANK('Data Input'!A985),"",'Data Input'!A985)</f>
        <v>176</v>
      </c>
      <c r="B985" t="str">
        <f>IF(ISBLANK('Data Input'!B985),"",'Data Input'!B985)</f>
        <v/>
      </c>
      <c r="C985" t="str">
        <f>IF(ISBLANK('Data Input'!C985),"",'Data Input'!C985)</f>
        <v/>
      </c>
      <c r="E985" t="str">
        <f>IF(ISBLANK('Data Input'!D985),"",'Data Input'!D985)</f>
        <v/>
      </c>
      <c r="G985" t="str">
        <f>IF(ISBLANK('Data Input'!E985),"",'Data Input'!E985)</f>
        <v/>
      </c>
      <c r="H985" t="str">
        <f>IF(ISBLANK('Data Input'!F985),"",'Data Input'!F985)</f>
        <v/>
      </c>
      <c r="I985" t="str">
        <f>IF(ISBLANK('Data Input'!G985),"",'Data Input'!G985)</f>
        <v/>
      </c>
      <c r="J985" t="str">
        <f>IF(ISBLANK('Data Input'!I985),"",'Data Input'!I985)</f>
        <v/>
      </c>
      <c r="K985" t="str">
        <f>IF(ISBLANK('Data Input'!J985),"",'Data Input'!J985)</f>
        <v/>
      </c>
      <c r="L985" t="str">
        <f>IF(ISBLANK('Data Input'!K985),"",'Data Input'!K985)</f>
        <v/>
      </c>
      <c r="M985" t="str">
        <f>IF(ISBLANK('Data Input'!L985),"",'Data Input'!L985)</f>
        <v/>
      </c>
      <c r="N985" t="str">
        <f>IF(ISBLANK('Data Input'!M985),"",'Data Input'!M985)</f>
        <v/>
      </c>
      <c r="O985" t="str">
        <f>IF(ISBLANK('Data Input'!N985),"",'Data Input'!N985)</f>
        <v/>
      </c>
      <c r="P985" t="str">
        <f>IF(ISBLANK('Data Input'!O985),"",'Data Input'!O985)</f>
        <v/>
      </c>
      <c r="Q985" t="str">
        <f>IF(ISBLANK('Data Input'!P985),"",'Data Input'!P985)</f>
        <v/>
      </c>
      <c r="R985" t="b">
        <f>IF(ISBLANK('Data Input'!Q985),"",'Data Input'!Q985)</f>
        <v>0</v>
      </c>
      <c r="T985" s="2" t="e">
        <f t="shared" si="62"/>
        <v>#VALUE!</v>
      </c>
      <c r="U985" s="12" t="e">
        <f t="shared" si="63"/>
        <v>#VALUE!</v>
      </c>
      <c r="V985" s="2" t="str">
        <f t="shared" si="64"/>
        <v/>
      </c>
      <c r="W985" s="12" t="str">
        <f t="shared" si="65"/>
        <v/>
      </c>
    </row>
    <row r="986" spans="1:23">
      <c r="A986">
        <f>IF(ISBLANK('Data Input'!A986),"",'Data Input'!A986)</f>
        <v>176</v>
      </c>
      <c r="B986" t="str">
        <f>IF(ISBLANK('Data Input'!B986),"",'Data Input'!B986)</f>
        <v/>
      </c>
      <c r="C986" t="str">
        <f>IF(ISBLANK('Data Input'!C986),"",'Data Input'!C986)</f>
        <v/>
      </c>
      <c r="E986" t="str">
        <f>IF(ISBLANK('Data Input'!D986),"",'Data Input'!D986)</f>
        <v/>
      </c>
      <c r="G986" t="str">
        <f>IF(ISBLANK('Data Input'!E986),"",'Data Input'!E986)</f>
        <v/>
      </c>
      <c r="H986" t="str">
        <f>IF(ISBLANK('Data Input'!F986),"",'Data Input'!F986)</f>
        <v/>
      </c>
      <c r="I986" t="str">
        <f>IF(ISBLANK('Data Input'!G986),"",'Data Input'!G986)</f>
        <v/>
      </c>
      <c r="J986" t="str">
        <f>IF(ISBLANK('Data Input'!I986),"",'Data Input'!I986)</f>
        <v/>
      </c>
      <c r="K986" t="str">
        <f>IF(ISBLANK('Data Input'!J986),"",'Data Input'!J986)</f>
        <v/>
      </c>
      <c r="L986" t="str">
        <f>IF(ISBLANK('Data Input'!K986),"",'Data Input'!K986)</f>
        <v/>
      </c>
      <c r="M986" t="str">
        <f>IF(ISBLANK('Data Input'!L986),"",'Data Input'!L986)</f>
        <v/>
      </c>
      <c r="N986" t="str">
        <f>IF(ISBLANK('Data Input'!M986),"",'Data Input'!M986)</f>
        <v/>
      </c>
      <c r="O986" t="str">
        <f>IF(ISBLANK('Data Input'!N986),"",'Data Input'!N986)</f>
        <v/>
      </c>
      <c r="P986" t="str">
        <f>IF(ISBLANK('Data Input'!O986),"",'Data Input'!O986)</f>
        <v/>
      </c>
      <c r="Q986" t="str">
        <f>IF(ISBLANK('Data Input'!P986),"",'Data Input'!P986)</f>
        <v/>
      </c>
      <c r="R986" t="b">
        <f>IF(ISBLANK('Data Input'!Q986),"",'Data Input'!Q986)</f>
        <v>0</v>
      </c>
      <c r="T986" s="2" t="e">
        <f t="shared" si="62"/>
        <v>#VALUE!</v>
      </c>
      <c r="U986" s="12" t="e">
        <f t="shared" si="63"/>
        <v>#VALUE!</v>
      </c>
      <c r="V986" s="2" t="str">
        <f t="shared" si="64"/>
        <v/>
      </c>
      <c r="W986" s="12" t="str">
        <f t="shared" si="65"/>
        <v/>
      </c>
    </row>
    <row r="987" spans="1:23">
      <c r="A987">
        <f>IF(ISBLANK('Data Input'!A987),"",'Data Input'!A987)</f>
        <v>176</v>
      </c>
      <c r="B987" t="str">
        <f>IF(ISBLANK('Data Input'!B987),"",'Data Input'!B987)</f>
        <v/>
      </c>
      <c r="C987" t="str">
        <f>IF(ISBLANK('Data Input'!C987),"",'Data Input'!C987)</f>
        <v/>
      </c>
      <c r="E987" t="str">
        <f>IF(ISBLANK('Data Input'!D987),"",'Data Input'!D987)</f>
        <v/>
      </c>
      <c r="G987" t="str">
        <f>IF(ISBLANK('Data Input'!E987),"",'Data Input'!E987)</f>
        <v/>
      </c>
      <c r="H987" t="str">
        <f>IF(ISBLANK('Data Input'!F987),"",'Data Input'!F987)</f>
        <v/>
      </c>
      <c r="I987" t="str">
        <f>IF(ISBLANK('Data Input'!G987),"",'Data Input'!G987)</f>
        <v/>
      </c>
      <c r="J987" t="str">
        <f>IF(ISBLANK('Data Input'!I987),"",'Data Input'!I987)</f>
        <v/>
      </c>
      <c r="K987" t="str">
        <f>IF(ISBLANK('Data Input'!J987),"",'Data Input'!J987)</f>
        <v/>
      </c>
      <c r="L987" t="str">
        <f>IF(ISBLANK('Data Input'!K987),"",'Data Input'!K987)</f>
        <v/>
      </c>
      <c r="M987" t="str">
        <f>IF(ISBLANK('Data Input'!L987),"",'Data Input'!L987)</f>
        <v/>
      </c>
      <c r="N987" t="str">
        <f>IF(ISBLANK('Data Input'!M987),"",'Data Input'!M987)</f>
        <v/>
      </c>
      <c r="O987" t="str">
        <f>IF(ISBLANK('Data Input'!N987),"",'Data Input'!N987)</f>
        <v/>
      </c>
      <c r="P987" t="str">
        <f>IF(ISBLANK('Data Input'!O987),"",'Data Input'!O987)</f>
        <v/>
      </c>
      <c r="Q987" t="str">
        <f>IF(ISBLANK('Data Input'!P987),"",'Data Input'!P987)</f>
        <v/>
      </c>
      <c r="R987" t="b">
        <f>IF(ISBLANK('Data Input'!Q987),"",'Data Input'!Q987)</f>
        <v>0</v>
      </c>
      <c r="T987" s="2" t="e">
        <f t="shared" si="62"/>
        <v>#VALUE!</v>
      </c>
      <c r="U987" s="12" t="e">
        <f t="shared" si="63"/>
        <v>#VALUE!</v>
      </c>
      <c r="V987" s="2" t="str">
        <f t="shared" si="64"/>
        <v/>
      </c>
      <c r="W987" s="12" t="str">
        <f t="shared" si="65"/>
        <v/>
      </c>
    </row>
    <row r="988" spans="1:23">
      <c r="A988">
        <f>IF(ISBLANK('Data Input'!A988),"",'Data Input'!A988)</f>
        <v>176</v>
      </c>
      <c r="B988" t="str">
        <f>IF(ISBLANK('Data Input'!B988),"",'Data Input'!B988)</f>
        <v/>
      </c>
      <c r="C988" t="str">
        <f>IF(ISBLANK('Data Input'!C988),"",'Data Input'!C988)</f>
        <v/>
      </c>
      <c r="E988" t="str">
        <f>IF(ISBLANK('Data Input'!D988),"",'Data Input'!D988)</f>
        <v/>
      </c>
      <c r="G988" t="str">
        <f>IF(ISBLANK('Data Input'!E988),"",'Data Input'!E988)</f>
        <v/>
      </c>
      <c r="H988" t="str">
        <f>IF(ISBLANK('Data Input'!F988),"",'Data Input'!F988)</f>
        <v/>
      </c>
      <c r="I988" t="str">
        <f>IF(ISBLANK('Data Input'!G988),"",'Data Input'!G988)</f>
        <v/>
      </c>
      <c r="J988" t="str">
        <f>IF(ISBLANK('Data Input'!I988),"",'Data Input'!I988)</f>
        <v/>
      </c>
      <c r="K988" t="str">
        <f>IF(ISBLANK('Data Input'!J988),"",'Data Input'!J988)</f>
        <v/>
      </c>
      <c r="L988" t="str">
        <f>IF(ISBLANK('Data Input'!K988),"",'Data Input'!K988)</f>
        <v/>
      </c>
      <c r="M988" t="str">
        <f>IF(ISBLANK('Data Input'!L988),"",'Data Input'!L988)</f>
        <v/>
      </c>
      <c r="N988" t="str">
        <f>IF(ISBLANK('Data Input'!M988),"",'Data Input'!M988)</f>
        <v/>
      </c>
      <c r="O988" t="str">
        <f>IF(ISBLANK('Data Input'!N988),"",'Data Input'!N988)</f>
        <v/>
      </c>
      <c r="P988" t="str">
        <f>IF(ISBLANK('Data Input'!O988),"",'Data Input'!O988)</f>
        <v/>
      </c>
      <c r="Q988" t="str">
        <f>IF(ISBLANK('Data Input'!P988),"",'Data Input'!P988)</f>
        <v/>
      </c>
      <c r="R988" t="b">
        <f>IF(ISBLANK('Data Input'!Q988),"",'Data Input'!Q988)</f>
        <v>0</v>
      </c>
      <c r="T988" s="2" t="e">
        <f t="shared" si="62"/>
        <v>#VALUE!</v>
      </c>
      <c r="U988" s="12" t="e">
        <f t="shared" si="63"/>
        <v>#VALUE!</v>
      </c>
      <c r="V988" s="2" t="str">
        <f t="shared" si="64"/>
        <v/>
      </c>
      <c r="W988" s="12" t="str">
        <f t="shared" si="65"/>
        <v/>
      </c>
    </row>
    <row r="989" spans="1:23">
      <c r="A989">
        <f>IF(ISBLANK('Data Input'!A989),"",'Data Input'!A989)</f>
        <v>176</v>
      </c>
      <c r="B989" t="str">
        <f>IF(ISBLANK('Data Input'!B989),"",'Data Input'!B989)</f>
        <v/>
      </c>
      <c r="C989" t="str">
        <f>IF(ISBLANK('Data Input'!C989),"",'Data Input'!C989)</f>
        <v/>
      </c>
      <c r="E989" t="str">
        <f>IF(ISBLANK('Data Input'!D989),"",'Data Input'!D989)</f>
        <v/>
      </c>
      <c r="G989" t="str">
        <f>IF(ISBLANK('Data Input'!E989),"",'Data Input'!E989)</f>
        <v/>
      </c>
      <c r="H989" t="str">
        <f>IF(ISBLANK('Data Input'!F989),"",'Data Input'!F989)</f>
        <v/>
      </c>
      <c r="I989" t="str">
        <f>IF(ISBLANK('Data Input'!G989),"",'Data Input'!G989)</f>
        <v/>
      </c>
      <c r="J989" t="str">
        <f>IF(ISBLANK('Data Input'!I989),"",'Data Input'!I989)</f>
        <v/>
      </c>
      <c r="K989" t="str">
        <f>IF(ISBLANK('Data Input'!J989),"",'Data Input'!J989)</f>
        <v/>
      </c>
      <c r="L989" t="str">
        <f>IF(ISBLANK('Data Input'!K989),"",'Data Input'!K989)</f>
        <v/>
      </c>
      <c r="M989" t="str">
        <f>IF(ISBLANK('Data Input'!L989),"",'Data Input'!L989)</f>
        <v/>
      </c>
      <c r="N989" t="str">
        <f>IF(ISBLANK('Data Input'!M989),"",'Data Input'!M989)</f>
        <v/>
      </c>
      <c r="O989" t="str">
        <f>IF(ISBLANK('Data Input'!N989),"",'Data Input'!N989)</f>
        <v/>
      </c>
      <c r="P989" t="str">
        <f>IF(ISBLANK('Data Input'!O989),"",'Data Input'!O989)</f>
        <v/>
      </c>
      <c r="Q989" t="str">
        <f>IF(ISBLANK('Data Input'!P989),"",'Data Input'!P989)</f>
        <v/>
      </c>
      <c r="R989" t="b">
        <f>IF(ISBLANK('Data Input'!Q989),"",'Data Input'!Q989)</f>
        <v>0</v>
      </c>
      <c r="T989" s="2" t="e">
        <f t="shared" si="62"/>
        <v>#VALUE!</v>
      </c>
      <c r="U989" s="12" t="e">
        <f t="shared" si="63"/>
        <v>#VALUE!</v>
      </c>
      <c r="V989" s="2" t="str">
        <f t="shared" si="64"/>
        <v/>
      </c>
      <c r="W989" s="12" t="str">
        <f t="shared" si="65"/>
        <v/>
      </c>
    </row>
    <row r="990" spans="1:23">
      <c r="A990">
        <f>IF(ISBLANK('Data Input'!A990),"",'Data Input'!A990)</f>
        <v>176</v>
      </c>
      <c r="B990" t="str">
        <f>IF(ISBLANK('Data Input'!B990),"",'Data Input'!B990)</f>
        <v/>
      </c>
      <c r="C990" t="str">
        <f>IF(ISBLANK('Data Input'!C990),"",'Data Input'!C990)</f>
        <v/>
      </c>
      <c r="E990" t="str">
        <f>IF(ISBLANK('Data Input'!D990),"",'Data Input'!D990)</f>
        <v/>
      </c>
      <c r="G990" t="str">
        <f>IF(ISBLANK('Data Input'!E990),"",'Data Input'!E990)</f>
        <v/>
      </c>
      <c r="H990" t="str">
        <f>IF(ISBLANK('Data Input'!F990),"",'Data Input'!F990)</f>
        <v/>
      </c>
      <c r="I990" t="str">
        <f>IF(ISBLANK('Data Input'!G990),"",'Data Input'!G990)</f>
        <v/>
      </c>
      <c r="J990" t="str">
        <f>IF(ISBLANK('Data Input'!I990),"",'Data Input'!I990)</f>
        <v/>
      </c>
      <c r="K990" t="str">
        <f>IF(ISBLANK('Data Input'!J990),"",'Data Input'!J990)</f>
        <v/>
      </c>
      <c r="L990" t="str">
        <f>IF(ISBLANK('Data Input'!K990),"",'Data Input'!K990)</f>
        <v/>
      </c>
      <c r="M990" t="str">
        <f>IF(ISBLANK('Data Input'!L990),"",'Data Input'!L990)</f>
        <v/>
      </c>
      <c r="N990" t="str">
        <f>IF(ISBLANK('Data Input'!M990),"",'Data Input'!M990)</f>
        <v/>
      </c>
      <c r="O990" t="str">
        <f>IF(ISBLANK('Data Input'!N990),"",'Data Input'!N990)</f>
        <v/>
      </c>
      <c r="P990" t="str">
        <f>IF(ISBLANK('Data Input'!O990),"",'Data Input'!O990)</f>
        <v/>
      </c>
      <c r="Q990" t="str">
        <f>IF(ISBLANK('Data Input'!P990),"",'Data Input'!P990)</f>
        <v/>
      </c>
      <c r="R990" t="b">
        <f>IF(ISBLANK('Data Input'!Q990),"",'Data Input'!Q990)</f>
        <v>0</v>
      </c>
      <c r="T990" s="2" t="e">
        <f t="shared" si="62"/>
        <v>#VALUE!</v>
      </c>
      <c r="U990" s="12" t="e">
        <f t="shared" si="63"/>
        <v>#VALUE!</v>
      </c>
      <c r="V990" s="2" t="str">
        <f t="shared" si="64"/>
        <v/>
      </c>
      <c r="W990" s="12" t="str">
        <f t="shared" si="65"/>
        <v/>
      </c>
    </row>
    <row r="991" spans="1:23">
      <c r="A991">
        <f>IF(ISBLANK('Data Input'!A991),"",'Data Input'!A991)</f>
        <v>176</v>
      </c>
      <c r="B991" t="str">
        <f>IF(ISBLANK('Data Input'!B991),"",'Data Input'!B991)</f>
        <v/>
      </c>
      <c r="C991" t="str">
        <f>IF(ISBLANK('Data Input'!C991),"",'Data Input'!C991)</f>
        <v/>
      </c>
      <c r="E991" t="str">
        <f>IF(ISBLANK('Data Input'!D991),"",'Data Input'!D991)</f>
        <v/>
      </c>
      <c r="G991" t="str">
        <f>IF(ISBLANK('Data Input'!E991),"",'Data Input'!E991)</f>
        <v/>
      </c>
      <c r="H991" t="str">
        <f>IF(ISBLANK('Data Input'!F991),"",'Data Input'!F991)</f>
        <v/>
      </c>
      <c r="I991" t="str">
        <f>IF(ISBLANK('Data Input'!G991),"",'Data Input'!G991)</f>
        <v/>
      </c>
      <c r="J991" t="str">
        <f>IF(ISBLANK('Data Input'!I991),"",'Data Input'!I991)</f>
        <v/>
      </c>
      <c r="K991" t="str">
        <f>IF(ISBLANK('Data Input'!J991),"",'Data Input'!J991)</f>
        <v/>
      </c>
      <c r="L991" t="str">
        <f>IF(ISBLANK('Data Input'!K991),"",'Data Input'!K991)</f>
        <v/>
      </c>
      <c r="M991" t="str">
        <f>IF(ISBLANK('Data Input'!L991),"",'Data Input'!L991)</f>
        <v/>
      </c>
      <c r="N991" t="str">
        <f>IF(ISBLANK('Data Input'!M991),"",'Data Input'!M991)</f>
        <v/>
      </c>
      <c r="O991" t="str">
        <f>IF(ISBLANK('Data Input'!N991),"",'Data Input'!N991)</f>
        <v/>
      </c>
      <c r="P991" t="str">
        <f>IF(ISBLANK('Data Input'!O991),"",'Data Input'!O991)</f>
        <v/>
      </c>
      <c r="Q991" t="str">
        <f>IF(ISBLANK('Data Input'!P991),"",'Data Input'!P991)</f>
        <v/>
      </c>
      <c r="R991" t="b">
        <f>IF(ISBLANK('Data Input'!Q991),"",'Data Input'!Q991)</f>
        <v>0</v>
      </c>
      <c r="T991" s="2" t="e">
        <f t="shared" si="62"/>
        <v>#VALUE!</v>
      </c>
      <c r="U991" s="12" t="e">
        <f t="shared" si="63"/>
        <v>#VALUE!</v>
      </c>
      <c r="V991" s="2" t="str">
        <f t="shared" si="64"/>
        <v/>
      </c>
      <c r="W991" s="12" t="str">
        <f t="shared" si="65"/>
        <v/>
      </c>
    </row>
    <row r="992" spans="1:23">
      <c r="A992">
        <f>IF(ISBLANK('Data Input'!A992),"",'Data Input'!A992)</f>
        <v>176</v>
      </c>
      <c r="B992" t="str">
        <f>IF(ISBLANK('Data Input'!B992),"",'Data Input'!B992)</f>
        <v/>
      </c>
      <c r="C992" t="str">
        <f>IF(ISBLANK('Data Input'!C992),"",'Data Input'!C992)</f>
        <v/>
      </c>
      <c r="E992" t="str">
        <f>IF(ISBLANK('Data Input'!D992),"",'Data Input'!D992)</f>
        <v/>
      </c>
      <c r="G992" t="str">
        <f>IF(ISBLANK('Data Input'!E992),"",'Data Input'!E992)</f>
        <v/>
      </c>
      <c r="H992" t="str">
        <f>IF(ISBLANK('Data Input'!F992),"",'Data Input'!F992)</f>
        <v/>
      </c>
      <c r="I992" t="str">
        <f>IF(ISBLANK('Data Input'!G992),"",'Data Input'!G992)</f>
        <v/>
      </c>
      <c r="J992" t="str">
        <f>IF(ISBLANK('Data Input'!I992),"",'Data Input'!I992)</f>
        <v/>
      </c>
      <c r="K992" t="str">
        <f>IF(ISBLANK('Data Input'!J992),"",'Data Input'!J992)</f>
        <v/>
      </c>
      <c r="L992" t="str">
        <f>IF(ISBLANK('Data Input'!K992),"",'Data Input'!K992)</f>
        <v/>
      </c>
      <c r="M992" t="str">
        <f>IF(ISBLANK('Data Input'!L992),"",'Data Input'!L992)</f>
        <v/>
      </c>
      <c r="N992" t="str">
        <f>IF(ISBLANK('Data Input'!M992),"",'Data Input'!M992)</f>
        <v/>
      </c>
      <c r="O992" t="str">
        <f>IF(ISBLANK('Data Input'!N992),"",'Data Input'!N992)</f>
        <v/>
      </c>
      <c r="P992" t="str">
        <f>IF(ISBLANK('Data Input'!O992),"",'Data Input'!O992)</f>
        <v/>
      </c>
      <c r="Q992" t="str">
        <f>IF(ISBLANK('Data Input'!P992),"",'Data Input'!P992)</f>
        <v/>
      </c>
      <c r="R992" t="b">
        <f>IF(ISBLANK('Data Input'!Q992),"",'Data Input'!Q992)</f>
        <v>0</v>
      </c>
      <c r="T992" s="2" t="e">
        <f t="shared" si="62"/>
        <v>#VALUE!</v>
      </c>
      <c r="U992" s="12" t="e">
        <f t="shared" si="63"/>
        <v>#VALUE!</v>
      </c>
      <c r="V992" s="2" t="str">
        <f t="shared" si="64"/>
        <v/>
      </c>
      <c r="W992" s="12" t="str">
        <f t="shared" si="65"/>
        <v/>
      </c>
    </row>
    <row r="993" spans="1:23">
      <c r="A993">
        <f>IF(ISBLANK('Data Input'!A993),"",'Data Input'!A993)</f>
        <v>176</v>
      </c>
      <c r="B993" t="str">
        <f>IF(ISBLANK('Data Input'!B993),"",'Data Input'!B993)</f>
        <v/>
      </c>
      <c r="C993" t="str">
        <f>IF(ISBLANK('Data Input'!C993),"",'Data Input'!C993)</f>
        <v/>
      </c>
      <c r="E993" t="str">
        <f>IF(ISBLANK('Data Input'!D993),"",'Data Input'!D993)</f>
        <v/>
      </c>
      <c r="G993" t="str">
        <f>IF(ISBLANK('Data Input'!E993),"",'Data Input'!E993)</f>
        <v/>
      </c>
      <c r="H993" t="str">
        <f>IF(ISBLANK('Data Input'!F993),"",'Data Input'!F993)</f>
        <v/>
      </c>
      <c r="I993" t="str">
        <f>IF(ISBLANK('Data Input'!G993),"",'Data Input'!G993)</f>
        <v/>
      </c>
      <c r="J993" t="str">
        <f>IF(ISBLANK('Data Input'!I993),"",'Data Input'!I993)</f>
        <v/>
      </c>
      <c r="K993" t="str">
        <f>IF(ISBLANK('Data Input'!J993),"",'Data Input'!J993)</f>
        <v/>
      </c>
      <c r="L993" t="str">
        <f>IF(ISBLANK('Data Input'!K993),"",'Data Input'!K993)</f>
        <v/>
      </c>
      <c r="M993" t="str">
        <f>IF(ISBLANK('Data Input'!L993),"",'Data Input'!L993)</f>
        <v/>
      </c>
      <c r="N993" t="str">
        <f>IF(ISBLANK('Data Input'!M993),"",'Data Input'!M993)</f>
        <v/>
      </c>
      <c r="O993" t="str">
        <f>IF(ISBLANK('Data Input'!N993),"",'Data Input'!N993)</f>
        <v/>
      </c>
      <c r="P993" t="str">
        <f>IF(ISBLANK('Data Input'!O993),"",'Data Input'!O993)</f>
        <v/>
      </c>
      <c r="Q993" t="str">
        <f>IF(ISBLANK('Data Input'!P993),"",'Data Input'!P993)</f>
        <v/>
      </c>
      <c r="R993" t="b">
        <f>IF(ISBLANK('Data Input'!Q993),"",'Data Input'!Q993)</f>
        <v>0</v>
      </c>
      <c r="T993" s="2" t="e">
        <f t="shared" si="62"/>
        <v>#VALUE!</v>
      </c>
      <c r="U993" s="12" t="e">
        <f t="shared" si="63"/>
        <v>#VALUE!</v>
      </c>
      <c r="V993" s="2" t="str">
        <f t="shared" si="64"/>
        <v/>
      </c>
      <c r="W993" s="12" t="str">
        <f t="shared" si="65"/>
        <v/>
      </c>
    </row>
    <row r="994" spans="1:23">
      <c r="A994">
        <f>IF(ISBLANK('Data Input'!A994),"",'Data Input'!A994)</f>
        <v>176</v>
      </c>
      <c r="B994" t="str">
        <f>IF(ISBLANK('Data Input'!B994),"",'Data Input'!B994)</f>
        <v/>
      </c>
      <c r="C994" t="str">
        <f>IF(ISBLANK('Data Input'!C994),"",'Data Input'!C994)</f>
        <v/>
      </c>
      <c r="E994" t="str">
        <f>IF(ISBLANK('Data Input'!D994),"",'Data Input'!D994)</f>
        <v/>
      </c>
      <c r="G994" t="str">
        <f>IF(ISBLANK('Data Input'!E994),"",'Data Input'!E994)</f>
        <v/>
      </c>
      <c r="H994" t="str">
        <f>IF(ISBLANK('Data Input'!F994),"",'Data Input'!F994)</f>
        <v/>
      </c>
      <c r="I994" t="str">
        <f>IF(ISBLANK('Data Input'!G994),"",'Data Input'!G994)</f>
        <v/>
      </c>
      <c r="J994" t="str">
        <f>IF(ISBLANK('Data Input'!I994),"",'Data Input'!I994)</f>
        <v/>
      </c>
      <c r="K994" t="str">
        <f>IF(ISBLANK('Data Input'!J994),"",'Data Input'!J994)</f>
        <v/>
      </c>
      <c r="L994" t="str">
        <f>IF(ISBLANK('Data Input'!K994),"",'Data Input'!K994)</f>
        <v/>
      </c>
      <c r="M994" t="str">
        <f>IF(ISBLANK('Data Input'!L994),"",'Data Input'!L994)</f>
        <v/>
      </c>
      <c r="N994" t="str">
        <f>IF(ISBLANK('Data Input'!M994),"",'Data Input'!M994)</f>
        <v/>
      </c>
      <c r="O994" t="str">
        <f>IF(ISBLANK('Data Input'!N994),"",'Data Input'!N994)</f>
        <v/>
      </c>
      <c r="P994" t="str">
        <f>IF(ISBLANK('Data Input'!O994),"",'Data Input'!O994)</f>
        <v/>
      </c>
      <c r="Q994" t="str">
        <f>IF(ISBLANK('Data Input'!P994),"",'Data Input'!P994)</f>
        <v/>
      </c>
      <c r="R994" t="b">
        <f>IF(ISBLANK('Data Input'!Q994),"",'Data Input'!Q994)</f>
        <v>0</v>
      </c>
      <c r="T994" s="2" t="e">
        <f t="shared" si="62"/>
        <v>#VALUE!</v>
      </c>
      <c r="U994" s="12" t="e">
        <f t="shared" si="63"/>
        <v>#VALUE!</v>
      </c>
      <c r="V994" s="2" t="str">
        <f t="shared" si="64"/>
        <v/>
      </c>
      <c r="W994" s="12" t="str">
        <f t="shared" si="65"/>
        <v/>
      </c>
    </row>
    <row r="995" spans="1:23">
      <c r="A995">
        <f>IF(ISBLANK('Data Input'!A995),"",'Data Input'!A995)</f>
        <v>176</v>
      </c>
      <c r="B995" t="str">
        <f>IF(ISBLANK('Data Input'!B995),"",'Data Input'!B995)</f>
        <v/>
      </c>
      <c r="C995" t="str">
        <f>IF(ISBLANK('Data Input'!C995),"",'Data Input'!C995)</f>
        <v/>
      </c>
      <c r="E995" t="str">
        <f>IF(ISBLANK('Data Input'!D995),"",'Data Input'!D995)</f>
        <v/>
      </c>
      <c r="G995" t="str">
        <f>IF(ISBLANK('Data Input'!E995),"",'Data Input'!E995)</f>
        <v/>
      </c>
      <c r="H995" t="str">
        <f>IF(ISBLANK('Data Input'!F995),"",'Data Input'!F995)</f>
        <v/>
      </c>
      <c r="I995" t="str">
        <f>IF(ISBLANK('Data Input'!G995),"",'Data Input'!G995)</f>
        <v/>
      </c>
      <c r="J995" t="str">
        <f>IF(ISBLANK('Data Input'!I995),"",'Data Input'!I995)</f>
        <v/>
      </c>
      <c r="K995" t="str">
        <f>IF(ISBLANK('Data Input'!J995),"",'Data Input'!J995)</f>
        <v/>
      </c>
      <c r="L995" t="str">
        <f>IF(ISBLANK('Data Input'!K995),"",'Data Input'!K995)</f>
        <v/>
      </c>
      <c r="M995" t="str">
        <f>IF(ISBLANK('Data Input'!L995),"",'Data Input'!L995)</f>
        <v/>
      </c>
      <c r="N995" t="str">
        <f>IF(ISBLANK('Data Input'!M995),"",'Data Input'!M995)</f>
        <v/>
      </c>
      <c r="O995" t="str">
        <f>IF(ISBLANK('Data Input'!N995),"",'Data Input'!N995)</f>
        <v/>
      </c>
      <c r="P995" t="str">
        <f>IF(ISBLANK('Data Input'!O995),"",'Data Input'!O995)</f>
        <v/>
      </c>
      <c r="Q995" t="str">
        <f>IF(ISBLANK('Data Input'!P995),"",'Data Input'!P995)</f>
        <v/>
      </c>
      <c r="R995" t="b">
        <f>IF(ISBLANK('Data Input'!Q995),"",'Data Input'!Q995)</f>
        <v>0</v>
      </c>
      <c r="T995" s="2" t="e">
        <f t="shared" si="62"/>
        <v>#VALUE!</v>
      </c>
      <c r="U995" s="12" t="e">
        <f t="shared" si="63"/>
        <v>#VALUE!</v>
      </c>
      <c r="V995" s="2" t="str">
        <f t="shared" si="64"/>
        <v/>
      </c>
      <c r="W995" s="12" t="str">
        <f t="shared" si="65"/>
        <v/>
      </c>
    </row>
    <row r="996" spans="1:23">
      <c r="A996">
        <f>IF(ISBLANK('Data Input'!A996),"",'Data Input'!A996)</f>
        <v>176</v>
      </c>
      <c r="B996" t="str">
        <f>IF(ISBLANK('Data Input'!B996),"",'Data Input'!B996)</f>
        <v/>
      </c>
      <c r="C996" t="str">
        <f>IF(ISBLANK('Data Input'!C996),"",'Data Input'!C996)</f>
        <v/>
      </c>
      <c r="E996" t="str">
        <f>IF(ISBLANK('Data Input'!D996),"",'Data Input'!D996)</f>
        <v/>
      </c>
      <c r="G996" t="str">
        <f>IF(ISBLANK('Data Input'!E996),"",'Data Input'!E996)</f>
        <v/>
      </c>
      <c r="H996" t="str">
        <f>IF(ISBLANK('Data Input'!F996),"",'Data Input'!F996)</f>
        <v/>
      </c>
      <c r="I996" t="str">
        <f>IF(ISBLANK('Data Input'!G996),"",'Data Input'!G996)</f>
        <v/>
      </c>
      <c r="J996" t="str">
        <f>IF(ISBLANK('Data Input'!I996),"",'Data Input'!I996)</f>
        <v/>
      </c>
      <c r="K996" t="str">
        <f>IF(ISBLANK('Data Input'!J996),"",'Data Input'!J996)</f>
        <v/>
      </c>
      <c r="L996" t="str">
        <f>IF(ISBLANK('Data Input'!K996),"",'Data Input'!K996)</f>
        <v/>
      </c>
      <c r="M996" t="str">
        <f>IF(ISBLANK('Data Input'!L996),"",'Data Input'!L996)</f>
        <v/>
      </c>
      <c r="N996" t="str">
        <f>IF(ISBLANK('Data Input'!M996),"",'Data Input'!M996)</f>
        <v/>
      </c>
      <c r="O996" t="str">
        <f>IF(ISBLANK('Data Input'!N996),"",'Data Input'!N996)</f>
        <v/>
      </c>
      <c r="P996" t="str">
        <f>IF(ISBLANK('Data Input'!O996),"",'Data Input'!O996)</f>
        <v/>
      </c>
      <c r="Q996" t="str">
        <f>IF(ISBLANK('Data Input'!P996),"",'Data Input'!P996)</f>
        <v/>
      </c>
      <c r="R996" t="b">
        <f>IF(ISBLANK('Data Input'!Q996),"",'Data Input'!Q996)</f>
        <v>0</v>
      </c>
      <c r="T996" s="2" t="e">
        <f t="shared" si="62"/>
        <v>#VALUE!</v>
      </c>
      <c r="U996" s="12" t="e">
        <f t="shared" si="63"/>
        <v>#VALUE!</v>
      </c>
      <c r="V996" s="2" t="str">
        <f t="shared" si="64"/>
        <v/>
      </c>
      <c r="W996" s="12" t="str">
        <f t="shared" si="65"/>
        <v/>
      </c>
    </row>
    <row r="997" spans="1:23">
      <c r="A997">
        <f>IF(ISBLANK('Data Input'!A997),"",'Data Input'!A997)</f>
        <v>176</v>
      </c>
      <c r="B997" t="str">
        <f>IF(ISBLANK('Data Input'!B997),"",'Data Input'!B997)</f>
        <v/>
      </c>
      <c r="C997" t="str">
        <f>IF(ISBLANK('Data Input'!C997),"",'Data Input'!C997)</f>
        <v/>
      </c>
      <c r="E997" t="str">
        <f>IF(ISBLANK('Data Input'!D997),"",'Data Input'!D997)</f>
        <v/>
      </c>
      <c r="G997" t="str">
        <f>IF(ISBLANK('Data Input'!E997),"",'Data Input'!E997)</f>
        <v/>
      </c>
      <c r="H997" t="str">
        <f>IF(ISBLANK('Data Input'!F997),"",'Data Input'!F997)</f>
        <v/>
      </c>
      <c r="I997" t="str">
        <f>IF(ISBLANK('Data Input'!G997),"",'Data Input'!G997)</f>
        <v/>
      </c>
      <c r="J997" t="str">
        <f>IF(ISBLANK('Data Input'!I997),"",'Data Input'!I997)</f>
        <v/>
      </c>
      <c r="K997" t="str">
        <f>IF(ISBLANK('Data Input'!J997),"",'Data Input'!J997)</f>
        <v/>
      </c>
      <c r="L997" t="str">
        <f>IF(ISBLANK('Data Input'!K997),"",'Data Input'!K997)</f>
        <v/>
      </c>
      <c r="M997" t="str">
        <f>IF(ISBLANK('Data Input'!L997),"",'Data Input'!L997)</f>
        <v/>
      </c>
      <c r="N997" t="str">
        <f>IF(ISBLANK('Data Input'!M997),"",'Data Input'!M997)</f>
        <v/>
      </c>
      <c r="O997" t="str">
        <f>IF(ISBLANK('Data Input'!N997),"",'Data Input'!N997)</f>
        <v/>
      </c>
      <c r="P997" t="str">
        <f>IF(ISBLANK('Data Input'!O997),"",'Data Input'!O997)</f>
        <v/>
      </c>
      <c r="Q997" t="str">
        <f>IF(ISBLANK('Data Input'!P997),"",'Data Input'!P997)</f>
        <v/>
      </c>
      <c r="R997" t="b">
        <f>IF(ISBLANK('Data Input'!Q997),"",'Data Input'!Q997)</f>
        <v>0</v>
      </c>
      <c r="T997" s="2" t="e">
        <f t="shared" si="62"/>
        <v>#VALUE!</v>
      </c>
      <c r="U997" s="12" t="e">
        <f t="shared" si="63"/>
        <v>#VALUE!</v>
      </c>
      <c r="V997" s="2" t="str">
        <f t="shared" si="64"/>
        <v/>
      </c>
      <c r="W997" s="12" t="str">
        <f t="shared" si="65"/>
        <v/>
      </c>
    </row>
    <row r="998" spans="1:23">
      <c r="A998">
        <f>IF(ISBLANK('Data Input'!A998),"",'Data Input'!A998)</f>
        <v>176</v>
      </c>
      <c r="B998" t="str">
        <f>IF(ISBLANK('Data Input'!B998),"",'Data Input'!B998)</f>
        <v/>
      </c>
      <c r="C998" t="str">
        <f>IF(ISBLANK('Data Input'!C998),"",'Data Input'!C998)</f>
        <v/>
      </c>
      <c r="E998" t="str">
        <f>IF(ISBLANK('Data Input'!D998),"",'Data Input'!D998)</f>
        <v/>
      </c>
      <c r="G998" t="str">
        <f>IF(ISBLANK('Data Input'!E998),"",'Data Input'!E998)</f>
        <v/>
      </c>
      <c r="H998" t="str">
        <f>IF(ISBLANK('Data Input'!F998),"",'Data Input'!F998)</f>
        <v/>
      </c>
      <c r="I998" t="str">
        <f>IF(ISBLANK('Data Input'!G998),"",'Data Input'!G998)</f>
        <v/>
      </c>
      <c r="J998" t="str">
        <f>IF(ISBLANK('Data Input'!I998),"",'Data Input'!I998)</f>
        <v/>
      </c>
      <c r="K998" t="str">
        <f>IF(ISBLANK('Data Input'!J998),"",'Data Input'!J998)</f>
        <v/>
      </c>
      <c r="L998" t="str">
        <f>IF(ISBLANK('Data Input'!K998),"",'Data Input'!K998)</f>
        <v/>
      </c>
      <c r="M998" t="str">
        <f>IF(ISBLANK('Data Input'!L998),"",'Data Input'!L998)</f>
        <v/>
      </c>
      <c r="N998" t="str">
        <f>IF(ISBLANK('Data Input'!M998),"",'Data Input'!M998)</f>
        <v/>
      </c>
      <c r="O998" t="str">
        <f>IF(ISBLANK('Data Input'!N998),"",'Data Input'!N998)</f>
        <v/>
      </c>
      <c r="P998" t="str">
        <f>IF(ISBLANK('Data Input'!O998),"",'Data Input'!O998)</f>
        <v/>
      </c>
      <c r="Q998" t="str">
        <f>IF(ISBLANK('Data Input'!P998),"",'Data Input'!P998)</f>
        <v/>
      </c>
      <c r="R998" t="b">
        <f>IF(ISBLANK('Data Input'!Q998),"",'Data Input'!Q998)</f>
        <v>0</v>
      </c>
      <c r="T998" s="2" t="e">
        <f t="shared" si="62"/>
        <v>#VALUE!</v>
      </c>
      <c r="U998" s="12" t="e">
        <f t="shared" si="63"/>
        <v>#VALUE!</v>
      </c>
      <c r="V998" s="2" t="str">
        <f t="shared" si="64"/>
        <v/>
      </c>
      <c r="W998" s="12" t="str">
        <f t="shared" si="65"/>
        <v/>
      </c>
    </row>
    <row r="999" spans="1:23">
      <c r="A999">
        <f>IF(ISBLANK('Data Input'!A999),"",'Data Input'!A999)</f>
        <v>176</v>
      </c>
      <c r="B999" t="str">
        <f>IF(ISBLANK('Data Input'!B999),"",'Data Input'!B999)</f>
        <v/>
      </c>
      <c r="C999" t="str">
        <f>IF(ISBLANK('Data Input'!C999),"",'Data Input'!C999)</f>
        <v/>
      </c>
      <c r="E999" t="str">
        <f>IF(ISBLANK('Data Input'!D999),"",'Data Input'!D999)</f>
        <v/>
      </c>
      <c r="G999" t="str">
        <f>IF(ISBLANK('Data Input'!E999),"",'Data Input'!E999)</f>
        <v/>
      </c>
      <c r="H999" t="str">
        <f>IF(ISBLANK('Data Input'!F999),"",'Data Input'!F999)</f>
        <v/>
      </c>
      <c r="I999" t="str">
        <f>IF(ISBLANK('Data Input'!G999),"",'Data Input'!G999)</f>
        <v/>
      </c>
      <c r="J999" t="str">
        <f>IF(ISBLANK('Data Input'!I999),"",'Data Input'!I999)</f>
        <v/>
      </c>
      <c r="K999" t="str">
        <f>IF(ISBLANK('Data Input'!J999),"",'Data Input'!J999)</f>
        <v/>
      </c>
      <c r="L999" t="str">
        <f>IF(ISBLANK('Data Input'!K999),"",'Data Input'!K999)</f>
        <v/>
      </c>
      <c r="M999" t="str">
        <f>IF(ISBLANK('Data Input'!L999),"",'Data Input'!L999)</f>
        <v/>
      </c>
      <c r="N999" t="str">
        <f>IF(ISBLANK('Data Input'!M999),"",'Data Input'!M999)</f>
        <v/>
      </c>
      <c r="O999" t="str">
        <f>IF(ISBLANK('Data Input'!N999),"",'Data Input'!N999)</f>
        <v/>
      </c>
      <c r="P999" t="str">
        <f>IF(ISBLANK('Data Input'!O999),"",'Data Input'!O999)</f>
        <v/>
      </c>
      <c r="Q999" t="str">
        <f>IF(ISBLANK('Data Input'!P999),"",'Data Input'!P999)</f>
        <v/>
      </c>
      <c r="R999" t="b">
        <f>IF(ISBLANK('Data Input'!Q999),"",'Data Input'!Q999)</f>
        <v>0</v>
      </c>
      <c r="T999" s="2" t="e">
        <f t="shared" si="62"/>
        <v>#VALUE!</v>
      </c>
      <c r="U999" s="12" t="e">
        <f t="shared" si="63"/>
        <v>#VALUE!</v>
      </c>
      <c r="V999" s="2" t="str">
        <f t="shared" si="64"/>
        <v/>
      </c>
      <c r="W999" s="12" t="str">
        <f t="shared" si="65"/>
        <v/>
      </c>
    </row>
    <row r="1000" spans="1:23">
      <c r="A1000" t="str">
        <f>IF(ISBLANK('Data Input'!A1000),"",'Data Input'!A1000)</f>
        <v/>
      </c>
      <c r="B1000" t="str">
        <f>IF(ISBLANK('Data Input'!B1000),"",'Data Input'!B1000)</f>
        <v/>
      </c>
      <c r="C1000" t="str">
        <f>IF(ISBLANK('Data Input'!C1000),"",'Data Input'!C1000)</f>
        <v/>
      </c>
      <c r="E1000" t="str">
        <f>IF(ISBLANK('Data Input'!D1000),"",'Data Input'!D1000)</f>
        <v/>
      </c>
      <c r="G1000" t="str">
        <f>IF(ISBLANK('Data Input'!E1000),"",'Data Input'!E1000)</f>
        <v/>
      </c>
      <c r="H1000" t="str">
        <f>IF(ISBLANK('Data Input'!F1000),"",'Data Input'!F1000)</f>
        <v/>
      </c>
      <c r="I1000" t="str">
        <f>IF(ISBLANK('Data Input'!G1000),"",'Data Input'!G1000)</f>
        <v/>
      </c>
      <c r="J1000" t="str">
        <f>IF(ISBLANK('Data Input'!I1000),"",'Data Input'!I1000)</f>
        <v/>
      </c>
      <c r="K1000" t="str">
        <f>IF(ISBLANK('Data Input'!J1000),"",'Data Input'!J1000)</f>
        <v/>
      </c>
      <c r="L1000" t="str">
        <f>IF(ISBLANK('Data Input'!K1000),"",'Data Input'!K1000)</f>
        <v/>
      </c>
      <c r="M1000" t="str">
        <f>IF(ISBLANK('Data Input'!L1000),"",'Data Input'!L1000)</f>
        <v/>
      </c>
      <c r="N1000" t="str">
        <f>IF(ISBLANK('Data Input'!M1000),"",'Data Input'!M1000)</f>
        <v/>
      </c>
      <c r="O1000" t="str">
        <f>IF(ISBLANK('Data Input'!N1000),"",'Data Input'!N1000)</f>
        <v/>
      </c>
      <c r="P1000" t="str">
        <f>IF(ISBLANK('Data Input'!O1000),"",'Data Input'!O1000)</f>
        <v/>
      </c>
      <c r="Q1000" t="str">
        <f>IF(ISBLANK('Data Input'!P1000),"",'Data Input'!P1000)</f>
        <v/>
      </c>
      <c r="R1000" t="str">
        <f>IF(ISBLANK('Data Input'!Q1000),"",'Data Input'!Q1000)</f>
        <v/>
      </c>
      <c r="T1000" s="2" t="e">
        <f t="shared" si="62"/>
        <v>#VALUE!</v>
      </c>
      <c r="U1000" s="12" t="e">
        <f t="shared" si="63"/>
        <v>#VALUE!</v>
      </c>
      <c r="V1000" s="2" t="str">
        <f t="shared" si="64"/>
        <v/>
      </c>
      <c r="W1000" s="12" t="str">
        <f t="shared" si="65"/>
        <v/>
      </c>
    </row>
    <row r="1001" spans="1:23">
      <c r="A1001" t="str">
        <f>IF(ISBLANK('Data Input'!A1001),"",'Data Input'!A1001)</f>
        <v/>
      </c>
      <c r="B1001" t="str">
        <f>IF(ISBLANK('Data Input'!B1001),"",'Data Input'!B1001)</f>
        <v/>
      </c>
      <c r="C1001" t="str">
        <f>IF(ISBLANK('Data Input'!C1001),"",'Data Input'!C1001)</f>
        <v/>
      </c>
      <c r="E1001" t="str">
        <f>IF(ISBLANK('Data Input'!D1001),"",'Data Input'!D1001)</f>
        <v/>
      </c>
      <c r="G1001" t="str">
        <f>IF(ISBLANK('Data Input'!E1001),"",'Data Input'!E1001)</f>
        <v/>
      </c>
      <c r="H1001" t="str">
        <f>IF(ISBLANK('Data Input'!F1001),"",'Data Input'!F1001)</f>
        <v/>
      </c>
      <c r="I1001" t="str">
        <f>IF(ISBLANK('Data Input'!G1001),"",'Data Input'!G1001)</f>
        <v/>
      </c>
      <c r="J1001" t="str">
        <f>IF(ISBLANK('Data Input'!I1001),"",'Data Input'!I1001)</f>
        <v/>
      </c>
      <c r="K1001" t="str">
        <f>IF(ISBLANK('Data Input'!J1001),"",'Data Input'!J1001)</f>
        <v/>
      </c>
      <c r="L1001" t="str">
        <f>IF(ISBLANK('Data Input'!K1001),"",'Data Input'!K1001)</f>
        <v/>
      </c>
      <c r="M1001" t="str">
        <f>IF(ISBLANK('Data Input'!L1001),"",'Data Input'!L1001)</f>
        <v/>
      </c>
      <c r="N1001" t="str">
        <f>IF(ISBLANK('Data Input'!M1001),"",'Data Input'!M1001)</f>
        <v/>
      </c>
      <c r="O1001" t="str">
        <f>IF(ISBLANK('Data Input'!N1001),"",'Data Input'!N1001)</f>
        <v/>
      </c>
      <c r="P1001" t="str">
        <f>IF(ISBLANK('Data Input'!O1001),"",'Data Input'!O1001)</f>
        <v/>
      </c>
      <c r="Q1001" t="str">
        <f>IF(ISBLANK('Data Input'!P1001),"",'Data Input'!P1001)</f>
        <v/>
      </c>
      <c r="R1001" t="str">
        <f>IF(ISBLANK('Data Input'!Q1001),"",'Data Input'!Q1001)</f>
        <v/>
      </c>
      <c r="T1001" s="2" t="e">
        <f t="shared" si="62"/>
        <v>#VALUE!</v>
      </c>
      <c r="U1001" s="12" t="e">
        <f t="shared" si="63"/>
        <v>#VALUE!</v>
      </c>
      <c r="V1001" s="2" t="str">
        <f t="shared" si="64"/>
        <v/>
      </c>
      <c r="W1001" s="12" t="str">
        <f t="shared" si="65"/>
        <v/>
      </c>
    </row>
    <row r="1002" spans="1:23">
      <c r="A1002" t="str">
        <f>IF(ISBLANK('Data Input'!A1002),"",'Data Input'!A1002)</f>
        <v/>
      </c>
      <c r="B1002" t="str">
        <f>IF(ISBLANK('Data Input'!B1002),"",'Data Input'!B1002)</f>
        <v/>
      </c>
      <c r="C1002" t="str">
        <f>IF(ISBLANK('Data Input'!C1002),"",'Data Input'!C1002)</f>
        <v/>
      </c>
      <c r="E1002" t="str">
        <f>IF(ISBLANK('Data Input'!D1002),"",'Data Input'!D1002)</f>
        <v/>
      </c>
      <c r="G1002" t="str">
        <f>IF(ISBLANK('Data Input'!E1002),"",'Data Input'!E1002)</f>
        <v/>
      </c>
      <c r="H1002" t="str">
        <f>IF(ISBLANK('Data Input'!F1002),"",'Data Input'!F1002)</f>
        <v/>
      </c>
      <c r="I1002" t="str">
        <f>IF(ISBLANK('Data Input'!G1002),"",'Data Input'!G1002)</f>
        <v/>
      </c>
      <c r="J1002" t="str">
        <f>IF(ISBLANK('Data Input'!I1002),"",'Data Input'!I1002)</f>
        <v/>
      </c>
      <c r="K1002" t="str">
        <f>IF(ISBLANK('Data Input'!J1002),"",'Data Input'!J1002)</f>
        <v/>
      </c>
      <c r="L1002" t="str">
        <f>IF(ISBLANK('Data Input'!K1002),"",'Data Input'!K1002)</f>
        <v/>
      </c>
      <c r="M1002" t="str">
        <f>IF(ISBLANK('Data Input'!L1002),"",'Data Input'!L1002)</f>
        <v/>
      </c>
      <c r="N1002" t="str">
        <f>IF(ISBLANK('Data Input'!M1002),"",'Data Input'!M1002)</f>
        <v/>
      </c>
      <c r="O1002" t="str">
        <f>IF(ISBLANK('Data Input'!N1002),"",'Data Input'!N1002)</f>
        <v/>
      </c>
      <c r="P1002" t="str">
        <f>IF(ISBLANK('Data Input'!O1002),"",'Data Input'!O1002)</f>
        <v/>
      </c>
      <c r="Q1002" t="str">
        <f>IF(ISBLANK('Data Input'!P1002),"",'Data Input'!P1002)</f>
        <v/>
      </c>
      <c r="R1002" t="str">
        <f>IF(ISBLANK('Data Input'!Q1002),"",'Data Input'!Q1002)</f>
        <v/>
      </c>
      <c r="T1002" s="2" t="e">
        <f t="shared" si="62"/>
        <v>#VALUE!</v>
      </c>
      <c r="U1002" s="12" t="e">
        <f t="shared" si="63"/>
        <v>#VALUE!</v>
      </c>
      <c r="V1002" s="2" t="str">
        <f t="shared" si="64"/>
        <v/>
      </c>
      <c r="W1002" s="12" t="str">
        <f t="shared" si="65"/>
        <v/>
      </c>
    </row>
    <row r="1003" spans="1:23">
      <c r="A1003" t="str">
        <f>IF(ISBLANK('Data Input'!A1003),"",'Data Input'!A1003)</f>
        <v/>
      </c>
      <c r="B1003" t="str">
        <f>IF(ISBLANK('Data Input'!B1003),"",'Data Input'!B1003)</f>
        <v/>
      </c>
      <c r="C1003" t="str">
        <f>IF(ISBLANK('Data Input'!C1003),"",'Data Input'!C1003)</f>
        <v/>
      </c>
      <c r="E1003" t="str">
        <f>IF(ISBLANK('Data Input'!D1003),"",'Data Input'!D1003)</f>
        <v/>
      </c>
      <c r="G1003" t="str">
        <f>IF(ISBLANK('Data Input'!E1003),"",'Data Input'!E1003)</f>
        <v/>
      </c>
      <c r="H1003" t="str">
        <f>IF(ISBLANK('Data Input'!F1003),"",'Data Input'!F1003)</f>
        <v/>
      </c>
      <c r="I1003" t="str">
        <f>IF(ISBLANK('Data Input'!G1003),"",'Data Input'!G1003)</f>
        <v/>
      </c>
      <c r="J1003" t="str">
        <f>IF(ISBLANK('Data Input'!I1003),"",'Data Input'!I1003)</f>
        <v/>
      </c>
      <c r="K1003" t="str">
        <f>IF(ISBLANK('Data Input'!J1003),"",'Data Input'!J1003)</f>
        <v/>
      </c>
      <c r="L1003" t="str">
        <f>IF(ISBLANK('Data Input'!K1003),"",'Data Input'!K1003)</f>
        <v/>
      </c>
      <c r="M1003" t="str">
        <f>IF(ISBLANK('Data Input'!L1003),"",'Data Input'!L1003)</f>
        <v/>
      </c>
      <c r="N1003" t="str">
        <f>IF(ISBLANK('Data Input'!M1003),"",'Data Input'!M1003)</f>
        <v/>
      </c>
      <c r="O1003" t="str">
        <f>IF(ISBLANK('Data Input'!N1003),"",'Data Input'!N1003)</f>
        <v/>
      </c>
      <c r="P1003" t="str">
        <f>IF(ISBLANK('Data Input'!O1003),"",'Data Input'!O1003)</f>
        <v/>
      </c>
      <c r="Q1003" t="str">
        <f>IF(ISBLANK('Data Input'!P1003),"",'Data Input'!P1003)</f>
        <v/>
      </c>
      <c r="R1003" t="str">
        <f>IF(ISBLANK('Data Input'!Q1003),"",'Data Input'!Q1003)</f>
        <v/>
      </c>
      <c r="T1003" s="2" t="e">
        <f t="shared" si="62"/>
        <v>#VALUE!</v>
      </c>
      <c r="U1003" s="12" t="e">
        <f t="shared" si="63"/>
        <v>#VALUE!</v>
      </c>
      <c r="V1003" s="2" t="str">
        <f t="shared" si="64"/>
        <v/>
      </c>
      <c r="W1003" s="12" t="str">
        <f t="shared" si="65"/>
        <v/>
      </c>
    </row>
    <row r="1004" spans="1:23">
      <c r="A1004" t="str">
        <f>IF(ISBLANK('Data Input'!A1004),"",'Data Input'!A1004)</f>
        <v/>
      </c>
      <c r="B1004" t="str">
        <f>IF(ISBLANK('Data Input'!B1004),"",'Data Input'!B1004)</f>
        <v/>
      </c>
      <c r="C1004" t="str">
        <f>IF(ISBLANK('Data Input'!C1004),"",'Data Input'!C1004)</f>
        <v/>
      </c>
      <c r="E1004" t="str">
        <f>IF(ISBLANK('Data Input'!D1004),"",'Data Input'!D1004)</f>
        <v/>
      </c>
      <c r="G1004" t="str">
        <f>IF(ISBLANK('Data Input'!E1004),"",'Data Input'!E1004)</f>
        <v/>
      </c>
      <c r="H1004" t="str">
        <f>IF(ISBLANK('Data Input'!F1004),"",'Data Input'!F1004)</f>
        <v/>
      </c>
      <c r="I1004" t="str">
        <f>IF(ISBLANK('Data Input'!G1004),"",'Data Input'!G1004)</f>
        <v/>
      </c>
      <c r="J1004" t="str">
        <f>IF(ISBLANK('Data Input'!I1004),"",'Data Input'!I1004)</f>
        <v/>
      </c>
      <c r="K1004" t="str">
        <f>IF(ISBLANK('Data Input'!J1004),"",'Data Input'!J1004)</f>
        <v/>
      </c>
      <c r="L1004" t="str">
        <f>IF(ISBLANK('Data Input'!K1004),"",'Data Input'!K1004)</f>
        <v/>
      </c>
      <c r="M1004" t="str">
        <f>IF(ISBLANK('Data Input'!L1004),"",'Data Input'!L1004)</f>
        <v/>
      </c>
      <c r="N1004" t="str">
        <f>IF(ISBLANK('Data Input'!M1004),"",'Data Input'!M1004)</f>
        <v/>
      </c>
      <c r="O1004" t="str">
        <f>IF(ISBLANK('Data Input'!N1004),"",'Data Input'!N1004)</f>
        <v/>
      </c>
      <c r="P1004" t="str">
        <f>IF(ISBLANK('Data Input'!O1004),"",'Data Input'!O1004)</f>
        <v/>
      </c>
      <c r="Q1004" t="str">
        <f>IF(ISBLANK('Data Input'!P1004),"",'Data Input'!P1004)</f>
        <v/>
      </c>
      <c r="R1004" t="str">
        <f>IF(ISBLANK('Data Input'!Q1004),"",'Data Input'!Q1004)</f>
        <v/>
      </c>
      <c r="T1004" s="2" t="e">
        <f t="shared" si="62"/>
        <v>#VALUE!</v>
      </c>
      <c r="U1004" s="12" t="e">
        <f t="shared" si="63"/>
        <v>#VALUE!</v>
      </c>
      <c r="V1004" s="2" t="str">
        <f t="shared" si="64"/>
        <v/>
      </c>
      <c r="W1004" s="12" t="str">
        <f t="shared" si="65"/>
        <v/>
      </c>
    </row>
    <row r="1005" spans="1:23">
      <c r="A1005" t="str">
        <f>IF(ISBLANK('Data Input'!A1005),"",'Data Input'!A1005)</f>
        <v/>
      </c>
      <c r="B1005" t="str">
        <f>IF(ISBLANK('Data Input'!B1005),"",'Data Input'!B1005)</f>
        <v/>
      </c>
      <c r="C1005" t="str">
        <f>IF(ISBLANK('Data Input'!C1005),"",'Data Input'!C1005)</f>
        <v/>
      </c>
      <c r="E1005" t="str">
        <f>IF(ISBLANK('Data Input'!D1005),"",'Data Input'!D1005)</f>
        <v/>
      </c>
      <c r="G1005" t="str">
        <f>IF(ISBLANK('Data Input'!E1005),"",'Data Input'!E1005)</f>
        <v/>
      </c>
      <c r="H1005" t="str">
        <f>IF(ISBLANK('Data Input'!F1005),"",'Data Input'!F1005)</f>
        <v/>
      </c>
      <c r="I1005" t="str">
        <f>IF(ISBLANK('Data Input'!G1005),"",'Data Input'!G1005)</f>
        <v/>
      </c>
      <c r="J1005" t="str">
        <f>IF(ISBLANK('Data Input'!I1005),"",'Data Input'!I1005)</f>
        <v/>
      </c>
      <c r="K1005" t="str">
        <f>IF(ISBLANK('Data Input'!J1005),"",'Data Input'!J1005)</f>
        <v/>
      </c>
      <c r="L1005" t="str">
        <f>IF(ISBLANK('Data Input'!K1005),"",'Data Input'!K1005)</f>
        <v/>
      </c>
      <c r="M1005" t="str">
        <f>IF(ISBLANK('Data Input'!L1005),"",'Data Input'!L1005)</f>
        <v/>
      </c>
      <c r="N1005" t="str">
        <f>IF(ISBLANK('Data Input'!M1005),"",'Data Input'!M1005)</f>
        <v/>
      </c>
      <c r="O1005" t="str">
        <f>IF(ISBLANK('Data Input'!N1005),"",'Data Input'!N1005)</f>
        <v/>
      </c>
      <c r="P1005" t="str">
        <f>IF(ISBLANK('Data Input'!O1005),"",'Data Input'!O1005)</f>
        <v/>
      </c>
      <c r="Q1005" t="str">
        <f>IF(ISBLANK('Data Input'!P1005),"",'Data Input'!P1005)</f>
        <v/>
      </c>
      <c r="R1005" t="str">
        <f>IF(ISBLANK('Data Input'!Q1005),"",'Data Input'!Q1005)</f>
        <v/>
      </c>
      <c r="T1005" s="2" t="e">
        <f t="shared" si="62"/>
        <v>#VALUE!</v>
      </c>
      <c r="U1005" s="12" t="e">
        <f t="shared" si="63"/>
        <v>#VALUE!</v>
      </c>
      <c r="V1005" s="2" t="str">
        <f t="shared" si="64"/>
        <v/>
      </c>
      <c r="W1005" s="12" t="str">
        <f t="shared" si="65"/>
        <v/>
      </c>
    </row>
    <row r="1006" spans="1:23">
      <c r="A1006" t="str">
        <f>IF(ISBLANK('Data Input'!A1006),"",'Data Input'!A1006)</f>
        <v/>
      </c>
      <c r="B1006" t="str">
        <f>IF(ISBLANK('Data Input'!B1006),"",'Data Input'!B1006)</f>
        <v/>
      </c>
      <c r="C1006" t="str">
        <f>IF(ISBLANK('Data Input'!C1006),"",'Data Input'!C1006)</f>
        <v/>
      </c>
      <c r="E1006" t="str">
        <f>IF(ISBLANK('Data Input'!D1006),"",'Data Input'!D1006)</f>
        <v/>
      </c>
      <c r="G1006" t="str">
        <f>IF(ISBLANK('Data Input'!E1006),"",'Data Input'!E1006)</f>
        <v/>
      </c>
      <c r="H1006" t="str">
        <f>IF(ISBLANK('Data Input'!F1006),"",'Data Input'!F1006)</f>
        <v/>
      </c>
      <c r="I1006" t="str">
        <f>IF(ISBLANK('Data Input'!G1006),"",'Data Input'!G1006)</f>
        <v/>
      </c>
      <c r="J1006" t="str">
        <f>IF(ISBLANK('Data Input'!I1006),"",'Data Input'!I1006)</f>
        <v/>
      </c>
      <c r="K1006" t="str">
        <f>IF(ISBLANK('Data Input'!J1006),"",'Data Input'!J1006)</f>
        <v/>
      </c>
      <c r="L1006" t="str">
        <f>IF(ISBLANK('Data Input'!K1006),"",'Data Input'!K1006)</f>
        <v/>
      </c>
      <c r="M1006" t="str">
        <f>IF(ISBLANK('Data Input'!L1006),"",'Data Input'!L1006)</f>
        <v/>
      </c>
      <c r="N1006" t="str">
        <f>IF(ISBLANK('Data Input'!M1006),"",'Data Input'!M1006)</f>
        <v/>
      </c>
      <c r="O1006" t="str">
        <f>IF(ISBLANK('Data Input'!N1006),"",'Data Input'!N1006)</f>
        <v/>
      </c>
      <c r="P1006" t="str">
        <f>IF(ISBLANK('Data Input'!O1006),"",'Data Input'!O1006)</f>
        <v/>
      </c>
      <c r="Q1006" t="str">
        <f>IF(ISBLANK('Data Input'!P1006),"",'Data Input'!P1006)</f>
        <v/>
      </c>
      <c r="R1006" t="str">
        <f>IF(ISBLANK('Data Input'!Q1006),"",'Data Input'!Q1006)</f>
        <v/>
      </c>
      <c r="T1006" s="2" t="e">
        <f t="shared" si="62"/>
        <v>#VALUE!</v>
      </c>
      <c r="U1006" s="12" t="e">
        <f t="shared" si="63"/>
        <v>#VALUE!</v>
      </c>
      <c r="V1006" s="2" t="str">
        <f t="shared" si="64"/>
        <v/>
      </c>
      <c r="W1006" s="12" t="str">
        <f t="shared" si="65"/>
        <v/>
      </c>
    </row>
    <row r="1007" spans="1:23">
      <c r="A1007" t="str">
        <f>IF(ISBLANK('Data Input'!A1007),"",'Data Input'!A1007)</f>
        <v/>
      </c>
      <c r="B1007" t="str">
        <f>IF(ISBLANK('Data Input'!B1007),"",'Data Input'!B1007)</f>
        <v/>
      </c>
      <c r="C1007" t="str">
        <f>IF(ISBLANK('Data Input'!C1007),"",'Data Input'!C1007)</f>
        <v/>
      </c>
      <c r="E1007" t="str">
        <f>IF(ISBLANK('Data Input'!D1007),"",'Data Input'!D1007)</f>
        <v/>
      </c>
      <c r="G1007" t="str">
        <f>IF(ISBLANK('Data Input'!E1007),"",'Data Input'!E1007)</f>
        <v/>
      </c>
      <c r="H1007" t="str">
        <f>IF(ISBLANK('Data Input'!F1007),"",'Data Input'!F1007)</f>
        <v/>
      </c>
      <c r="I1007" t="str">
        <f>IF(ISBLANK('Data Input'!G1007),"",'Data Input'!G1007)</f>
        <v/>
      </c>
      <c r="J1007" t="str">
        <f>IF(ISBLANK('Data Input'!I1007),"",'Data Input'!I1007)</f>
        <v/>
      </c>
      <c r="K1007" t="str">
        <f>IF(ISBLANK('Data Input'!J1007),"",'Data Input'!J1007)</f>
        <v/>
      </c>
      <c r="L1007" t="str">
        <f>IF(ISBLANK('Data Input'!K1007),"",'Data Input'!K1007)</f>
        <v/>
      </c>
      <c r="M1007" t="str">
        <f>IF(ISBLANK('Data Input'!L1007),"",'Data Input'!L1007)</f>
        <v/>
      </c>
      <c r="N1007" t="str">
        <f>IF(ISBLANK('Data Input'!M1007),"",'Data Input'!M1007)</f>
        <v/>
      </c>
      <c r="O1007" t="str">
        <f>IF(ISBLANK('Data Input'!N1007),"",'Data Input'!N1007)</f>
        <v/>
      </c>
      <c r="P1007" t="str">
        <f>IF(ISBLANK('Data Input'!O1007),"",'Data Input'!O1007)</f>
        <v/>
      </c>
      <c r="Q1007" t="str">
        <f>IF(ISBLANK('Data Input'!P1007),"",'Data Input'!P1007)</f>
        <v/>
      </c>
      <c r="R1007" t="str">
        <f>IF(ISBLANK('Data Input'!Q1007),"",'Data Input'!Q1007)</f>
        <v/>
      </c>
      <c r="T1007" s="2" t="e">
        <f t="shared" si="62"/>
        <v>#VALUE!</v>
      </c>
      <c r="U1007" s="12" t="e">
        <f t="shared" si="63"/>
        <v>#VALUE!</v>
      </c>
      <c r="V1007" s="2" t="str">
        <f t="shared" si="64"/>
        <v/>
      </c>
      <c r="W1007" s="12" t="str">
        <f t="shared" si="65"/>
        <v/>
      </c>
    </row>
    <row r="1008" spans="1:23">
      <c r="A1008" t="str">
        <f>IF(ISBLANK('Data Input'!A1008),"",'Data Input'!A1008)</f>
        <v/>
      </c>
      <c r="B1008" t="str">
        <f>IF(ISBLANK('Data Input'!B1008),"",'Data Input'!B1008)</f>
        <v/>
      </c>
      <c r="C1008" t="str">
        <f>IF(ISBLANK('Data Input'!C1008),"",'Data Input'!C1008)</f>
        <v/>
      </c>
      <c r="E1008" t="str">
        <f>IF(ISBLANK('Data Input'!D1008),"",'Data Input'!D1008)</f>
        <v/>
      </c>
      <c r="G1008" t="str">
        <f>IF(ISBLANK('Data Input'!E1008),"",'Data Input'!E1008)</f>
        <v/>
      </c>
      <c r="H1008" t="str">
        <f>IF(ISBLANK('Data Input'!F1008),"",'Data Input'!F1008)</f>
        <v/>
      </c>
      <c r="I1008" t="str">
        <f>IF(ISBLANK('Data Input'!G1008),"",'Data Input'!G1008)</f>
        <v/>
      </c>
      <c r="J1008" t="str">
        <f>IF(ISBLANK('Data Input'!I1008),"",'Data Input'!I1008)</f>
        <v/>
      </c>
      <c r="K1008" t="str">
        <f>IF(ISBLANK('Data Input'!J1008),"",'Data Input'!J1008)</f>
        <v/>
      </c>
      <c r="L1008" t="str">
        <f>IF(ISBLANK('Data Input'!K1008),"",'Data Input'!K1008)</f>
        <v/>
      </c>
      <c r="M1008" t="str">
        <f>IF(ISBLANK('Data Input'!L1008),"",'Data Input'!L1008)</f>
        <v/>
      </c>
      <c r="N1008" t="str">
        <f>IF(ISBLANK('Data Input'!M1008),"",'Data Input'!M1008)</f>
        <v/>
      </c>
      <c r="O1008" t="str">
        <f>IF(ISBLANK('Data Input'!N1008),"",'Data Input'!N1008)</f>
        <v/>
      </c>
      <c r="P1008" t="str">
        <f>IF(ISBLANK('Data Input'!O1008),"",'Data Input'!O1008)</f>
        <v/>
      </c>
      <c r="Q1008" t="str">
        <f>IF(ISBLANK('Data Input'!P1008),"",'Data Input'!P1008)</f>
        <v/>
      </c>
      <c r="R1008" t="str">
        <f>IF(ISBLANK('Data Input'!Q1008),"",'Data Input'!Q1008)</f>
        <v/>
      </c>
      <c r="T1008" s="2" t="e">
        <f t="shared" si="62"/>
        <v>#VALUE!</v>
      </c>
      <c r="U1008" s="12" t="e">
        <f t="shared" si="63"/>
        <v>#VALUE!</v>
      </c>
      <c r="V1008" s="2" t="str">
        <f t="shared" si="64"/>
        <v/>
      </c>
      <c r="W1008" s="12" t="str">
        <f t="shared" si="65"/>
        <v/>
      </c>
    </row>
    <row r="1009" spans="1:23">
      <c r="A1009" t="str">
        <f>IF(ISBLANK('Data Input'!A1009),"",'Data Input'!A1009)</f>
        <v/>
      </c>
      <c r="B1009" t="str">
        <f>IF(ISBLANK('Data Input'!B1009),"",'Data Input'!B1009)</f>
        <v/>
      </c>
      <c r="C1009" t="str">
        <f>IF(ISBLANK('Data Input'!C1009),"",'Data Input'!C1009)</f>
        <v/>
      </c>
      <c r="E1009" t="str">
        <f>IF(ISBLANK('Data Input'!D1009),"",'Data Input'!D1009)</f>
        <v/>
      </c>
      <c r="G1009" t="str">
        <f>IF(ISBLANK('Data Input'!E1009),"",'Data Input'!E1009)</f>
        <v/>
      </c>
      <c r="H1009" t="str">
        <f>IF(ISBLANK('Data Input'!F1009),"",'Data Input'!F1009)</f>
        <v/>
      </c>
      <c r="I1009" t="str">
        <f>IF(ISBLANK('Data Input'!G1009),"",'Data Input'!G1009)</f>
        <v/>
      </c>
      <c r="J1009" t="str">
        <f>IF(ISBLANK('Data Input'!I1009),"",'Data Input'!I1009)</f>
        <v/>
      </c>
      <c r="K1009" t="str">
        <f>IF(ISBLANK('Data Input'!J1009),"",'Data Input'!J1009)</f>
        <v/>
      </c>
      <c r="L1009" t="str">
        <f>IF(ISBLANK('Data Input'!K1009),"",'Data Input'!K1009)</f>
        <v/>
      </c>
      <c r="M1009" t="str">
        <f>IF(ISBLANK('Data Input'!L1009),"",'Data Input'!L1009)</f>
        <v/>
      </c>
      <c r="N1009" t="str">
        <f>IF(ISBLANK('Data Input'!M1009),"",'Data Input'!M1009)</f>
        <v/>
      </c>
      <c r="O1009" t="str">
        <f>IF(ISBLANK('Data Input'!N1009),"",'Data Input'!N1009)</f>
        <v/>
      </c>
      <c r="P1009" t="str">
        <f>IF(ISBLANK('Data Input'!O1009),"",'Data Input'!O1009)</f>
        <v/>
      </c>
      <c r="Q1009" t="str">
        <f>IF(ISBLANK('Data Input'!P1009),"",'Data Input'!P1009)</f>
        <v/>
      </c>
      <c r="R1009" t="str">
        <f>IF(ISBLANK('Data Input'!Q1009),"",'Data Input'!Q1009)</f>
        <v/>
      </c>
      <c r="T1009" s="2" t="e">
        <f t="shared" si="62"/>
        <v>#VALUE!</v>
      </c>
      <c r="U1009" s="12" t="e">
        <f t="shared" si="63"/>
        <v>#VALUE!</v>
      </c>
      <c r="V1009" s="2" t="str">
        <f t="shared" si="64"/>
        <v/>
      </c>
      <c r="W1009" s="12" t="str">
        <f t="shared" si="65"/>
        <v/>
      </c>
    </row>
    <row r="1010" spans="1:23">
      <c r="A1010" t="str">
        <f>IF(ISBLANK('Data Input'!A1010),"",'Data Input'!A1010)</f>
        <v/>
      </c>
      <c r="B1010" t="str">
        <f>IF(ISBLANK('Data Input'!B1010),"",'Data Input'!B1010)</f>
        <v/>
      </c>
      <c r="C1010" t="str">
        <f>IF(ISBLANK('Data Input'!C1010),"",'Data Input'!C1010)</f>
        <v/>
      </c>
      <c r="E1010" t="str">
        <f>IF(ISBLANK('Data Input'!D1010),"",'Data Input'!D1010)</f>
        <v/>
      </c>
      <c r="G1010" t="str">
        <f>IF(ISBLANK('Data Input'!E1010),"",'Data Input'!E1010)</f>
        <v/>
      </c>
      <c r="H1010" t="str">
        <f>IF(ISBLANK('Data Input'!F1010),"",'Data Input'!F1010)</f>
        <v/>
      </c>
      <c r="I1010" t="str">
        <f>IF(ISBLANK('Data Input'!G1010),"",'Data Input'!G1010)</f>
        <v/>
      </c>
      <c r="J1010" t="str">
        <f>IF(ISBLANK('Data Input'!I1010),"",'Data Input'!I1010)</f>
        <v/>
      </c>
      <c r="K1010" t="str">
        <f>IF(ISBLANK('Data Input'!J1010),"",'Data Input'!J1010)</f>
        <v/>
      </c>
      <c r="L1010" t="str">
        <f>IF(ISBLANK('Data Input'!K1010),"",'Data Input'!K1010)</f>
        <v/>
      </c>
      <c r="M1010" t="str">
        <f>IF(ISBLANK('Data Input'!L1010),"",'Data Input'!L1010)</f>
        <v/>
      </c>
      <c r="N1010" t="str">
        <f>IF(ISBLANK('Data Input'!M1010),"",'Data Input'!M1010)</f>
        <v/>
      </c>
      <c r="O1010" t="str">
        <f>IF(ISBLANK('Data Input'!N1010),"",'Data Input'!N1010)</f>
        <v/>
      </c>
      <c r="P1010" t="str">
        <f>IF(ISBLANK('Data Input'!O1010),"",'Data Input'!O1010)</f>
        <v/>
      </c>
      <c r="Q1010" t="str">
        <f>IF(ISBLANK('Data Input'!P1010),"",'Data Input'!P1010)</f>
        <v/>
      </c>
      <c r="R1010" t="str">
        <f>IF(ISBLANK('Data Input'!Q1010),"",'Data Input'!Q1010)</f>
        <v/>
      </c>
      <c r="T1010" s="2" t="e">
        <f t="shared" si="62"/>
        <v>#VALUE!</v>
      </c>
      <c r="U1010" s="12" t="e">
        <f t="shared" si="63"/>
        <v>#VALUE!</v>
      </c>
      <c r="V1010" s="2" t="str">
        <f t="shared" si="64"/>
        <v/>
      </c>
      <c r="W1010" s="12" t="str">
        <f t="shared" si="65"/>
        <v/>
      </c>
    </row>
    <row r="1011" spans="1:23">
      <c r="A1011" t="str">
        <f>IF(ISBLANK('Data Input'!A1011),"",'Data Input'!A1011)</f>
        <v/>
      </c>
      <c r="B1011" t="str">
        <f>IF(ISBLANK('Data Input'!B1011),"",'Data Input'!B1011)</f>
        <v/>
      </c>
      <c r="C1011" t="str">
        <f>IF(ISBLANK('Data Input'!C1011),"",'Data Input'!C1011)</f>
        <v/>
      </c>
      <c r="E1011" t="str">
        <f>IF(ISBLANK('Data Input'!D1011),"",'Data Input'!D1011)</f>
        <v/>
      </c>
      <c r="G1011" t="str">
        <f>IF(ISBLANK('Data Input'!E1011),"",'Data Input'!E1011)</f>
        <v/>
      </c>
      <c r="H1011" t="str">
        <f>IF(ISBLANK('Data Input'!F1011),"",'Data Input'!F1011)</f>
        <v/>
      </c>
      <c r="I1011" t="str">
        <f>IF(ISBLANK('Data Input'!G1011),"",'Data Input'!G1011)</f>
        <v/>
      </c>
      <c r="J1011" t="str">
        <f>IF(ISBLANK('Data Input'!I1011),"",'Data Input'!I1011)</f>
        <v/>
      </c>
      <c r="K1011" t="str">
        <f>IF(ISBLANK('Data Input'!J1011),"",'Data Input'!J1011)</f>
        <v/>
      </c>
      <c r="L1011" t="str">
        <f>IF(ISBLANK('Data Input'!K1011),"",'Data Input'!K1011)</f>
        <v/>
      </c>
      <c r="M1011" t="str">
        <f>IF(ISBLANK('Data Input'!L1011),"",'Data Input'!L1011)</f>
        <v/>
      </c>
      <c r="N1011" t="str">
        <f>IF(ISBLANK('Data Input'!M1011),"",'Data Input'!M1011)</f>
        <v/>
      </c>
      <c r="O1011" t="str">
        <f>IF(ISBLANK('Data Input'!N1011),"",'Data Input'!N1011)</f>
        <v/>
      </c>
      <c r="P1011" t="str">
        <f>IF(ISBLANK('Data Input'!O1011),"",'Data Input'!O1011)</f>
        <v/>
      </c>
      <c r="Q1011" t="str">
        <f>IF(ISBLANK('Data Input'!P1011),"",'Data Input'!P1011)</f>
        <v/>
      </c>
      <c r="R1011" t="str">
        <f>IF(ISBLANK('Data Input'!Q1011),"",'Data Input'!Q1011)</f>
        <v/>
      </c>
      <c r="T1011" s="2" t="e">
        <f t="shared" si="62"/>
        <v>#VALUE!</v>
      </c>
      <c r="U1011" s="12" t="e">
        <f t="shared" si="63"/>
        <v>#VALUE!</v>
      </c>
      <c r="V1011" s="2" t="str">
        <f t="shared" si="64"/>
        <v/>
      </c>
      <c r="W1011" s="12" t="str">
        <f t="shared" si="65"/>
        <v/>
      </c>
    </row>
    <row r="1012" spans="1:23">
      <c r="A1012" t="str">
        <f>IF(ISBLANK('Data Input'!A1012),"",'Data Input'!A1012)</f>
        <v/>
      </c>
      <c r="B1012" t="str">
        <f>IF(ISBLANK('Data Input'!B1012),"",'Data Input'!B1012)</f>
        <v/>
      </c>
      <c r="C1012" t="str">
        <f>IF(ISBLANK('Data Input'!C1012),"",'Data Input'!C1012)</f>
        <v/>
      </c>
      <c r="E1012" t="str">
        <f>IF(ISBLANK('Data Input'!D1012),"",'Data Input'!D1012)</f>
        <v/>
      </c>
      <c r="G1012" t="str">
        <f>IF(ISBLANK('Data Input'!E1012),"",'Data Input'!E1012)</f>
        <v/>
      </c>
      <c r="H1012" t="str">
        <f>IF(ISBLANK('Data Input'!F1012),"",'Data Input'!F1012)</f>
        <v/>
      </c>
      <c r="I1012" t="str">
        <f>IF(ISBLANK('Data Input'!G1012),"",'Data Input'!G1012)</f>
        <v/>
      </c>
      <c r="J1012" t="str">
        <f>IF(ISBLANK('Data Input'!I1012),"",'Data Input'!I1012)</f>
        <v/>
      </c>
      <c r="K1012" t="str">
        <f>IF(ISBLANK('Data Input'!J1012),"",'Data Input'!J1012)</f>
        <v/>
      </c>
      <c r="L1012" t="str">
        <f>IF(ISBLANK('Data Input'!K1012),"",'Data Input'!K1012)</f>
        <v/>
      </c>
      <c r="M1012" t="str">
        <f>IF(ISBLANK('Data Input'!L1012),"",'Data Input'!L1012)</f>
        <v/>
      </c>
      <c r="N1012" t="str">
        <f>IF(ISBLANK('Data Input'!M1012),"",'Data Input'!M1012)</f>
        <v/>
      </c>
      <c r="O1012" t="str">
        <f>IF(ISBLANK('Data Input'!N1012),"",'Data Input'!N1012)</f>
        <v/>
      </c>
      <c r="P1012" t="str">
        <f>IF(ISBLANK('Data Input'!O1012),"",'Data Input'!O1012)</f>
        <v/>
      </c>
      <c r="Q1012" t="str">
        <f>IF(ISBLANK('Data Input'!P1012),"",'Data Input'!P1012)</f>
        <v/>
      </c>
      <c r="R1012" t="str">
        <f>IF(ISBLANK('Data Input'!Q1012),"",'Data Input'!Q1012)</f>
        <v/>
      </c>
      <c r="T1012" s="2" t="e">
        <f t="shared" si="62"/>
        <v>#VALUE!</v>
      </c>
      <c r="U1012" s="12" t="e">
        <f t="shared" si="63"/>
        <v>#VALUE!</v>
      </c>
      <c r="V1012" s="2" t="str">
        <f t="shared" si="64"/>
        <v/>
      </c>
      <c r="W1012" s="12" t="str">
        <f t="shared" si="65"/>
        <v/>
      </c>
    </row>
    <row r="1013" spans="1:23">
      <c r="A1013" t="str">
        <f>IF(ISBLANK('Data Input'!A1013),"",'Data Input'!A1013)</f>
        <v/>
      </c>
      <c r="B1013" t="str">
        <f>IF(ISBLANK('Data Input'!B1013),"",'Data Input'!B1013)</f>
        <v/>
      </c>
      <c r="C1013" t="str">
        <f>IF(ISBLANK('Data Input'!C1013),"",'Data Input'!C1013)</f>
        <v/>
      </c>
      <c r="E1013" t="str">
        <f>IF(ISBLANK('Data Input'!D1013),"",'Data Input'!D1013)</f>
        <v/>
      </c>
      <c r="G1013" t="str">
        <f>IF(ISBLANK('Data Input'!E1013),"",'Data Input'!E1013)</f>
        <v/>
      </c>
      <c r="H1013" t="str">
        <f>IF(ISBLANK('Data Input'!F1013),"",'Data Input'!F1013)</f>
        <v/>
      </c>
      <c r="I1013" t="str">
        <f>IF(ISBLANK('Data Input'!G1013),"",'Data Input'!G1013)</f>
        <v/>
      </c>
      <c r="J1013" t="str">
        <f>IF(ISBLANK('Data Input'!I1013),"",'Data Input'!I1013)</f>
        <v/>
      </c>
      <c r="K1013" t="str">
        <f>IF(ISBLANK('Data Input'!J1013),"",'Data Input'!J1013)</f>
        <v/>
      </c>
      <c r="L1013" t="str">
        <f>IF(ISBLANK('Data Input'!K1013),"",'Data Input'!K1013)</f>
        <v/>
      </c>
      <c r="M1013" t="str">
        <f>IF(ISBLANK('Data Input'!L1013),"",'Data Input'!L1013)</f>
        <v/>
      </c>
      <c r="N1013" t="str">
        <f>IF(ISBLANK('Data Input'!M1013),"",'Data Input'!M1013)</f>
        <v/>
      </c>
      <c r="O1013" t="str">
        <f>IF(ISBLANK('Data Input'!N1013),"",'Data Input'!N1013)</f>
        <v/>
      </c>
      <c r="P1013" t="str">
        <f>IF(ISBLANK('Data Input'!O1013),"",'Data Input'!O1013)</f>
        <v/>
      </c>
      <c r="Q1013" t="str">
        <f>IF(ISBLANK('Data Input'!P1013),"",'Data Input'!P1013)</f>
        <v/>
      </c>
      <c r="R1013" t="str">
        <f>IF(ISBLANK('Data Input'!Q1013),"",'Data Input'!Q1013)</f>
        <v/>
      </c>
      <c r="T1013" s="2" t="e">
        <f t="shared" si="62"/>
        <v>#VALUE!</v>
      </c>
      <c r="U1013" s="12" t="e">
        <f t="shared" si="63"/>
        <v>#VALUE!</v>
      </c>
      <c r="V1013" s="2" t="str">
        <f t="shared" si="64"/>
        <v/>
      </c>
      <c r="W1013" s="12" t="str">
        <f t="shared" si="65"/>
        <v/>
      </c>
    </row>
    <row r="1014" spans="1:23">
      <c r="A1014" t="str">
        <f>IF(ISBLANK('Data Input'!A1014),"",'Data Input'!A1014)</f>
        <v/>
      </c>
      <c r="B1014" t="str">
        <f>IF(ISBLANK('Data Input'!B1014),"",'Data Input'!B1014)</f>
        <v/>
      </c>
      <c r="C1014" t="str">
        <f>IF(ISBLANK('Data Input'!C1014),"",'Data Input'!C1014)</f>
        <v/>
      </c>
      <c r="E1014" t="str">
        <f>IF(ISBLANK('Data Input'!D1014),"",'Data Input'!D1014)</f>
        <v/>
      </c>
      <c r="G1014" t="str">
        <f>IF(ISBLANK('Data Input'!E1014),"",'Data Input'!E1014)</f>
        <v/>
      </c>
      <c r="H1014" t="str">
        <f>IF(ISBLANK('Data Input'!F1014),"",'Data Input'!F1014)</f>
        <v/>
      </c>
      <c r="I1014" t="str">
        <f>IF(ISBLANK('Data Input'!G1014),"",'Data Input'!G1014)</f>
        <v/>
      </c>
      <c r="J1014" t="str">
        <f>IF(ISBLANK('Data Input'!I1014),"",'Data Input'!I1014)</f>
        <v/>
      </c>
      <c r="K1014" t="str">
        <f>IF(ISBLANK('Data Input'!J1014),"",'Data Input'!J1014)</f>
        <v/>
      </c>
      <c r="L1014" t="str">
        <f>IF(ISBLANK('Data Input'!K1014),"",'Data Input'!K1014)</f>
        <v/>
      </c>
      <c r="M1014" t="str">
        <f>IF(ISBLANK('Data Input'!L1014),"",'Data Input'!L1014)</f>
        <v/>
      </c>
      <c r="N1014" t="str">
        <f>IF(ISBLANK('Data Input'!M1014),"",'Data Input'!M1014)</f>
        <v/>
      </c>
      <c r="O1014" t="str">
        <f>IF(ISBLANK('Data Input'!N1014),"",'Data Input'!N1014)</f>
        <v/>
      </c>
      <c r="P1014" t="str">
        <f>IF(ISBLANK('Data Input'!O1014),"",'Data Input'!O1014)</f>
        <v/>
      </c>
      <c r="Q1014" t="str">
        <f>IF(ISBLANK('Data Input'!P1014),"",'Data Input'!P1014)</f>
        <v/>
      </c>
      <c r="R1014" t="str">
        <f>IF(ISBLANK('Data Input'!Q1014),"",'Data Input'!Q1014)</f>
        <v/>
      </c>
      <c r="T1014" s="2" t="e">
        <f t="shared" si="62"/>
        <v>#VALUE!</v>
      </c>
      <c r="U1014" s="12" t="e">
        <f t="shared" si="63"/>
        <v>#VALUE!</v>
      </c>
      <c r="V1014" s="2" t="str">
        <f t="shared" si="64"/>
        <v/>
      </c>
      <c r="W1014" s="12" t="str">
        <f t="shared" si="65"/>
        <v/>
      </c>
    </row>
    <row r="1015" spans="1:23">
      <c r="A1015" t="str">
        <f>IF(ISBLANK('Data Input'!A1015),"",'Data Input'!A1015)</f>
        <v/>
      </c>
      <c r="B1015" t="str">
        <f>IF(ISBLANK('Data Input'!B1015),"",'Data Input'!B1015)</f>
        <v/>
      </c>
      <c r="C1015" t="str">
        <f>IF(ISBLANK('Data Input'!C1015),"",'Data Input'!C1015)</f>
        <v/>
      </c>
      <c r="E1015" t="str">
        <f>IF(ISBLANK('Data Input'!D1015),"",'Data Input'!D1015)</f>
        <v/>
      </c>
      <c r="G1015" t="str">
        <f>IF(ISBLANK('Data Input'!E1015),"",'Data Input'!E1015)</f>
        <v/>
      </c>
      <c r="H1015" t="str">
        <f>IF(ISBLANK('Data Input'!F1015),"",'Data Input'!F1015)</f>
        <v/>
      </c>
      <c r="I1015" t="str">
        <f>IF(ISBLANK('Data Input'!G1015),"",'Data Input'!G1015)</f>
        <v/>
      </c>
      <c r="J1015" t="str">
        <f>IF(ISBLANK('Data Input'!I1015),"",'Data Input'!I1015)</f>
        <v/>
      </c>
      <c r="K1015" t="str">
        <f>IF(ISBLANK('Data Input'!J1015),"",'Data Input'!J1015)</f>
        <v/>
      </c>
      <c r="L1015" t="str">
        <f>IF(ISBLANK('Data Input'!K1015),"",'Data Input'!K1015)</f>
        <v/>
      </c>
      <c r="M1015" t="str">
        <f>IF(ISBLANK('Data Input'!L1015),"",'Data Input'!L1015)</f>
        <v/>
      </c>
      <c r="N1015" t="str">
        <f>IF(ISBLANK('Data Input'!M1015),"",'Data Input'!M1015)</f>
        <v/>
      </c>
      <c r="O1015" t="str">
        <f>IF(ISBLANK('Data Input'!N1015),"",'Data Input'!N1015)</f>
        <v/>
      </c>
      <c r="P1015" t="str">
        <f>IF(ISBLANK('Data Input'!O1015),"",'Data Input'!O1015)</f>
        <v/>
      </c>
      <c r="Q1015" t="str">
        <f>IF(ISBLANK('Data Input'!P1015),"",'Data Input'!P1015)</f>
        <v/>
      </c>
      <c r="R1015" t="str">
        <f>IF(ISBLANK('Data Input'!Q1015),"",'Data Input'!Q1015)</f>
        <v/>
      </c>
      <c r="T1015" s="2" t="e">
        <f t="shared" si="62"/>
        <v>#VALUE!</v>
      </c>
      <c r="U1015" s="12" t="e">
        <f t="shared" si="63"/>
        <v>#VALUE!</v>
      </c>
      <c r="V1015" s="2" t="str">
        <f t="shared" si="64"/>
        <v/>
      </c>
      <c r="W1015" s="12" t="str">
        <f t="shared" si="65"/>
        <v/>
      </c>
    </row>
    <row r="1016" spans="1:23">
      <c r="A1016" t="str">
        <f>IF(ISBLANK('Data Input'!A1016),"",'Data Input'!A1016)</f>
        <v/>
      </c>
      <c r="B1016" t="str">
        <f>IF(ISBLANK('Data Input'!B1016),"",'Data Input'!B1016)</f>
        <v/>
      </c>
      <c r="C1016" t="str">
        <f>IF(ISBLANK('Data Input'!C1016),"",'Data Input'!C1016)</f>
        <v/>
      </c>
      <c r="E1016" t="str">
        <f>IF(ISBLANK('Data Input'!D1016),"",'Data Input'!D1016)</f>
        <v/>
      </c>
      <c r="G1016" t="str">
        <f>IF(ISBLANK('Data Input'!E1016),"",'Data Input'!E1016)</f>
        <v/>
      </c>
      <c r="H1016" t="str">
        <f>IF(ISBLANK('Data Input'!F1016),"",'Data Input'!F1016)</f>
        <v/>
      </c>
      <c r="I1016" t="str">
        <f>IF(ISBLANK('Data Input'!G1016),"",'Data Input'!G1016)</f>
        <v/>
      </c>
      <c r="J1016" t="str">
        <f>IF(ISBLANK('Data Input'!I1016),"",'Data Input'!I1016)</f>
        <v/>
      </c>
      <c r="K1016" t="str">
        <f>IF(ISBLANK('Data Input'!J1016),"",'Data Input'!J1016)</f>
        <v/>
      </c>
      <c r="L1016" t="str">
        <f>IF(ISBLANK('Data Input'!K1016),"",'Data Input'!K1016)</f>
        <v/>
      </c>
      <c r="M1016" t="str">
        <f>IF(ISBLANK('Data Input'!L1016),"",'Data Input'!L1016)</f>
        <v/>
      </c>
      <c r="N1016" t="str">
        <f>IF(ISBLANK('Data Input'!M1016),"",'Data Input'!M1016)</f>
        <v/>
      </c>
      <c r="O1016" t="str">
        <f>IF(ISBLANK('Data Input'!N1016),"",'Data Input'!N1016)</f>
        <v/>
      </c>
      <c r="P1016" t="str">
        <f>IF(ISBLANK('Data Input'!O1016),"",'Data Input'!O1016)</f>
        <v/>
      </c>
      <c r="Q1016" t="str">
        <f>IF(ISBLANK('Data Input'!P1016),"",'Data Input'!P1016)</f>
        <v/>
      </c>
      <c r="R1016" t="str">
        <f>IF(ISBLANK('Data Input'!Q1016),"",'Data Input'!Q1016)</f>
        <v/>
      </c>
      <c r="T1016" s="2" t="e">
        <f t="shared" si="62"/>
        <v>#VALUE!</v>
      </c>
      <c r="U1016" s="12" t="e">
        <f t="shared" si="63"/>
        <v>#VALUE!</v>
      </c>
      <c r="V1016" s="2" t="str">
        <f t="shared" si="64"/>
        <v/>
      </c>
      <c r="W1016" s="12" t="str">
        <f t="shared" si="65"/>
        <v/>
      </c>
    </row>
    <row r="1017" spans="1:23">
      <c r="A1017" t="str">
        <f>IF(ISBLANK('Data Input'!A1017),"",'Data Input'!A1017)</f>
        <v/>
      </c>
      <c r="B1017" t="str">
        <f>IF(ISBLANK('Data Input'!B1017),"",'Data Input'!B1017)</f>
        <v/>
      </c>
      <c r="C1017" t="str">
        <f>IF(ISBLANK('Data Input'!C1017),"",'Data Input'!C1017)</f>
        <v/>
      </c>
      <c r="E1017" t="str">
        <f>IF(ISBLANK('Data Input'!D1017),"",'Data Input'!D1017)</f>
        <v/>
      </c>
      <c r="G1017" t="str">
        <f>IF(ISBLANK('Data Input'!E1017),"",'Data Input'!E1017)</f>
        <v/>
      </c>
      <c r="H1017" t="str">
        <f>IF(ISBLANK('Data Input'!F1017),"",'Data Input'!F1017)</f>
        <v/>
      </c>
      <c r="I1017" t="str">
        <f>IF(ISBLANK('Data Input'!G1017),"",'Data Input'!G1017)</f>
        <v/>
      </c>
      <c r="J1017" t="str">
        <f>IF(ISBLANK('Data Input'!I1017),"",'Data Input'!I1017)</f>
        <v/>
      </c>
      <c r="K1017" t="str">
        <f>IF(ISBLANK('Data Input'!J1017),"",'Data Input'!J1017)</f>
        <v/>
      </c>
      <c r="L1017" t="str">
        <f>IF(ISBLANK('Data Input'!K1017),"",'Data Input'!K1017)</f>
        <v/>
      </c>
      <c r="M1017" t="str">
        <f>IF(ISBLANK('Data Input'!L1017),"",'Data Input'!L1017)</f>
        <v/>
      </c>
      <c r="N1017" t="str">
        <f>IF(ISBLANK('Data Input'!M1017),"",'Data Input'!M1017)</f>
        <v/>
      </c>
      <c r="O1017" t="str">
        <f>IF(ISBLANK('Data Input'!N1017),"",'Data Input'!N1017)</f>
        <v/>
      </c>
      <c r="P1017" t="str">
        <f>IF(ISBLANK('Data Input'!O1017),"",'Data Input'!O1017)</f>
        <v/>
      </c>
      <c r="Q1017" t="str">
        <f>IF(ISBLANK('Data Input'!P1017),"",'Data Input'!P1017)</f>
        <v/>
      </c>
      <c r="R1017" t="str">
        <f>IF(ISBLANK('Data Input'!Q1017),"",'Data Input'!Q1017)</f>
        <v/>
      </c>
      <c r="T1017" s="2" t="e">
        <f t="shared" si="62"/>
        <v>#VALUE!</v>
      </c>
      <c r="U1017" s="12" t="e">
        <f t="shared" si="63"/>
        <v>#VALUE!</v>
      </c>
      <c r="V1017" s="2" t="str">
        <f t="shared" si="64"/>
        <v/>
      </c>
      <c r="W1017" s="12" t="str">
        <f t="shared" si="65"/>
        <v/>
      </c>
    </row>
    <row r="1018" spans="1:23">
      <c r="A1018" t="str">
        <f>IF(ISBLANK('Data Input'!A1018),"",'Data Input'!A1018)</f>
        <v/>
      </c>
      <c r="B1018" t="str">
        <f>IF(ISBLANK('Data Input'!B1018),"",'Data Input'!B1018)</f>
        <v/>
      </c>
      <c r="C1018" t="str">
        <f>IF(ISBLANK('Data Input'!C1018),"",'Data Input'!C1018)</f>
        <v/>
      </c>
      <c r="E1018" t="str">
        <f>IF(ISBLANK('Data Input'!D1018),"",'Data Input'!D1018)</f>
        <v/>
      </c>
      <c r="G1018" t="str">
        <f>IF(ISBLANK('Data Input'!E1018),"",'Data Input'!E1018)</f>
        <v/>
      </c>
      <c r="H1018" t="str">
        <f>IF(ISBLANK('Data Input'!F1018),"",'Data Input'!F1018)</f>
        <v/>
      </c>
      <c r="I1018" t="str">
        <f>IF(ISBLANK('Data Input'!G1018),"",'Data Input'!G1018)</f>
        <v/>
      </c>
      <c r="J1018" t="str">
        <f>IF(ISBLANK('Data Input'!I1018),"",'Data Input'!I1018)</f>
        <v/>
      </c>
      <c r="K1018" t="str">
        <f>IF(ISBLANK('Data Input'!J1018),"",'Data Input'!J1018)</f>
        <v/>
      </c>
      <c r="L1018" t="str">
        <f>IF(ISBLANK('Data Input'!K1018),"",'Data Input'!K1018)</f>
        <v/>
      </c>
      <c r="M1018" t="str">
        <f>IF(ISBLANK('Data Input'!L1018),"",'Data Input'!L1018)</f>
        <v/>
      </c>
      <c r="N1018" t="str">
        <f>IF(ISBLANK('Data Input'!M1018),"",'Data Input'!M1018)</f>
        <v/>
      </c>
      <c r="O1018" t="str">
        <f>IF(ISBLANK('Data Input'!N1018),"",'Data Input'!N1018)</f>
        <v/>
      </c>
      <c r="P1018" t="str">
        <f>IF(ISBLANK('Data Input'!O1018),"",'Data Input'!O1018)</f>
        <v/>
      </c>
      <c r="Q1018" t="str">
        <f>IF(ISBLANK('Data Input'!P1018),"",'Data Input'!P1018)</f>
        <v/>
      </c>
      <c r="R1018" t="str">
        <f>IF(ISBLANK('Data Input'!Q1018),"",'Data Input'!Q1018)</f>
        <v/>
      </c>
      <c r="T1018" s="2" t="e">
        <f t="shared" si="62"/>
        <v>#VALUE!</v>
      </c>
      <c r="U1018" s="12" t="e">
        <f t="shared" si="63"/>
        <v>#VALUE!</v>
      </c>
      <c r="V1018" s="2" t="str">
        <f t="shared" si="64"/>
        <v/>
      </c>
      <c r="W1018" s="12" t="str">
        <f t="shared" si="65"/>
        <v/>
      </c>
    </row>
    <row r="1019" spans="1:23">
      <c r="A1019" t="str">
        <f>IF(ISBLANK('Data Input'!A1019),"",'Data Input'!A1019)</f>
        <v/>
      </c>
      <c r="B1019" t="str">
        <f>IF(ISBLANK('Data Input'!B1019),"",'Data Input'!B1019)</f>
        <v/>
      </c>
      <c r="C1019" t="str">
        <f>IF(ISBLANK('Data Input'!C1019),"",'Data Input'!C1019)</f>
        <v/>
      </c>
      <c r="E1019" t="str">
        <f>IF(ISBLANK('Data Input'!D1019),"",'Data Input'!D1019)</f>
        <v/>
      </c>
      <c r="G1019" t="str">
        <f>IF(ISBLANK('Data Input'!E1019),"",'Data Input'!E1019)</f>
        <v/>
      </c>
      <c r="H1019" t="str">
        <f>IF(ISBLANK('Data Input'!F1019),"",'Data Input'!F1019)</f>
        <v/>
      </c>
      <c r="I1019" t="str">
        <f>IF(ISBLANK('Data Input'!G1019),"",'Data Input'!G1019)</f>
        <v/>
      </c>
      <c r="J1019" t="str">
        <f>IF(ISBLANK('Data Input'!I1019),"",'Data Input'!I1019)</f>
        <v/>
      </c>
      <c r="K1019" t="str">
        <f>IF(ISBLANK('Data Input'!J1019),"",'Data Input'!J1019)</f>
        <v/>
      </c>
      <c r="L1019" t="str">
        <f>IF(ISBLANK('Data Input'!K1019),"",'Data Input'!K1019)</f>
        <v/>
      </c>
      <c r="M1019" t="str">
        <f>IF(ISBLANK('Data Input'!L1019),"",'Data Input'!L1019)</f>
        <v/>
      </c>
      <c r="N1019" t="str">
        <f>IF(ISBLANK('Data Input'!M1019),"",'Data Input'!M1019)</f>
        <v/>
      </c>
      <c r="O1019" t="str">
        <f>IF(ISBLANK('Data Input'!N1019),"",'Data Input'!N1019)</f>
        <v/>
      </c>
      <c r="P1019" t="str">
        <f>IF(ISBLANK('Data Input'!O1019),"",'Data Input'!O1019)</f>
        <v/>
      </c>
      <c r="Q1019" t="str">
        <f>IF(ISBLANK('Data Input'!P1019),"",'Data Input'!P1019)</f>
        <v/>
      </c>
      <c r="R1019" t="str">
        <f>IF(ISBLANK('Data Input'!Q1019),"",'Data Input'!Q1019)</f>
        <v/>
      </c>
      <c r="T1019" s="2" t="e">
        <f t="shared" si="62"/>
        <v>#VALUE!</v>
      </c>
      <c r="U1019" s="12" t="e">
        <f t="shared" si="63"/>
        <v>#VALUE!</v>
      </c>
      <c r="V1019" s="2" t="str">
        <f t="shared" si="64"/>
        <v/>
      </c>
      <c r="W1019" s="12" t="str">
        <f t="shared" si="65"/>
        <v/>
      </c>
    </row>
    <row r="1020" spans="1:23">
      <c r="A1020" t="str">
        <f>IF(ISBLANK('Data Input'!A1020),"",'Data Input'!A1020)</f>
        <v/>
      </c>
      <c r="B1020" t="str">
        <f>IF(ISBLANK('Data Input'!B1020),"",'Data Input'!B1020)</f>
        <v/>
      </c>
      <c r="C1020" t="str">
        <f>IF(ISBLANK('Data Input'!C1020),"",'Data Input'!C1020)</f>
        <v/>
      </c>
      <c r="E1020" t="str">
        <f>IF(ISBLANK('Data Input'!D1020),"",'Data Input'!D1020)</f>
        <v/>
      </c>
      <c r="G1020" t="str">
        <f>IF(ISBLANK('Data Input'!E1020),"",'Data Input'!E1020)</f>
        <v/>
      </c>
      <c r="H1020" t="str">
        <f>IF(ISBLANK('Data Input'!F1020),"",'Data Input'!F1020)</f>
        <v/>
      </c>
      <c r="I1020" t="str">
        <f>IF(ISBLANK('Data Input'!G1020),"",'Data Input'!G1020)</f>
        <v/>
      </c>
      <c r="J1020" t="str">
        <f>IF(ISBLANK('Data Input'!I1020),"",'Data Input'!I1020)</f>
        <v/>
      </c>
      <c r="K1020" t="str">
        <f>IF(ISBLANK('Data Input'!J1020),"",'Data Input'!J1020)</f>
        <v/>
      </c>
      <c r="L1020" t="str">
        <f>IF(ISBLANK('Data Input'!K1020),"",'Data Input'!K1020)</f>
        <v/>
      </c>
      <c r="M1020" t="str">
        <f>IF(ISBLANK('Data Input'!L1020),"",'Data Input'!L1020)</f>
        <v/>
      </c>
      <c r="N1020" t="str">
        <f>IF(ISBLANK('Data Input'!M1020),"",'Data Input'!M1020)</f>
        <v/>
      </c>
      <c r="O1020" t="str">
        <f>IF(ISBLANK('Data Input'!N1020),"",'Data Input'!N1020)</f>
        <v/>
      </c>
      <c r="P1020" t="str">
        <f>IF(ISBLANK('Data Input'!O1020),"",'Data Input'!O1020)</f>
        <v/>
      </c>
      <c r="Q1020" t="str">
        <f>IF(ISBLANK('Data Input'!P1020),"",'Data Input'!P1020)</f>
        <v/>
      </c>
      <c r="R1020" t="str">
        <f>IF(ISBLANK('Data Input'!Q1020),"",'Data Input'!Q1020)</f>
        <v/>
      </c>
      <c r="T1020" s="2" t="e">
        <f t="shared" si="62"/>
        <v>#VALUE!</v>
      </c>
      <c r="U1020" s="12" t="e">
        <f t="shared" si="63"/>
        <v>#VALUE!</v>
      </c>
      <c r="V1020" s="2" t="str">
        <f t="shared" si="64"/>
        <v/>
      </c>
      <c r="W1020" s="12" t="str">
        <f t="shared" si="65"/>
        <v/>
      </c>
    </row>
    <row r="1021" spans="1:23">
      <c r="A1021" t="str">
        <f>IF(ISBLANK('Data Input'!A1021),"",'Data Input'!A1021)</f>
        <v/>
      </c>
      <c r="B1021" t="str">
        <f>IF(ISBLANK('Data Input'!B1021),"",'Data Input'!B1021)</f>
        <v/>
      </c>
      <c r="C1021" t="str">
        <f>IF(ISBLANK('Data Input'!C1021),"",'Data Input'!C1021)</f>
        <v/>
      </c>
      <c r="E1021" t="str">
        <f>IF(ISBLANK('Data Input'!D1021),"",'Data Input'!D1021)</f>
        <v/>
      </c>
      <c r="G1021" t="str">
        <f>IF(ISBLANK('Data Input'!E1021),"",'Data Input'!E1021)</f>
        <v/>
      </c>
      <c r="H1021" t="str">
        <f>IF(ISBLANK('Data Input'!F1021),"",'Data Input'!F1021)</f>
        <v/>
      </c>
      <c r="I1021" t="str">
        <f>IF(ISBLANK('Data Input'!G1021),"",'Data Input'!G1021)</f>
        <v/>
      </c>
      <c r="J1021" t="str">
        <f>IF(ISBLANK('Data Input'!I1021),"",'Data Input'!I1021)</f>
        <v/>
      </c>
      <c r="K1021" t="str">
        <f>IF(ISBLANK('Data Input'!J1021),"",'Data Input'!J1021)</f>
        <v/>
      </c>
      <c r="L1021" t="str">
        <f>IF(ISBLANK('Data Input'!K1021),"",'Data Input'!K1021)</f>
        <v/>
      </c>
      <c r="M1021" t="str">
        <f>IF(ISBLANK('Data Input'!L1021),"",'Data Input'!L1021)</f>
        <v/>
      </c>
      <c r="N1021" t="str">
        <f>IF(ISBLANK('Data Input'!M1021),"",'Data Input'!M1021)</f>
        <v/>
      </c>
      <c r="O1021" t="str">
        <f>IF(ISBLANK('Data Input'!N1021),"",'Data Input'!N1021)</f>
        <v/>
      </c>
      <c r="P1021" t="str">
        <f>IF(ISBLANK('Data Input'!O1021),"",'Data Input'!O1021)</f>
        <v/>
      </c>
      <c r="Q1021" t="str">
        <f>IF(ISBLANK('Data Input'!P1021),"",'Data Input'!P1021)</f>
        <v/>
      </c>
      <c r="R1021" t="str">
        <f>IF(ISBLANK('Data Input'!Q1021),"",'Data Input'!Q1021)</f>
        <v/>
      </c>
      <c r="T1021" s="2" t="e">
        <f t="shared" si="62"/>
        <v>#VALUE!</v>
      </c>
      <c r="U1021" s="12" t="e">
        <f t="shared" si="63"/>
        <v>#VALUE!</v>
      </c>
      <c r="V1021" s="2" t="str">
        <f t="shared" si="64"/>
        <v/>
      </c>
      <c r="W1021" s="12" t="str">
        <f t="shared" si="65"/>
        <v/>
      </c>
    </row>
    <row r="1022" spans="1:23">
      <c r="A1022" t="str">
        <f>IF(ISBLANK('Data Input'!A1022),"",'Data Input'!A1022)</f>
        <v/>
      </c>
      <c r="B1022" t="str">
        <f>IF(ISBLANK('Data Input'!B1022),"",'Data Input'!B1022)</f>
        <v/>
      </c>
      <c r="C1022" t="str">
        <f>IF(ISBLANK('Data Input'!C1022),"",'Data Input'!C1022)</f>
        <v/>
      </c>
      <c r="E1022" t="str">
        <f>IF(ISBLANK('Data Input'!D1022),"",'Data Input'!D1022)</f>
        <v/>
      </c>
      <c r="G1022" t="str">
        <f>IF(ISBLANK('Data Input'!E1022),"",'Data Input'!E1022)</f>
        <v/>
      </c>
      <c r="H1022" t="str">
        <f>IF(ISBLANK('Data Input'!F1022),"",'Data Input'!F1022)</f>
        <v/>
      </c>
      <c r="I1022" t="str">
        <f>IF(ISBLANK('Data Input'!G1022),"",'Data Input'!G1022)</f>
        <v/>
      </c>
      <c r="J1022" t="str">
        <f>IF(ISBLANK('Data Input'!I1022),"",'Data Input'!I1022)</f>
        <v/>
      </c>
      <c r="K1022" t="str">
        <f>IF(ISBLANK('Data Input'!J1022),"",'Data Input'!J1022)</f>
        <v/>
      </c>
      <c r="L1022" t="str">
        <f>IF(ISBLANK('Data Input'!K1022),"",'Data Input'!K1022)</f>
        <v/>
      </c>
      <c r="M1022" t="str">
        <f>IF(ISBLANK('Data Input'!L1022),"",'Data Input'!L1022)</f>
        <v/>
      </c>
      <c r="N1022" t="str">
        <f>IF(ISBLANK('Data Input'!M1022),"",'Data Input'!M1022)</f>
        <v/>
      </c>
      <c r="O1022" t="str">
        <f>IF(ISBLANK('Data Input'!N1022),"",'Data Input'!N1022)</f>
        <v/>
      </c>
      <c r="P1022" t="str">
        <f>IF(ISBLANK('Data Input'!O1022),"",'Data Input'!O1022)</f>
        <v/>
      </c>
      <c r="Q1022" t="str">
        <f>IF(ISBLANK('Data Input'!P1022),"",'Data Input'!P1022)</f>
        <v/>
      </c>
      <c r="R1022" t="str">
        <f>IF(ISBLANK('Data Input'!Q1022),"",'Data Input'!Q1022)</f>
        <v/>
      </c>
      <c r="T1022" s="2" t="e">
        <f t="shared" si="62"/>
        <v>#VALUE!</v>
      </c>
      <c r="U1022" s="12" t="e">
        <f t="shared" si="63"/>
        <v>#VALUE!</v>
      </c>
      <c r="V1022" s="2" t="str">
        <f t="shared" si="64"/>
        <v/>
      </c>
      <c r="W1022" s="12" t="str">
        <f t="shared" si="65"/>
        <v/>
      </c>
    </row>
    <row r="1023" spans="1:23">
      <c r="A1023" t="str">
        <f>IF(ISBLANK('Data Input'!A1023),"",'Data Input'!A1023)</f>
        <v/>
      </c>
      <c r="B1023" t="str">
        <f>IF(ISBLANK('Data Input'!B1023),"",'Data Input'!B1023)</f>
        <v/>
      </c>
      <c r="C1023" t="str">
        <f>IF(ISBLANK('Data Input'!C1023),"",'Data Input'!C1023)</f>
        <v/>
      </c>
      <c r="E1023" t="str">
        <f>IF(ISBLANK('Data Input'!D1023),"",'Data Input'!D1023)</f>
        <v/>
      </c>
      <c r="G1023" t="str">
        <f>IF(ISBLANK('Data Input'!E1023),"",'Data Input'!E1023)</f>
        <v/>
      </c>
      <c r="H1023" t="str">
        <f>IF(ISBLANK('Data Input'!F1023),"",'Data Input'!F1023)</f>
        <v/>
      </c>
      <c r="I1023" t="str">
        <f>IF(ISBLANK('Data Input'!G1023),"",'Data Input'!G1023)</f>
        <v/>
      </c>
      <c r="J1023" t="str">
        <f>IF(ISBLANK('Data Input'!I1023),"",'Data Input'!I1023)</f>
        <v/>
      </c>
      <c r="K1023" t="str">
        <f>IF(ISBLANK('Data Input'!J1023),"",'Data Input'!J1023)</f>
        <v/>
      </c>
      <c r="L1023" t="str">
        <f>IF(ISBLANK('Data Input'!K1023),"",'Data Input'!K1023)</f>
        <v/>
      </c>
      <c r="M1023" t="str">
        <f>IF(ISBLANK('Data Input'!L1023),"",'Data Input'!L1023)</f>
        <v/>
      </c>
      <c r="N1023" t="str">
        <f>IF(ISBLANK('Data Input'!M1023),"",'Data Input'!M1023)</f>
        <v/>
      </c>
      <c r="O1023" t="str">
        <f>IF(ISBLANK('Data Input'!N1023),"",'Data Input'!N1023)</f>
        <v/>
      </c>
      <c r="P1023" t="str">
        <f>IF(ISBLANK('Data Input'!O1023),"",'Data Input'!O1023)</f>
        <v/>
      </c>
      <c r="Q1023" t="str">
        <f>IF(ISBLANK('Data Input'!P1023),"",'Data Input'!P1023)</f>
        <v/>
      </c>
      <c r="R1023" t="str">
        <f>IF(ISBLANK('Data Input'!Q1023),"",'Data Input'!Q1023)</f>
        <v/>
      </c>
      <c r="T1023" s="2" t="e">
        <f t="shared" si="62"/>
        <v>#VALUE!</v>
      </c>
      <c r="U1023" s="12" t="e">
        <f t="shared" si="63"/>
        <v>#VALUE!</v>
      </c>
      <c r="V1023" s="2" t="str">
        <f t="shared" si="64"/>
        <v/>
      </c>
      <c r="W1023" s="12" t="str">
        <f t="shared" si="65"/>
        <v/>
      </c>
    </row>
    <row r="1024" spans="1:23">
      <c r="A1024" t="str">
        <f>IF(ISBLANK('Data Input'!A1024),"",'Data Input'!A1024)</f>
        <v/>
      </c>
      <c r="B1024" t="str">
        <f>IF(ISBLANK('Data Input'!B1024),"",'Data Input'!B1024)</f>
        <v/>
      </c>
      <c r="C1024" t="str">
        <f>IF(ISBLANK('Data Input'!C1024),"",'Data Input'!C1024)</f>
        <v/>
      </c>
      <c r="E1024" t="str">
        <f>IF(ISBLANK('Data Input'!D1024),"",'Data Input'!D1024)</f>
        <v/>
      </c>
      <c r="G1024" t="str">
        <f>IF(ISBLANK('Data Input'!E1024),"",'Data Input'!E1024)</f>
        <v/>
      </c>
      <c r="H1024" t="str">
        <f>IF(ISBLANK('Data Input'!F1024),"",'Data Input'!F1024)</f>
        <v/>
      </c>
      <c r="I1024" t="str">
        <f>IF(ISBLANK('Data Input'!G1024),"",'Data Input'!G1024)</f>
        <v/>
      </c>
      <c r="J1024" t="str">
        <f>IF(ISBLANK('Data Input'!I1024),"",'Data Input'!I1024)</f>
        <v/>
      </c>
      <c r="K1024" t="str">
        <f>IF(ISBLANK('Data Input'!J1024),"",'Data Input'!J1024)</f>
        <v/>
      </c>
      <c r="L1024" t="str">
        <f>IF(ISBLANK('Data Input'!K1024),"",'Data Input'!K1024)</f>
        <v/>
      </c>
      <c r="M1024" t="str">
        <f>IF(ISBLANK('Data Input'!L1024),"",'Data Input'!L1024)</f>
        <v/>
      </c>
      <c r="N1024" t="str">
        <f>IF(ISBLANK('Data Input'!M1024),"",'Data Input'!M1024)</f>
        <v/>
      </c>
      <c r="O1024" t="str">
        <f>IF(ISBLANK('Data Input'!N1024),"",'Data Input'!N1024)</f>
        <v/>
      </c>
      <c r="P1024" t="str">
        <f>IF(ISBLANK('Data Input'!O1024),"",'Data Input'!O1024)</f>
        <v/>
      </c>
      <c r="Q1024" t="str">
        <f>IF(ISBLANK('Data Input'!P1024),"",'Data Input'!P1024)</f>
        <v/>
      </c>
      <c r="R1024" t="str">
        <f>IF(ISBLANK('Data Input'!Q1024),"",'Data Input'!Q1024)</f>
        <v/>
      </c>
      <c r="T1024" s="2" t="e">
        <f t="shared" si="62"/>
        <v>#VALUE!</v>
      </c>
      <c r="U1024" s="12" t="e">
        <f t="shared" si="63"/>
        <v>#VALUE!</v>
      </c>
      <c r="V1024" s="2" t="str">
        <f t="shared" si="64"/>
        <v/>
      </c>
      <c r="W1024" s="12" t="str">
        <f t="shared" si="65"/>
        <v/>
      </c>
    </row>
    <row r="1025" spans="1:23">
      <c r="A1025" t="str">
        <f>IF(ISBLANK('Data Input'!A1025),"",'Data Input'!A1025)</f>
        <v/>
      </c>
      <c r="B1025" t="str">
        <f>IF(ISBLANK('Data Input'!B1025),"",'Data Input'!B1025)</f>
        <v/>
      </c>
      <c r="C1025" t="str">
        <f>IF(ISBLANK('Data Input'!C1025),"",'Data Input'!C1025)</f>
        <v/>
      </c>
      <c r="E1025" t="str">
        <f>IF(ISBLANK('Data Input'!D1025),"",'Data Input'!D1025)</f>
        <v/>
      </c>
      <c r="G1025" t="str">
        <f>IF(ISBLANK('Data Input'!E1025),"",'Data Input'!E1025)</f>
        <v/>
      </c>
      <c r="H1025" t="str">
        <f>IF(ISBLANK('Data Input'!F1025),"",'Data Input'!F1025)</f>
        <v/>
      </c>
      <c r="I1025" t="str">
        <f>IF(ISBLANK('Data Input'!G1025),"",'Data Input'!G1025)</f>
        <v/>
      </c>
      <c r="J1025" t="str">
        <f>IF(ISBLANK('Data Input'!I1025),"",'Data Input'!I1025)</f>
        <v/>
      </c>
      <c r="K1025" t="str">
        <f>IF(ISBLANK('Data Input'!J1025),"",'Data Input'!J1025)</f>
        <v/>
      </c>
      <c r="L1025" t="str">
        <f>IF(ISBLANK('Data Input'!K1025),"",'Data Input'!K1025)</f>
        <v/>
      </c>
      <c r="M1025" t="str">
        <f>IF(ISBLANK('Data Input'!L1025),"",'Data Input'!L1025)</f>
        <v/>
      </c>
      <c r="N1025" t="str">
        <f>IF(ISBLANK('Data Input'!M1025),"",'Data Input'!M1025)</f>
        <v/>
      </c>
      <c r="O1025" t="str">
        <f>IF(ISBLANK('Data Input'!N1025),"",'Data Input'!N1025)</f>
        <v/>
      </c>
      <c r="P1025" t="str">
        <f>IF(ISBLANK('Data Input'!O1025),"",'Data Input'!O1025)</f>
        <v/>
      </c>
      <c r="Q1025" t="str">
        <f>IF(ISBLANK('Data Input'!P1025),"",'Data Input'!P1025)</f>
        <v/>
      </c>
      <c r="R1025" t="str">
        <f>IF(ISBLANK('Data Input'!Q1025),"",'Data Input'!Q1025)</f>
        <v/>
      </c>
      <c r="T1025" s="2" t="e">
        <f t="shared" si="62"/>
        <v>#VALUE!</v>
      </c>
      <c r="U1025" s="12" t="e">
        <f t="shared" si="63"/>
        <v>#VALUE!</v>
      </c>
      <c r="V1025" s="2" t="str">
        <f t="shared" si="64"/>
        <v/>
      </c>
      <c r="W1025" s="12" t="str">
        <f t="shared" si="65"/>
        <v/>
      </c>
    </row>
    <row r="1026" spans="1:23">
      <c r="A1026" t="str">
        <f>IF(ISBLANK('Data Input'!A1026),"",'Data Input'!A1026)</f>
        <v/>
      </c>
      <c r="B1026" t="str">
        <f>IF(ISBLANK('Data Input'!B1026),"",'Data Input'!B1026)</f>
        <v/>
      </c>
      <c r="C1026" t="str">
        <f>IF(ISBLANK('Data Input'!C1026),"",'Data Input'!C1026)</f>
        <v/>
      </c>
      <c r="E1026" t="str">
        <f>IF(ISBLANK('Data Input'!D1026),"",'Data Input'!D1026)</f>
        <v/>
      </c>
      <c r="G1026" t="str">
        <f>IF(ISBLANK('Data Input'!E1026),"",'Data Input'!E1026)</f>
        <v/>
      </c>
      <c r="H1026" t="str">
        <f>IF(ISBLANK('Data Input'!F1026),"",'Data Input'!F1026)</f>
        <v/>
      </c>
      <c r="I1026" t="str">
        <f>IF(ISBLANK('Data Input'!G1026),"",'Data Input'!G1026)</f>
        <v/>
      </c>
      <c r="J1026" t="str">
        <f>IF(ISBLANK('Data Input'!I1026),"",'Data Input'!I1026)</f>
        <v/>
      </c>
      <c r="K1026" t="str">
        <f>IF(ISBLANK('Data Input'!J1026),"",'Data Input'!J1026)</f>
        <v/>
      </c>
      <c r="L1026" t="str">
        <f>IF(ISBLANK('Data Input'!K1026),"",'Data Input'!K1026)</f>
        <v/>
      </c>
      <c r="M1026" t="str">
        <f>IF(ISBLANK('Data Input'!L1026),"",'Data Input'!L1026)</f>
        <v/>
      </c>
      <c r="N1026" t="str">
        <f>IF(ISBLANK('Data Input'!M1026),"",'Data Input'!M1026)</f>
        <v/>
      </c>
      <c r="O1026" t="str">
        <f>IF(ISBLANK('Data Input'!N1026),"",'Data Input'!N1026)</f>
        <v/>
      </c>
      <c r="P1026" t="str">
        <f>IF(ISBLANK('Data Input'!O1026),"",'Data Input'!O1026)</f>
        <v/>
      </c>
      <c r="Q1026" t="str">
        <f>IF(ISBLANK('Data Input'!P1026),"",'Data Input'!P1026)</f>
        <v/>
      </c>
      <c r="R1026" t="str">
        <f>IF(ISBLANK('Data Input'!Q1026),"",'Data Input'!Q1026)</f>
        <v/>
      </c>
      <c r="T1026" s="2" t="e">
        <f t="shared" si="62"/>
        <v>#VALUE!</v>
      </c>
      <c r="U1026" s="12" t="e">
        <f t="shared" si="63"/>
        <v>#VALUE!</v>
      </c>
      <c r="V1026" s="2" t="str">
        <f t="shared" si="64"/>
        <v/>
      </c>
      <c r="W1026" s="12" t="str">
        <f t="shared" si="65"/>
        <v/>
      </c>
    </row>
    <row r="1027" spans="1:23">
      <c r="A1027" t="str">
        <f>IF(ISBLANK('Data Input'!A1027),"",'Data Input'!A1027)</f>
        <v/>
      </c>
      <c r="B1027" t="str">
        <f>IF(ISBLANK('Data Input'!B1027),"",'Data Input'!B1027)</f>
        <v/>
      </c>
      <c r="C1027" t="str">
        <f>IF(ISBLANK('Data Input'!C1027),"",'Data Input'!C1027)</f>
        <v/>
      </c>
      <c r="E1027" t="str">
        <f>IF(ISBLANK('Data Input'!D1027),"",'Data Input'!D1027)</f>
        <v/>
      </c>
      <c r="G1027" t="str">
        <f>IF(ISBLANK('Data Input'!E1027),"",'Data Input'!E1027)</f>
        <v/>
      </c>
      <c r="H1027" t="str">
        <f>IF(ISBLANK('Data Input'!F1027),"",'Data Input'!F1027)</f>
        <v/>
      </c>
      <c r="I1027" t="str">
        <f>IF(ISBLANK('Data Input'!G1027),"",'Data Input'!G1027)</f>
        <v/>
      </c>
      <c r="J1027" t="str">
        <f>IF(ISBLANK('Data Input'!I1027),"",'Data Input'!I1027)</f>
        <v/>
      </c>
      <c r="K1027" t="str">
        <f>IF(ISBLANK('Data Input'!J1027),"",'Data Input'!J1027)</f>
        <v/>
      </c>
      <c r="L1027" t="str">
        <f>IF(ISBLANK('Data Input'!K1027),"",'Data Input'!K1027)</f>
        <v/>
      </c>
      <c r="M1027" t="str">
        <f>IF(ISBLANK('Data Input'!L1027),"",'Data Input'!L1027)</f>
        <v/>
      </c>
      <c r="N1027" t="str">
        <f>IF(ISBLANK('Data Input'!M1027),"",'Data Input'!M1027)</f>
        <v/>
      </c>
      <c r="O1027" t="str">
        <f>IF(ISBLANK('Data Input'!N1027),"",'Data Input'!N1027)</f>
        <v/>
      </c>
      <c r="P1027" t="str">
        <f>IF(ISBLANK('Data Input'!O1027),"",'Data Input'!O1027)</f>
        <v/>
      </c>
      <c r="Q1027" t="str">
        <f>IF(ISBLANK('Data Input'!P1027),"",'Data Input'!P1027)</f>
        <v/>
      </c>
      <c r="R1027" t="str">
        <f>IF(ISBLANK('Data Input'!Q1027),"",'Data Input'!Q1027)</f>
        <v/>
      </c>
      <c r="T1027" s="2" t="e">
        <f t="shared" ref="T1027:T1090" si="66">DATEVALUE(LEFT(C1027,FIND(" ",C1027)))</f>
        <v>#VALUE!</v>
      </c>
      <c r="U1027" s="12" t="e">
        <f t="shared" ref="U1027:U1090" si="67">TIMEVALUE(CONCATENATE(MID(C1027,FIND(" ",C1027)+1,2),":",RIGHT(C1027,LEN(C1027)-FIND(" ",C1027)-2)))</f>
        <v>#VALUE!</v>
      </c>
      <c r="V1027" s="2" t="str">
        <f t="shared" si="64"/>
        <v/>
      </c>
      <c r="W1027" s="12" t="str">
        <f t="shared" si="65"/>
        <v/>
      </c>
    </row>
    <row r="1028" spans="1:23">
      <c r="A1028" t="str">
        <f>IF(ISBLANK('Data Input'!A1028),"",'Data Input'!A1028)</f>
        <v/>
      </c>
      <c r="B1028" t="str">
        <f>IF(ISBLANK('Data Input'!B1028),"",'Data Input'!B1028)</f>
        <v/>
      </c>
      <c r="C1028" t="str">
        <f>IF(ISBLANK('Data Input'!C1028),"",'Data Input'!C1028)</f>
        <v/>
      </c>
      <c r="E1028" t="str">
        <f>IF(ISBLANK('Data Input'!D1028),"",'Data Input'!D1028)</f>
        <v/>
      </c>
      <c r="G1028" t="str">
        <f>IF(ISBLANK('Data Input'!E1028),"",'Data Input'!E1028)</f>
        <v/>
      </c>
      <c r="H1028" t="str">
        <f>IF(ISBLANK('Data Input'!F1028),"",'Data Input'!F1028)</f>
        <v/>
      </c>
      <c r="I1028" t="str">
        <f>IF(ISBLANK('Data Input'!G1028),"",'Data Input'!G1028)</f>
        <v/>
      </c>
      <c r="J1028" t="str">
        <f>IF(ISBLANK('Data Input'!I1028),"",'Data Input'!I1028)</f>
        <v/>
      </c>
      <c r="K1028" t="str">
        <f>IF(ISBLANK('Data Input'!J1028),"",'Data Input'!J1028)</f>
        <v/>
      </c>
      <c r="L1028" t="str">
        <f>IF(ISBLANK('Data Input'!K1028),"",'Data Input'!K1028)</f>
        <v/>
      </c>
      <c r="M1028" t="str">
        <f>IF(ISBLANK('Data Input'!L1028),"",'Data Input'!L1028)</f>
        <v/>
      </c>
      <c r="N1028" t="str">
        <f>IF(ISBLANK('Data Input'!M1028),"",'Data Input'!M1028)</f>
        <v/>
      </c>
      <c r="O1028" t="str">
        <f>IF(ISBLANK('Data Input'!N1028),"",'Data Input'!N1028)</f>
        <v/>
      </c>
      <c r="P1028" t="str">
        <f>IF(ISBLANK('Data Input'!O1028),"",'Data Input'!O1028)</f>
        <v/>
      </c>
      <c r="Q1028" t="str">
        <f>IF(ISBLANK('Data Input'!P1028),"",'Data Input'!P1028)</f>
        <v/>
      </c>
      <c r="R1028" t="str">
        <f>IF(ISBLANK('Data Input'!Q1028),"",'Data Input'!Q1028)</f>
        <v/>
      </c>
      <c r="T1028" s="2" t="e">
        <f t="shared" si="66"/>
        <v>#VALUE!</v>
      </c>
      <c r="U1028" s="12" t="e">
        <f t="shared" si="67"/>
        <v>#VALUE!</v>
      </c>
      <c r="V1028" s="2" t="str">
        <f t="shared" si="64"/>
        <v/>
      </c>
      <c r="W1028" s="12" t="str">
        <f t="shared" si="65"/>
        <v/>
      </c>
    </row>
    <row r="1029" spans="1:23">
      <c r="A1029" t="str">
        <f>IF(ISBLANK('Data Input'!A1029),"",'Data Input'!A1029)</f>
        <v/>
      </c>
      <c r="B1029" t="str">
        <f>IF(ISBLANK('Data Input'!B1029),"",'Data Input'!B1029)</f>
        <v/>
      </c>
      <c r="C1029" t="str">
        <f>IF(ISBLANK('Data Input'!C1029),"",'Data Input'!C1029)</f>
        <v/>
      </c>
      <c r="E1029" t="str">
        <f>IF(ISBLANK('Data Input'!D1029),"",'Data Input'!D1029)</f>
        <v/>
      </c>
      <c r="G1029" t="str">
        <f>IF(ISBLANK('Data Input'!E1029),"",'Data Input'!E1029)</f>
        <v/>
      </c>
      <c r="H1029" t="str">
        <f>IF(ISBLANK('Data Input'!F1029),"",'Data Input'!F1029)</f>
        <v/>
      </c>
      <c r="I1029" t="str">
        <f>IF(ISBLANK('Data Input'!G1029),"",'Data Input'!G1029)</f>
        <v/>
      </c>
      <c r="J1029" t="str">
        <f>IF(ISBLANK('Data Input'!I1029),"",'Data Input'!I1029)</f>
        <v/>
      </c>
      <c r="K1029" t="str">
        <f>IF(ISBLANK('Data Input'!J1029),"",'Data Input'!J1029)</f>
        <v/>
      </c>
      <c r="L1029" t="str">
        <f>IF(ISBLANK('Data Input'!K1029),"",'Data Input'!K1029)</f>
        <v/>
      </c>
      <c r="M1029" t="str">
        <f>IF(ISBLANK('Data Input'!L1029),"",'Data Input'!L1029)</f>
        <v/>
      </c>
      <c r="N1029" t="str">
        <f>IF(ISBLANK('Data Input'!M1029),"",'Data Input'!M1029)</f>
        <v/>
      </c>
      <c r="O1029" t="str">
        <f>IF(ISBLANK('Data Input'!N1029),"",'Data Input'!N1029)</f>
        <v/>
      </c>
      <c r="P1029" t="str">
        <f>IF(ISBLANK('Data Input'!O1029),"",'Data Input'!O1029)</f>
        <v/>
      </c>
      <c r="Q1029" t="str">
        <f>IF(ISBLANK('Data Input'!P1029),"",'Data Input'!P1029)</f>
        <v/>
      </c>
      <c r="R1029" t="str">
        <f>IF(ISBLANK('Data Input'!Q1029),"",'Data Input'!Q1029)</f>
        <v/>
      </c>
      <c r="T1029" s="2" t="e">
        <f t="shared" si="66"/>
        <v>#VALUE!</v>
      </c>
      <c r="U1029" s="12" t="e">
        <f t="shared" si="67"/>
        <v>#VALUE!</v>
      </c>
      <c r="V1029" s="2" t="str">
        <f t="shared" si="64"/>
        <v/>
      </c>
      <c r="W1029" s="12" t="str">
        <f t="shared" si="65"/>
        <v/>
      </c>
    </row>
    <row r="1030" spans="1:23">
      <c r="A1030" t="str">
        <f>IF(ISBLANK('Data Input'!A1030),"",'Data Input'!A1030)</f>
        <v/>
      </c>
      <c r="B1030" t="str">
        <f>IF(ISBLANK('Data Input'!B1030),"",'Data Input'!B1030)</f>
        <v/>
      </c>
      <c r="C1030" t="str">
        <f>IF(ISBLANK('Data Input'!C1030),"",'Data Input'!C1030)</f>
        <v/>
      </c>
      <c r="E1030" t="str">
        <f>IF(ISBLANK('Data Input'!D1030),"",'Data Input'!D1030)</f>
        <v/>
      </c>
      <c r="G1030" t="str">
        <f>IF(ISBLANK('Data Input'!E1030),"",'Data Input'!E1030)</f>
        <v/>
      </c>
      <c r="H1030" t="str">
        <f>IF(ISBLANK('Data Input'!F1030),"",'Data Input'!F1030)</f>
        <v/>
      </c>
      <c r="I1030" t="str">
        <f>IF(ISBLANK('Data Input'!G1030),"",'Data Input'!G1030)</f>
        <v/>
      </c>
      <c r="J1030" t="str">
        <f>IF(ISBLANK('Data Input'!I1030),"",'Data Input'!I1030)</f>
        <v/>
      </c>
      <c r="K1030" t="str">
        <f>IF(ISBLANK('Data Input'!J1030),"",'Data Input'!J1030)</f>
        <v/>
      </c>
      <c r="L1030" t="str">
        <f>IF(ISBLANK('Data Input'!K1030),"",'Data Input'!K1030)</f>
        <v/>
      </c>
      <c r="M1030" t="str">
        <f>IF(ISBLANK('Data Input'!L1030),"",'Data Input'!L1030)</f>
        <v/>
      </c>
      <c r="N1030" t="str">
        <f>IF(ISBLANK('Data Input'!M1030),"",'Data Input'!M1030)</f>
        <v/>
      </c>
      <c r="O1030" t="str">
        <f>IF(ISBLANK('Data Input'!N1030),"",'Data Input'!N1030)</f>
        <v/>
      </c>
      <c r="P1030" t="str">
        <f>IF(ISBLANK('Data Input'!O1030),"",'Data Input'!O1030)</f>
        <v/>
      </c>
      <c r="Q1030" t="str">
        <f>IF(ISBLANK('Data Input'!P1030),"",'Data Input'!P1030)</f>
        <v/>
      </c>
      <c r="R1030" t="str">
        <f>IF(ISBLANK('Data Input'!Q1030),"",'Data Input'!Q1030)</f>
        <v/>
      </c>
      <c r="T1030" s="2" t="e">
        <f t="shared" si="66"/>
        <v>#VALUE!</v>
      </c>
      <c r="U1030" s="12" t="e">
        <f t="shared" si="67"/>
        <v>#VALUE!</v>
      </c>
      <c r="V1030" s="2" t="str">
        <f t="shared" si="64"/>
        <v/>
      </c>
      <c r="W1030" s="12" t="str">
        <f t="shared" si="65"/>
        <v/>
      </c>
    </row>
    <row r="1031" spans="1:23">
      <c r="A1031" t="str">
        <f>IF(ISBLANK('Data Input'!A1031),"",'Data Input'!A1031)</f>
        <v/>
      </c>
      <c r="B1031" t="str">
        <f>IF(ISBLANK('Data Input'!B1031),"",'Data Input'!B1031)</f>
        <v/>
      </c>
      <c r="C1031" t="str">
        <f>IF(ISBLANK('Data Input'!C1031),"",'Data Input'!C1031)</f>
        <v/>
      </c>
      <c r="E1031" t="str">
        <f>IF(ISBLANK('Data Input'!D1031),"",'Data Input'!D1031)</f>
        <v/>
      </c>
      <c r="G1031" t="str">
        <f>IF(ISBLANK('Data Input'!E1031),"",'Data Input'!E1031)</f>
        <v/>
      </c>
      <c r="H1031" t="str">
        <f>IF(ISBLANK('Data Input'!F1031),"",'Data Input'!F1031)</f>
        <v/>
      </c>
      <c r="I1031" t="str">
        <f>IF(ISBLANK('Data Input'!G1031),"",'Data Input'!G1031)</f>
        <v/>
      </c>
      <c r="J1031" t="str">
        <f>IF(ISBLANK('Data Input'!I1031),"",'Data Input'!I1031)</f>
        <v/>
      </c>
      <c r="K1031" t="str">
        <f>IF(ISBLANK('Data Input'!J1031),"",'Data Input'!J1031)</f>
        <v/>
      </c>
      <c r="L1031" t="str">
        <f>IF(ISBLANK('Data Input'!K1031),"",'Data Input'!K1031)</f>
        <v/>
      </c>
      <c r="M1031" t="str">
        <f>IF(ISBLANK('Data Input'!L1031),"",'Data Input'!L1031)</f>
        <v/>
      </c>
      <c r="N1031" t="str">
        <f>IF(ISBLANK('Data Input'!M1031),"",'Data Input'!M1031)</f>
        <v/>
      </c>
      <c r="O1031" t="str">
        <f>IF(ISBLANK('Data Input'!N1031),"",'Data Input'!N1031)</f>
        <v/>
      </c>
      <c r="P1031" t="str">
        <f>IF(ISBLANK('Data Input'!O1031),"",'Data Input'!O1031)</f>
        <v/>
      </c>
      <c r="Q1031" t="str">
        <f>IF(ISBLANK('Data Input'!P1031),"",'Data Input'!P1031)</f>
        <v/>
      </c>
      <c r="R1031" t="str">
        <f>IF(ISBLANK('Data Input'!Q1031),"",'Data Input'!Q1031)</f>
        <v/>
      </c>
      <c r="T1031" s="2" t="e">
        <f t="shared" si="66"/>
        <v>#VALUE!</v>
      </c>
      <c r="U1031" s="12" t="e">
        <f t="shared" si="67"/>
        <v>#VALUE!</v>
      </c>
      <c r="V1031" s="2" t="str">
        <f t="shared" ref="V1031:V1094" si="68">IFERROR(DATEVALUE(LEFT(E1031,FIND(" ",E1031))),E1031)</f>
        <v/>
      </c>
      <c r="W1031" s="12" t="str">
        <f t="shared" ref="W1031:W1094" si="69">IFERROR(TIMEVALUE(CONCATENATE(MID(E1031,FIND(" ",E1031)+1,2),":",RIGHT(E1031,LEN(E1031)-FIND(" ",E1031)-2))),E1031)</f>
        <v/>
      </c>
    </row>
    <row r="1032" spans="1:23">
      <c r="A1032" t="str">
        <f>IF(ISBLANK('Data Input'!A1032),"",'Data Input'!A1032)</f>
        <v/>
      </c>
      <c r="B1032" t="str">
        <f>IF(ISBLANK('Data Input'!B1032),"",'Data Input'!B1032)</f>
        <v/>
      </c>
      <c r="C1032" t="str">
        <f>IF(ISBLANK('Data Input'!C1032),"",'Data Input'!C1032)</f>
        <v/>
      </c>
      <c r="E1032" t="str">
        <f>IF(ISBLANK('Data Input'!D1032),"",'Data Input'!D1032)</f>
        <v/>
      </c>
      <c r="G1032" t="str">
        <f>IF(ISBLANK('Data Input'!E1032),"",'Data Input'!E1032)</f>
        <v/>
      </c>
      <c r="H1032" t="str">
        <f>IF(ISBLANK('Data Input'!F1032),"",'Data Input'!F1032)</f>
        <v/>
      </c>
      <c r="I1032" t="str">
        <f>IF(ISBLANK('Data Input'!G1032),"",'Data Input'!G1032)</f>
        <v/>
      </c>
      <c r="J1032" t="str">
        <f>IF(ISBLANK('Data Input'!I1032),"",'Data Input'!I1032)</f>
        <v/>
      </c>
      <c r="K1032" t="str">
        <f>IF(ISBLANK('Data Input'!J1032),"",'Data Input'!J1032)</f>
        <v/>
      </c>
      <c r="L1032" t="str">
        <f>IF(ISBLANK('Data Input'!K1032),"",'Data Input'!K1032)</f>
        <v/>
      </c>
      <c r="M1032" t="str">
        <f>IF(ISBLANK('Data Input'!L1032),"",'Data Input'!L1032)</f>
        <v/>
      </c>
      <c r="N1032" t="str">
        <f>IF(ISBLANK('Data Input'!M1032),"",'Data Input'!M1032)</f>
        <v/>
      </c>
      <c r="O1032" t="str">
        <f>IF(ISBLANK('Data Input'!N1032),"",'Data Input'!N1032)</f>
        <v/>
      </c>
      <c r="P1032" t="str">
        <f>IF(ISBLANK('Data Input'!O1032),"",'Data Input'!O1032)</f>
        <v/>
      </c>
      <c r="Q1032" t="str">
        <f>IF(ISBLANK('Data Input'!P1032),"",'Data Input'!P1032)</f>
        <v/>
      </c>
      <c r="R1032" t="str">
        <f>IF(ISBLANK('Data Input'!Q1032),"",'Data Input'!Q1032)</f>
        <v/>
      </c>
      <c r="T1032" s="2" t="e">
        <f t="shared" si="66"/>
        <v>#VALUE!</v>
      </c>
      <c r="U1032" s="12" t="e">
        <f t="shared" si="67"/>
        <v>#VALUE!</v>
      </c>
      <c r="V1032" s="2" t="str">
        <f t="shared" si="68"/>
        <v/>
      </c>
      <c r="W1032" s="12" t="str">
        <f t="shared" si="69"/>
        <v/>
      </c>
    </row>
    <row r="1033" spans="1:23">
      <c r="A1033" t="str">
        <f>IF(ISBLANK('Data Input'!A1033),"",'Data Input'!A1033)</f>
        <v/>
      </c>
      <c r="B1033" t="str">
        <f>IF(ISBLANK('Data Input'!B1033),"",'Data Input'!B1033)</f>
        <v/>
      </c>
      <c r="C1033" t="str">
        <f>IF(ISBLANK('Data Input'!C1033),"",'Data Input'!C1033)</f>
        <v/>
      </c>
      <c r="E1033" t="str">
        <f>IF(ISBLANK('Data Input'!D1033),"",'Data Input'!D1033)</f>
        <v/>
      </c>
      <c r="G1033" t="str">
        <f>IF(ISBLANK('Data Input'!E1033),"",'Data Input'!E1033)</f>
        <v/>
      </c>
      <c r="H1033" t="str">
        <f>IF(ISBLANK('Data Input'!F1033),"",'Data Input'!F1033)</f>
        <v/>
      </c>
      <c r="I1033" t="str">
        <f>IF(ISBLANK('Data Input'!G1033),"",'Data Input'!G1033)</f>
        <v/>
      </c>
      <c r="J1033" t="str">
        <f>IF(ISBLANK('Data Input'!I1033),"",'Data Input'!I1033)</f>
        <v/>
      </c>
      <c r="K1033" t="str">
        <f>IF(ISBLANK('Data Input'!J1033),"",'Data Input'!J1033)</f>
        <v/>
      </c>
      <c r="L1033" t="str">
        <f>IF(ISBLANK('Data Input'!K1033),"",'Data Input'!K1033)</f>
        <v/>
      </c>
      <c r="M1033" t="str">
        <f>IF(ISBLANK('Data Input'!L1033),"",'Data Input'!L1033)</f>
        <v/>
      </c>
      <c r="N1033" t="str">
        <f>IF(ISBLANK('Data Input'!M1033),"",'Data Input'!M1033)</f>
        <v/>
      </c>
      <c r="O1033" t="str">
        <f>IF(ISBLANK('Data Input'!N1033),"",'Data Input'!N1033)</f>
        <v/>
      </c>
      <c r="P1033" t="str">
        <f>IF(ISBLANK('Data Input'!O1033),"",'Data Input'!O1033)</f>
        <v/>
      </c>
      <c r="Q1033" t="str">
        <f>IF(ISBLANK('Data Input'!P1033),"",'Data Input'!P1033)</f>
        <v/>
      </c>
      <c r="R1033" t="str">
        <f>IF(ISBLANK('Data Input'!Q1033),"",'Data Input'!Q1033)</f>
        <v/>
      </c>
      <c r="T1033" s="2" t="e">
        <f t="shared" si="66"/>
        <v>#VALUE!</v>
      </c>
      <c r="U1033" s="12" t="e">
        <f t="shared" si="67"/>
        <v>#VALUE!</v>
      </c>
      <c r="V1033" s="2" t="str">
        <f t="shared" si="68"/>
        <v/>
      </c>
      <c r="W1033" s="12" t="str">
        <f t="shared" si="69"/>
        <v/>
      </c>
    </row>
    <row r="1034" spans="1:23">
      <c r="A1034" t="str">
        <f>IF(ISBLANK('Data Input'!A1034),"",'Data Input'!A1034)</f>
        <v/>
      </c>
      <c r="B1034" t="str">
        <f>IF(ISBLANK('Data Input'!B1034),"",'Data Input'!B1034)</f>
        <v/>
      </c>
      <c r="C1034" t="str">
        <f>IF(ISBLANK('Data Input'!C1034),"",'Data Input'!C1034)</f>
        <v/>
      </c>
      <c r="E1034" t="str">
        <f>IF(ISBLANK('Data Input'!D1034),"",'Data Input'!D1034)</f>
        <v/>
      </c>
      <c r="G1034" t="str">
        <f>IF(ISBLANK('Data Input'!E1034),"",'Data Input'!E1034)</f>
        <v/>
      </c>
      <c r="H1034" t="str">
        <f>IF(ISBLANK('Data Input'!F1034),"",'Data Input'!F1034)</f>
        <v/>
      </c>
      <c r="I1034" t="str">
        <f>IF(ISBLANK('Data Input'!G1034),"",'Data Input'!G1034)</f>
        <v/>
      </c>
      <c r="J1034" t="str">
        <f>IF(ISBLANK('Data Input'!I1034),"",'Data Input'!I1034)</f>
        <v/>
      </c>
      <c r="K1034" t="str">
        <f>IF(ISBLANK('Data Input'!J1034),"",'Data Input'!J1034)</f>
        <v/>
      </c>
      <c r="L1034" t="str">
        <f>IF(ISBLANK('Data Input'!K1034),"",'Data Input'!K1034)</f>
        <v/>
      </c>
      <c r="M1034" t="str">
        <f>IF(ISBLANK('Data Input'!L1034),"",'Data Input'!L1034)</f>
        <v/>
      </c>
      <c r="N1034" t="str">
        <f>IF(ISBLANK('Data Input'!M1034),"",'Data Input'!M1034)</f>
        <v/>
      </c>
      <c r="O1034" t="str">
        <f>IF(ISBLANK('Data Input'!N1034),"",'Data Input'!N1034)</f>
        <v/>
      </c>
      <c r="P1034" t="str">
        <f>IF(ISBLANK('Data Input'!O1034),"",'Data Input'!O1034)</f>
        <v/>
      </c>
      <c r="Q1034" t="str">
        <f>IF(ISBLANK('Data Input'!P1034),"",'Data Input'!P1034)</f>
        <v/>
      </c>
      <c r="R1034" t="str">
        <f>IF(ISBLANK('Data Input'!Q1034),"",'Data Input'!Q1034)</f>
        <v/>
      </c>
      <c r="T1034" s="2" t="e">
        <f t="shared" si="66"/>
        <v>#VALUE!</v>
      </c>
      <c r="U1034" s="12" t="e">
        <f t="shared" si="67"/>
        <v>#VALUE!</v>
      </c>
      <c r="V1034" s="2" t="str">
        <f t="shared" si="68"/>
        <v/>
      </c>
      <c r="W1034" s="12" t="str">
        <f t="shared" si="69"/>
        <v/>
      </c>
    </row>
    <row r="1035" spans="1:23">
      <c r="A1035" t="str">
        <f>IF(ISBLANK('Data Input'!A1035),"",'Data Input'!A1035)</f>
        <v/>
      </c>
      <c r="B1035" t="str">
        <f>IF(ISBLANK('Data Input'!B1035),"",'Data Input'!B1035)</f>
        <v/>
      </c>
      <c r="C1035" t="str">
        <f>IF(ISBLANK('Data Input'!C1035),"",'Data Input'!C1035)</f>
        <v/>
      </c>
      <c r="E1035" t="str">
        <f>IF(ISBLANK('Data Input'!D1035),"",'Data Input'!D1035)</f>
        <v/>
      </c>
      <c r="G1035" t="str">
        <f>IF(ISBLANK('Data Input'!E1035),"",'Data Input'!E1035)</f>
        <v/>
      </c>
      <c r="H1035" t="str">
        <f>IF(ISBLANK('Data Input'!F1035),"",'Data Input'!F1035)</f>
        <v/>
      </c>
      <c r="I1035" t="str">
        <f>IF(ISBLANK('Data Input'!G1035),"",'Data Input'!G1035)</f>
        <v/>
      </c>
      <c r="J1035" t="str">
        <f>IF(ISBLANK('Data Input'!I1035),"",'Data Input'!I1035)</f>
        <v/>
      </c>
      <c r="K1035" t="str">
        <f>IF(ISBLANK('Data Input'!J1035),"",'Data Input'!J1035)</f>
        <v/>
      </c>
      <c r="L1035" t="str">
        <f>IF(ISBLANK('Data Input'!K1035),"",'Data Input'!K1035)</f>
        <v/>
      </c>
      <c r="M1035" t="str">
        <f>IF(ISBLANK('Data Input'!L1035),"",'Data Input'!L1035)</f>
        <v/>
      </c>
      <c r="N1035" t="str">
        <f>IF(ISBLANK('Data Input'!M1035),"",'Data Input'!M1035)</f>
        <v/>
      </c>
      <c r="O1035" t="str">
        <f>IF(ISBLANK('Data Input'!N1035),"",'Data Input'!N1035)</f>
        <v/>
      </c>
      <c r="P1035" t="str">
        <f>IF(ISBLANK('Data Input'!O1035),"",'Data Input'!O1035)</f>
        <v/>
      </c>
      <c r="Q1035" t="str">
        <f>IF(ISBLANK('Data Input'!P1035),"",'Data Input'!P1035)</f>
        <v/>
      </c>
      <c r="R1035" t="str">
        <f>IF(ISBLANK('Data Input'!Q1035),"",'Data Input'!Q1035)</f>
        <v/>
      </c>
      <c r="T1035" s="2" t="e">
        <f t="shared" si="66"/>
        <v>#VALUE!</v>
      </c>
      <c r="U1035" s="12" t="e">
        <f t="shared" si="67"/>
        <v>#VALUE!</v>
      </c>
      <c r="V1035" s="2" t="str">
        <f t="shared" si="68"/>
        <v/>
      </c>
      <c r="W1035" s="12" t="str">
        <f t="shared" si="69"/>
        <v/>
      </c>
    </row>
    <row r="1036" spans="1:23">
      <c r="A1036" t="str">
        <f>IF(ISBLANK('Data Input'!A1036),"",'Data Input'!A1036)</f>
        <v/>
      </c>
      <c r="B1036" t="str">
        <f>IF(ISBLANK('Data Input'!B1036),"",'Data Input'!B1036)</f>
        <v/>
      </c>
      <c r="C1036" t="str">
        <f>IF(ISBLANK('Data Input'!C1036),"",'Data Input'!C1036)</f>
        <v/>
      </c>
      <c r="E1036" t="str">
        <f>IF(ISBLANK('Data Input'!D1036),"",'Data Input'!D1036)</f>
        <v/>
      </c>
      <c r="G1036" t="str">
        <f>IF(ISBLANK('Data Input'!E1036),"",'Data Input'!E1036)</f>
        <v/>
      </c>
      <c r="H1036" t="str">
        <f>IF(ISBLANK('Data Input'!F1036),"",'Data Input'!F1036)</f>
        <v/>
      </c>
      <c r="I1036" t="str">
        <f>IF(ISBLANK('Data Input'!G1036),"",'Data Input'!G1036)</f>
        <v/>
      </c>
      <c r="J1036" t="str">
        <f>IF(ISBLANK('Data Input'!I1036),"",'Data Input'!I1036)</f>
        <v/>
      </c>
      <c r="K1036" t="str">
        <f>IF(ISBLANK('Data Input'!J1036),"",'Data Input'!J1036)</f>
        <v/>
      </c>
      <c r="L1036" t="str">
        <f>IF(ISBLANK('Data Input'!K1036),"",'Data Input'!K1036)</f>
        <v/>
      </c>
      <c r="M1036" t="str">
        <f>IF(ISBLANK('Data Input'!L1036),"",'Data Input'!L1036)</f>
        <v/>
      </c>
      <c r="N1036" t="str">
        <f>IF(ISBLANK('Data Input'!M1036),"",'Data Input'!M1036)</f>
        <v/>
      </c>
      <c r="O1036" t="str">
        <f>IF(ISBLANK('Data Input'!N1036),"",'Data Input'!N1036)</f>
        <v/>
      </c>
      <c r="P1036" t="str">
        <f>IF(ISBLANK('Data Input'!O1036),"",'Data Input'!O1036)</f>
        <v/>
      </c>
      <c r="Q1036" t="str">
        <f>IF(ISBLANK('Data Input'!P1036),"",'Data Input'!P1036)</f>
        <v/>
      </c>
      <c r="R1036" t="str">
        <f>IF(ISBLANK('Data Input'!Q1036),"",'Data Input'!Q1036)</f>
        <v/>
      </c>
      <c r="T1036" s="2" t="e">
        <f t="shared" si="66"/>
        <v>#VALUE!</v>
      </c>
      <c r="U1036" s="12" t="e">
        <f t="shared" si="67"/>
        <v>#VALUE!</v>
      </c>
      <c r="V1036" s="2" t="str">
        <f t="shared" si="68"/>
        <v/>
      </c>
      <c r="W1036" s="12" t="str">
        <f t="shared" si="69"/>
        <v/>
      </c>
    </row>
    <row r="1037" spans="1:23">
      <c r="A1037" t="str">
        <f>IF(ISBLANK('Data Input'!A1037),"",'Data Input'!A1037)</f>
        <v/>
      </c>
      <c r="B1037" t="str">
        <f>IF(ISBLANK('Data Input'!B1037),"",'Data Input'!B1037)</f>
        <v/>
      </c>
      <c r="C1037" t="str">
        <f>IF(ISBLANK('Data Input'!C1037),"",'Data Input'!C1037)</f>
        <v/>
      </c>
      <c r="E1037" t="str">
        <f>IF(ISBLANK('Data Input'!D1037),"",'Data Input'!D1037)</f>
        <v/>
      </c>
      <c r="G1037" t="str">
        <f>IF(ISBLANK('Data Input'!E1037),"",'Data Input'!E1037)</f>
        <v/>
      </c>
      <c r="H1037" t="str">
        <f>IF(ISBLANK('Data Input'!F1037),"",'Data Input'!F1037)</f>
        <v/>
      </c>
      <c r="I1037" t="str">
        <f>IF(ISBLANK('Data Input'!G1037),"",'Data Input'!G1037)</f>
        <v/>
      </c>
      <c r="J1037" t="str">
        <f>IF(ISBLANK('Data Input'!I1037),"",'Data Input'!I1037)</f>
        <v/>
      </c>
      <c r="K1037" t="str">
        <f>IF(ISBLANK('Data Input'!J1037),"",'Data Input'!J1037)</f>
        <v/>
      </c>
      <c r="L1037" t="str">
        <f>IF(ISBLANK('Data Input'!K1037),"",'Data Input'!K1037)</f>
        <v/>
      </c>
      <c r="M1037" t="str">
        <f>IF(ISBLANK('Data Input'!L1037),"",'Data Input'!L1037)</f>
        <v/>
      </c>
      <c r="N1037" t="str">
        <f>IF(ISBLANK('Data Input'!M1037),"",'Data Input'!M1037)</f>
        <v/>
      </c>
      <c r="O1037" t="str">
        <f>IF(ISBLANK('Data Input'!N1037),"",'Data Input'!N1037)</f>
        <v/>
      </c>
      <c r="P1037" t="str">
        <f>IF(ISBLANK('Data Input'!O1037),"",'Data Input'!O1037)</f>
        <v/>
      </c>
      <c r="Q1037" t="str">
        <f>IF(ISBLANK('Data Input'!P1037),"",'Data Input'!P1037)</f>
        <v/>
      </c>
      <c r="R1037" t="str">
        <f>IF(ISBLANK('Data Input'!Q1037),"",'Data Input'!Q1037)</f>
        <v/>
      </c>
      <c r="T1037" s="2" t="e">
        <f t="shared" si="66"/>
        <v>#VALUE!</v>
      </c>
      <c r="U1037" s="12" t="e">
        <f t="shared" si="67"/>
        <v>#VALUE!</v>
      </c>
      <c r="V1037" s="2" t="str">
        <f t="shared" si="68"/>
        <v/>
      </c>
      <c r="W1037" s="12" t="str">
        <f t="shared" si="69"/>
        <v/>
      </c>
    </row>
    <row r="1038" spans="1:23">
      <c r="A1038" t="str">
        <f>IF(ISBLANK('Data Input'!A1038),"",'Data Input'!A1038)</f>
        <v/>
      </c>
      <c r="B1038" t="str">
        <f>IF(ISBLANK('Data Input'!B1038),"",'Data Input'!B1038)</f>
        <v/>
      </c>
      <c r="C1038" t="str">
        <f>IF(ISBLANK('Data Input'!C1038),"",'Data Input'!C1038)</f>
        <v/>
      </c>
      <c r="E1038" t="str">
        <f>IF(ISBLANK('Data Input'!D1038),"",'Data Input'!D1038)</f>
        <v/>
      </c>
      <c r="G1038" t="str">
        <f>IF(ISBLANK('Data Input'!E1038),"",'Data Input'!E1038)</f>
        <v/>
      </c>
      <c r="H1038" t="str">
        <f>IF(ISBLANK('Data Input'!F1038),"",'Data Input'!F1038)</f>
        <v/>
      </c>
      <c r="I1038" t="str">
        <f>IF(ISBLANK('Data Input'!G1038),"",'Data Input'!G1038)</f>
        <v/>
      </c>
      <c r="J1038" t="str">
        <f>IF(ISBLANK('Data Input'!I1038),"",'Data Input'!I1038)</f>
        <v/>
      </c>
      <c r="K1038" t="str">
        <f>IF(ISBLANK('Data Input'!J1038),"",'Data Input'!J1038)</f>
        <v/>
      </c>
      <c r="L1038" t="str">
        <f>IF(ISBLANK('Data Input'!K1038),"",'Data Input'!K1038)</f>
        <v/>
      </c>
      <c r="M1038" t="str">
        <f>IF(ISBLANK('Data Input'!L1038),"",'Data Input'!L1038)</f>
        <v/>
      </c>
      <c r="N1038" t="str">
        <f>IF(ISBLANK('Data Input'!M1038),"",'Data Input'!M1038)</f>
        <v/>
      </c>
      <c r="O1038" t="str">
        <f>IF(ISBLANK('Data Input'!N1038),"",'Data Input'!N1038)</f>
        <v/>
      </c>
      <c r="P1038" t="str">
        <f>IF(ISBLANK('Data Input'!O1038),"",'Data Input'!O1038)</f>
        <v/>
      </c>
      <c r="Q1038" t="str">
        <f>IF(ISBLANK('Data Input'!P1038),"",'Data Input'!P1038)</f>
        <v/>
      </c>
      <c r="R1038" t="str">
        <f>IF(ISBLANK('Data Input'!Q1038),"",'Data Input'!Q1038)</f>
        <v/>
      </c>
      <c r="T1038" s="2" t="e">
        <f t="shared" si="66"/>
        <v>#VALUE!</v>
      </c>
      <c r="U1038" s="12" t="e">
        <f t="shared" si="67"/>
        <v>#VALUE!</v>
      </c>
      <c r="V1038" s="2" t="str">
        <f t="shared" si="68"/>
        <v/>
      </c>
      <c r="W1038" s="12" t="str">
        <f t="shared" si="69"/>
        <v/>
      </c>
    </row>
    <row r="1039" spans="1:23">
      <c r="A1039" t="str">
        <f>IF(ISBLANK('Data Input'!A1039),"",'Data Input'!A1039)</f>
        <v/>
      </c>
      <c r="B1039" t="str">
        <f>IF(ISBLANK('Data Input'!B1039),"",'Data Input'!B1039)</f>
        <v/>
      </c>
      <c r="C1039" t="str">
        <f>IF(ISBLANK('Data Input'!C1039),"",'Data Input'!C1039)</f>
        <v/>
      </c>
      <c r="E1039" t="str">
        <f>IF(ISBLANK('Data Input'!D1039),"",'Data Input'!D1039)</f>
        <v/>
      </c>
      <c r="G1039" t="str">
        <f>IF(ISBLANK('Data Input'!E1039),"",'Data Input'!E1039)</f>
        <v/>
      </c>
      <c r="H1039" t="str">
        <f>IF(ISBLANK('Data Input'!F1039),"",'Data Input'!F1039)</f>
        <v/>
      </c>
      <c r="I1039" t="str">
        <f>IF(ISBLANK('Data Input'!G1039),"",'Data Input'!G1039)</f>
        <v/>
      </c>
      <c r="J1039" t="str">
        <f>IF(ISBLANK('Data Input'!I1039),"",'Data Input'!I1039)</f>
        <v/>
      </c>
      <c r="K1039" t="str">
        <f>IF(ISBLANK('Data Input'!J1039),"",'Data Input'!J1039)</f>
        <v/>
      </c>
      <c r="L1039" t="str">
        <f>IF(ISBLANK('Data Input'!K1039),"",'Data Input'!K1039)</f>
        <v/>
      </c>
      <c r="M1039" t="str">
        <f>IF(ISBLANK('Data Input'!L1039),"",'Data Input'!L1039)</f>
        <v/>
      </c>
      <c r="N1039" t="str">
        <f>IF(ISBLANK('Data Input'!M1039),"",'Data Input'!M1039)</f>
        <v/>
      </c>
      <c r="O1039" t="str">
        <f>IF(ISBLANK('Data Input'!N1039),"",'Data Input'!N1039)</f>
        <v/>
      </c>
      <c r="P1039" t="str">
        <f>IF(ISBLANK('Data Input'!O1039),"",'Data Input'!O1039)</f>
        <v/>
      </c>
      <c r="Q1039" t="str">
        <f>IF(ISBLANK('Data Input'!P1039),"",'Data Input'!P1039)</f>
        <v/>
      </c>
      <c r="R1039" t="str">
        <f>IF(ISBLANK('Data Input'!Q1039),"",'Data Input'!Q1039)</f>
        <v/>
      </c>
      <c r="T1039" s="2" t="e">
        <f t="shared" si="66"/>
        <v>#VALUE!</v>
      </c>
      <c r="U1039" s="12" t="e">
        <f t="shared" si="67"/>
        <v>#VALUE!</v>
      </c>
      <c r="V1039" s="2" t="str">
        <f t="shared" si="68"/>
        <v/>
      </c>
      <c r="W1039" s="12" t="str">
        <f t="shared" si="69"/>
        <v/>
      </c>
    </row>
    <row r="1040" spans="1:23">
      <c r="A1040" t="str">
        <f>IF(ISBLANK('Data Input'!A1040),"",'Data Input'!A1040)</f>
        <v/>
      </c>
      <c r="B1040" t="str">
        <f>IF(ISBLANK('Data Input'!B1040),"",'Data Input'!B1040)</f>
        <v/>
      </c>
      <c r="C1040" t="str">
        <f>IF(ISBLANK('Data Input'!C1040),"",'Data Input'!C1040)</f>
        <v/>
      </c>
      <c r="E1040" t="str">
        <f>IF(ISBLANK('Data Input'!D1040),"",'Data Input'!D1040)</f>
        <v/>
      </c>
      <c r="G1040" t="str">
        <f>IF(ISBLANK('Data Input'!E1040),"",'Data Input'!E1040)</f>
        <v/>
      </c>
      <c r="H1040" t="str">
        <f>IF(ISBLANK('Data Input'!F1040),"",'Data Input'!F1040)</f>
        <v/>
      </c>
      <c r="I1040" t="str">
        <f>IF(ISBLANK('Data Input'!G1040),"",'Data Input'!G1040)</f>
        <v/>
      </c>
      <c r="J1040" t="str">
        <f>IF(ISBLANK('Data Input'!I1040),"",'Data Input'!I1040)</f>
        <v/>
      </c>
      <c r="K1040" t="str">
        <f>IF(ISBLANK('Data Input'!J1040),"",'Data Input'!J1040)</f>
        <v/>
      </c>
      <c r="L1040" t="str">
        <f>IF(ISBLANK('Data Input'!K1040),"",'Data Input'!K1040)</f>
        <v/>
      </c>
      <c r="M1040" t="str">
        <f>IF(ISBLANK('Data Input'!L1040),"",'Data Input'!L1040)</f>
        <v/>
      </c>
      <c r="N1040" t="str">
        <f>IF(ISBLANK('Data Input'!M1040),"",'Data Input'!M1040)</f>
        <v/>
      </c>
      <c r="O1040" t="str">
        <f>IF(ISBLANK('Data Input'!N1040),"",'Data Input'!N1040)</f>
        <v/>
      </c>
      <c r="P1040" t="str">
        <f>IF(ISBLANK('Data Input'!O1040),"",'Data Input'!O1040)</f>
        <v/>
      </c>
      <c r="Q1040" t="str">
        <f>IF(ISBLANK('Data Input'!P1040),"",'Data Input'!P1040)</f>
        <v/>
      </c>
      <c r="R1040" t="str">
        <f>IF(ISBLANK('Data Input'!Q1040),"",'Data Input'!Q1040)</f>
        <v/>
      </c>
      <c r="T1040" s="2" t="e">
        <f t="shared" si="66"/>
        <v>#VALUE!</v>
      </c>
      <c r="U1040" s="12" t="e">
        <f t="shared" si="67"/>
        <v>#VALUE!</v>
      </c>
      <c r="V1040" s="2" t="str">
        <f t="shared" si="68"/>
        <v/>
      </c>
      <c r="W1040" s="12" t="str">
        <f t="shared" si="69"/>
        <v/>
      </c>
    </row>
    <row r="1041" spans="1:23">
      <c r="A1041" t="str">
        <f>IF(ISBLANK('Data Input'!A1041),"",'Data Input'!A1041)</f>
        <v/>
      </c>
      <c r="B1041" t="str">
        <f>IF(ISBLANK('Data Input'!B1041),"",'Data Input'!B1041)</f>
        <v/>
      </c>
      <c r="C1041" t="str">
        <f>IF(ISBLANK('Data Input'!C1041),"",'Data Input'!C1041)</f>
        <v/>
      </c>
      <c r="E1041" t="str">
        <f>IF(ISBLANK('Data Input'!D1041),"",'Data Input'!D1041)</f>
        <v/>
      </c>
      <c r="G1041" t="str">
        <f>IF(ISBLANK('Data Input'!E1041),"",'Data Input'!E1041)</f>
        <v/>
      </c>
      <c r="H1041" t="str">
        <f>IF(ISBLANK('Data Input'!F1041),"",'Data Input'!F1041)</f>
        <v/>
      </c>
      <c r="I1041" t="str">
        <f>IF(ISBLANK('Data Input'!G1041),"",'Data Input'!G1041)</f>
        <v/>
      </c>
      <c r="J1041" t="str">
        <f>IF(ISBLANK('Data Input'!I1041),"",'Data Input'!I1041)</f>
        <v/>
      </c>
      <c r="K1041" t="str">
        <f>IF(ISBLANK('Data Input'!J1041),"",'Data Input'!J1041)</f>
        <v/>
      </c>
      <c r="L1041" t="str">
        <f>IF(ISBLANK('Data Input'!K1041),"",'Data Input'!K1041)</f>
        <v/>
      </c>
      <c r="M1041" t="str">
        <f>IF(ISBLANK('Data Input'!L1041),"",'Data Input'!L1041)</f>
        <v/>
      </c>
      <c r="N1041" t="str">
        <f>IF(ISBLANK('Data Input'!M1041),"",'Data Input'!M1041)</f>
        <v/>
      </c>
      <c r="O1041" t="str">
        <f>IF(ISBLANK('Data Input'!N1041),"",'Data Input'!N1041)</f>
        <v/>
      </c>
      <c r="P1041" t="str">
        <f>IF(ISBLANK('Data Input'!O1041),"",'Data Input'!O1041)</f>
        <v/>
      </c>
      <c r="Q1041" t="str">
        <f>IF(ISBLANK('Data Input'!P1041),"",'Data Input'!P1041)</f>
        <v/>
      </c>
      <c r="R1041" t="str">
        <f>IF(ISBLANK('Data Input'!Q1041),"",'Data Input'!Q1041)</f>
        <v/>
      </c>
      <c r="T1041" s="2" t="e">
        <f t="shared" si="66"/>
        <v>#VALUE!</v>
      </c>
      <c r="U1041" s="12" t="e">
        <f t="shared" si="67"/>
        <v>#VALUE!</v>
      </c>
      <c r="V1041" s="2" t="str">
        <f t="shared" si="68"/>
        <v/>
      </c>
      <c r="W1041" s="12" t="str">
        <f t="shared" si="69"/>
        <v/>
      </c>
    </row>
    <row r="1042" spans="1:23">
      <c r="A1042" t="str">
        <f>IF(ISBLANK('Data Input'!A1042),"",'Data Input'!A1042)</f>
        <v/>
      </c>
      <c r="B1042" t="str">
        <f>IF(ISBLANK('Data Input'!B1042),"",'Data Input'!B1042)</f>
        <v/>
      </c>
      <c r="C1042" t="str">
        <f>IF(ISBLANK('Data Input'!C1042),"",'Data Input'!C1042)</f>
        <v/>
      </c>
      <c r="E1042" t="str">
        <f>IF(ISBLANK('Data Input'!D1042),"",'Data Input'!D1042)</f>
        <v/>
      </c>
      <c r="G1042" t="str">
        <f>IF(ISBLANK('Data Input'!E1042),"",'Data Input'!E1042)</f>
        <v/>
      </c>
      <c r="H1042" t="str">
        <f>IF(ISBLANK('Data Input'!F1042),"",'Data Input'!F1042)</f>
        <v/>
      </c>
      <c r="I1042" t="str">
        <f>IF(ISBLANK('Data Input'!G1042),"",'Data Input'!G1042)</f>
        <v/>
      </c>
      <c r="J1042" t="str">
        <f>IF(ISBLANK('Data Input'!I1042),"",'Data Input'!I1042)</f>
        <v/>
      </c>
      <c r="K1042" t="str">
        <f>IF(ISBLANK('Data Input'!J1042),"",'Data Input'!J1042)</f>
        <v/>
      </c>
      <c r="L1042" t="str">
        <f>IF(ISBLANK('Data Input'!K1042),"",'Data Input'!K1042)</f>
        <v/>
      </c>
      <c r="M1042" t="str">
        <f>IF(ISBLANK('Data Input'!L1042),"",'Data Input'!L1042)</f>
        <v/>
      </c>
      <c r="N1042" t="str">
        <f>IF(ISBLANK('Data Input'!M1042),"",'Data Input'!M1042)</f>
        <v/>
      </c>
      <c r="O1042" t="str">
        <f>IF(ISBLANK('Data Input'!N1042),"",'Data Input'!N1042)</f>
        <v/>
      </c>
      <c r="P1042" t="str">
        <f>IF(ISBLANK('Data Input'!O1042),"",'Data Input'!O1042)</f>
        <v/>
      </c>
      <c r="Q1042" t="str">
        <f>IF(ISBLANK('Data Input'!P1042),"",'Data Input'!P1042)</f>
        <v/>
      </c>
      <c r="R1042" t="str">
        <f>IF(ISBLANK('Data Input'!Q1042),"",'Data Input'!Q1042)</f>
        <v/>
      </c>
      <c r="T1042" s="2" t="e">
        <f t="shared" si="66"/>
        <v>#VALUE!</v>
      </c>
      <c r="U1042" s="12" t="e">
        <f t="shared" si="67"/>
        <v>#VALUE!</v>
      </c>
      <c r="V1042" s="2" t="str">
        <f t="shared" si="68"/>
        <v/>
      </c>
      <c r="W1042" s="12" t="str">
        <f t="shared" si="69"/>
        <v/>
      </c>
    </row>
    <row r="1043" spans="1:23">
      <c r="A1043" t="str">
        <f>IF(ISBLANK('Data Input'!A1043),"",'Data Input'!A1043)</f>
        <v/>
      </c>
      <c r="B1043" t="str">
        <f>IF(ISBLANK('Data Input'!B1043),"",'Data Input'!B1043)</f>
        <v/>
      </c>
      <c r="C1043" t="str">
        <f>IF(ISBLANK('Data Input'!C1043),"",'Data Input'!C1043)</f>
        <v/>
      </c>
      <c r="E1043" t="str">
        <f>IF(ISBLANK('Data Input'!D1043),"",'Data Input'!D1043)</f>
        <v/>
      </c>
      <c r="G1043" t="str">
        <f>IF(ISBLANK('Data Input'!E1043),"",'Data Input'!E1043)</f>
        <v/>
      </c>
      <c r="H1043" t="str">
        <f>IF(ISBLANK('Data Input'!F1043),"",'Data Input'!F1043)</f>
        <v/>
      </c>
      <c r="I1043" t="str">
        <f>IF(ISBLANK('Data Input'!G1043),"",'Data Input'!G1043)</f>
        <v/>
      </c>
      <c r="J1043" t="str">
        <f>IF(ISBLANK('Data Input'!I1043),"",'Data Input'!I1043)</f>
        <v/>
      </c>
      <c r="K1043" t="str">
        <f>IF(ISBLANK('Data Input'!J1043),"",'Data Input'!J1043)</f>
        <v/>
      </c>
      <c r="L1043" t="str">
        <f>IF(ISBLANK('Data Input'!K1043),"",'Data Input'!K1043)</f>
        <v/>
      </c>
      <c r="M1043" t="str">
        <f>IF(ISBLANK('Data Input'!L1043),"",'Data Input'!L1043)</f>
        <v/>
      </c>
      <c r="N1043" t="str">
        <f>IF(ISBLANK('Data Input'!M1043),"",'Data Input'!M1043)</f>
        <v/>
      </c>
      <c r="O1043" t="str">
        <f>IF(ISBLANK('Data Input'!N1043),"",'Data Input'!N1043)</f>
        <v/>
      </c>
      <c r="P1043" t="str">
        <f>IF(ISBLANK('Data Input'!O1043),"",'Data Input'!O1043)</f>
        <v/>
      </c>
      <c r="Q1043" t="str">
        <f>IF(ISBLANK('Data Input'!P1043),"",'Data Input'!P1043)</f>
        <v/>
      </c>
      <c r="R1043" t="str">
        <f>IF(ISBLANK('Data Input'!Q1043),"",'Data Input'!Q1043)</f>
        <v/>
      </c>
      <c r="T1043" s="2" t="e">
        <f t="shared" si="66"/>
        <v>#VALUE!</v>
      </c>
      <c r="U1043" s="12" t="e">
        <f t="shared" si="67"/>
        <v>#VALUE!</v>
      </c>
      <c r="V1043" s="2" t="str">
        <f t="shared" si="68"/>
        <v/>
      </c>
      <c r="W1043" s="12" t="str">
        <f t="shared" si="69"/>
        <v/>
      </c>
    </row>
    <row r="1044" spans="1:23">
      <c r="A1044" t="str">
        <f>IF(ISBLANK('Data Input'!A1044),"",'Data Input'!A1044)</f>
        <v/>
      </c>
      <c r="B1044" t="str">
        <f>IF(ISBLANK('Data Input'!B1044),"",'Data Input'!B1044)</f>
        <v/>
      </c>
      <c r="C1044" t="str">
        <f>IF(ISBLANK('Data Input'!C1044),"",'Data Input'!C1044)</f>
        <v/>
      </c>
      <c r="E1044" t="str">
        <f>IF(ISBLANK('Data Input'!D1044),"",'Data Input'!D1044)</f>
        <v/>
      </c>
      <c r="G1044" t="str">
        <f>IF(ISBLANK('Data Input'!E1044),"",'Data Input'!E1044)</f>
        <v/>
      </c>
      <c r="H1044" t="str">
        <f>IF(ISBLANK('Data Input'!F1044),"",'Data Input'!F1044)</f>
        <v/>
      </c>
      <c r="I1044" t="str">
        <f>IF(ISBLANK('Data Input'!G1044),"",'Data Input'!G1044)</f>
        <v/>
      </c>
      <c r="J1044" t="str">
        <f>IF(ISBLANK('Data Input'!I1044),"",'Data Input'!I1044)</f>
        <v/>
      </c>
      <c r="K1044" t="str">
        <f>IF(ISBLANK('Data Input'!J1044),"",'Data Input'!J1044)</f>
        <v/>
      </c>
      <c r="L1044" t="str">
        <f>IF(ISBLANK('Data Input'!K1044),"",'Data Input'!K1044)</f>
        <v/>
      </c>
      <c r="M1044" t="str">
        <f>IF(ISBLANK('Data Input'!L1044),"",'Data Input'!L1044)</f>
        <v/>
      </c>
      <c r="N1044" t="str">
        <f>IF(ISBLANK('Data Input'!M1044),"",'Data Input'!M1044)</f>
        <v/>
      </c>
      <c r="O1044" t="str">
        <f>IF(ISBLANK('Data Input'!N1044),"",'Data Input'!N1044)</f>
        <v/>
      </c>
      <c r="P1044" t="str">
        <f>IF(ISBLANK('Data Input'!O1044),"",'Data Input'!O1044)</f>
        <v/>
      </c>
      <c r="Q1044" t="str">
        <f>IF(ISBLANK('Data Input'!P1044),"",'Data Input'!P1044)</f>
        <v/>
      </c>
      <c r="R1044" t="str">
        <f>IF(ISBLANK('Data Input'!Q1044),"",'Data Input'!Q1044)</f>
        <v/>
      </c>
      <c r="T1044" s="2" t="e">
        <f t="shared" si="66"/>
        <v>#VALUE!</v>
      </c>
      <c r="U1044" s="12" t="e">
        <f t="shared" si="67"/>
        <v>#VALUE!</v>
      </c>
      <c r="V1044" s="2" t="str">
        <f t="shared" si="68"/>
        <v/>
      </c>
      <c r="W1044" s="12" t="str">
        <f t="shared" si="69"/>
        <v/>
      </c>
    </row>
    <row r="1045" spans="1:23">
      <c r="A1045" t="str">
        <f>IF(ISBLANK('Data Input'!A1045),"",'Data Input'!A1045)</f>
        <v/>
      </c>
      <c r="B1045" t="str">
        <f>IF(ISBLANK('Data Input'!B1045),"",'Data Input'!B1045)</f>
        <v/>
      </c>
      <c r="C1045" t="str">
        <f>IF(ISBLANK('Data Input'!C1045),"",'Data Input'!C1045)</f>
        <v/>
      </c>
      <c r="E1045" t="str">
        <f>IF(ISBLANK('Data Input'!D1045),"",'Data Input'!D1045)</f>
        <v/>
      </c>
      <c r="G1045" t="str">
        <f>IF(ISBLANK('Data Input'!E1045),"",'Data Input'!E1045)</f>
        <v/>
      </c>
      <c r="H1045" t="str">
        <f>IF(ISBLANK('Data Input'!F1045),"",'Data Input'!F1045)</f>
        <v/>
      </c>
      <c r="I1045" t="str">
        <f>IF(ISBLANK('Data Input'!G1045),"",'Data Input'!G1045)</f>
        <v/>
      </c>
      <c r="J1045" t="str">
        <f>IF(ISBLANK('Data Input'!I1045),"",'Data Input'!I1045)</f>
        <v/>
      </c>
      <c r="K1045" t="str">
        <f>IF(ISBLANK('Data Input'!J1045),"",'Data Input'!J1045)</f>
        <v/>
      </c>
      <c r="L1045" t="str">
        <f>IF(ISBLANK('Data Input'!K1045),"",'Data Input'!K1045)</f>
        <v/>
      </c>
      <c r="M1045" t="str">
        <f>IF(ISBLANK('Data Input'!L1045),"",'Data Input'!L1045)</f>
        <v/>
      </c>
      <c r="N1045" t="str">
        <f>IF(ISBLANK('Data Input'!M1045),"",'Data Input'!M1045)</f>
        <v/>
      </c>
      <c r="O1045" t="str">
        <f>IF(ISBLANK('Data Input'!N1045),"",'Data Input'!N1045)</f>
        <v/>
      </c>
      <c r="P1045" t="str">
        <f>IF(ISBLANK('Data Input'!O1045),"",'Data Input'!O1045)</f>
        <v/>
      </c>
      <c r="Q1045" t="str">
        <f>IF(ISBLANK('Data Input'!P1045),"",'Data Input'!P1045)</f>
        <v/>
      </c>
      <c r="R1045" t="str">
        <f>IF(ISBLANK('Data Input'!Q1045),"",'Data Input'!Q1045)</f>
        <v/>
      </c>
      <c r="T1045" s="2" t="e">
        <f t="shared" si="66"/>
        <v>#VALUE!</v>
      </c>
      <c r="U1045" s="12" t="e">
        <f t="shared" si="67"/>
        <v>#VALUE!</v>
      </c>
      <c r="V1045" s="2" t="str">
        <f t="shared" si="68"/>
        <v/>
      </c>
      <c r="W1045" s="12" t="str">
        <f t="shared" si="69"/>
        <v/>
      </c>
    </row>
    <row r="1046" spans="1:23">
      <c r="A1046" t="str">
        <f>IF(ISBLANK('Data Input'!A1046),"",'Data Input'!A1046)</f>
        <v/>
      </c>
      <c r="B1046" t="str">
        <f>IF(ISBLANK('Data Input'!B1046),"",'Data Input'!B1046)</f>
        <v/>
      </c>
      <c r="C1046" t="str">
        <f>IF(ISBLANK('Data Input'!C1046),"",'Data Input'!C1046)</f>
        <v/>
      </c>
      <c r="E1046" t="str">
        <f>IF(ISBLANK('Data Input'!D1046),"",'Data Input'!D1046)</f>
        <v/>
      </c>
      <c r="G1046" t="str">
        <f>IF(ISBLANK('Data Input'!E1046),"",'Data Input'!E1046)</f>
        <v/>
      </c>
      <c r="H1046" t="str">
        <f>IF(ISBLANK('Data Input'!F1046),"",'Data Input'!F1046)</f>
        <v/>
      </c>
      <c r="I1046" t="str">
        <f>IF(ISBLANK('Data Input'!G1046),"",'Data Input'!G1046)</f>
        <v/>
      </c>
      <c r="J1046" t="str">
        <f>IF(ISBLANK('Data Input'!I1046),"",'Data Input'!I1046)</f>
        <v/>
      </c>
      <c r="K1046" t="str">
        <f>IF(ISBLANK('Data Input'!J1046),"",'Data Input'!J1046)</f>
        <v/>
      </c>
      <c r="L1046" t="str">
        <f>IF(ISBLANK('Data Input'!K1046),"",'Data Input'!K1046)</f>
        <v/>
      </c>
      <c r="M1046" t="str">
        <f>IF(ISBLANK('Data Input'!L1046),"",'Data Input'!L1046)</f>
        <v/>
      </c>
      <c r="N1046" t="str">
        <f>IF(ISBLANK('Data Input'!M1046),"",'Data Input'!M1046)</f>
        <v/>
      </c>
      <c r="O1046" t="str">
        <f>IF(ISBLANK('Data Input'!N1046),"",'Data Input'!N1046)</f>
        <v/>
      </c>
      <c r="P1046" t="str">
        <f>IF(ISBLANK('Data Input'!O1046),"",'Data Input'!O1046)</f>
        <v/>
      </c>
      <c r="Q1046" t="str">
        <f>IF(ISBLANK('Data Input'!P1046),"",'Data Input'!P1046)</f>
        <v/>
      </c>
      <c r="R1046" t="str">
        <f>IF(ISBLANK('Data Input'!Q1046),"",'Data Input'!Q1046)</f>
        <v/>
      </c>
      <c r="T1046" s="2" t="e">
        <f t="shared" si="66"/>
        <v>#VALUE!</v>
      </c>
      <c r="U1046" s="12" t="e">
        <f t="shared" si="67"/>
        <v>#VALUE!</v>
      </c>
      <c r="V1046" s="2" t="str">
        <f t="shared" si="68"/>
        <v/>
      </c>
      <c r="W1046" s="12" t="str">
        <f t="shared" si="69"/>
        <v/>
      </c>
    </row>
    <row r="1047" spans="1:23">
      <c r="A1047" t="str">
        <f>IF(ISBLANK('Data Input'!A1047),"",'Data Input'!A1047)</f>
        <v/>
      </c>
      <c r="B1047" t="str">
        <f>IF(ISBLANK('Data Input'!B1047),"",'Data Input'!B1047)</f>
        <v/>
      </c>
      <c r="C1047" t="str">
        <f>IF(ISBLANK('Data Input'!C1047),"",'Data Input'!C1047)</f>
        <v/>
      </c>
      <c r="E1047" t="str">
        <f>IF(ISBLANK('Data Input'!D1047),"",'Data Input'!D1047)</f>
        <v/>
      </c>
      <c r="G1047" t="str">
        <f>IF(ISBLANK('Data Input'!E1047),"",'Data Input'!E1047)</f>
        <v/>
      </c>
      <c r="H1047" t="str">
        <f>IF(ISBLANK('Data Input'!F1047),"",'Data Input'!F1047)</f>
        <v/>
      </c>
      <c r="I1047" t="str">
        <f>IF(ISBLANK('Data Input'!G1047),"",'Data Input'!G1047)</f>
        <v/>
      </c>
      <c r="J1047" t="str">
        <f>IF(ISBLANK('Data Input'!I1047),"",'Data Input'!I1047)</f>
        <v/>
      </c>
      <c r="K1047" t="str">
        <f>IF(ISBLANK('Data Input'!J1047),"",'Data Input'!J1047)</f>
        <v/>
      </c>
      <c r="L1047" t="str">
        <f>IF(ISBLANK('Data Input'!K1047),"",'Data Input'!K1047)</f>
        <v/>
      </c>
      <c r="M1047" t="str">
        <f>IF(ISBLANK('Data Input'!L1047),"",'Data Input'!L1047)</f>
        <v/>
      </c>
      <c r="N1047" t="str">
        <f>IF(ISBLANK('Data Input'!M1047),"",'Data Input'!M1047)</f>
        <v/>
      </c>
      <c r="O1047" t="str">
        <f>IF(ISBLANK('Data Input'!N1047),"",'Data Input'!N1047)</f>
        <v/>
      </c>
      <c r="P1047" t="str">
        <f>IF(ISBLANK('Data Input'!O1047),"",'Data Input'!O1047)</f>
        <v/>
      </c>
      <c r="Q1047" t="str">
        <f>IF(ISBLANK('Data Input'!P1047),"",'Data Input'!P1047)</f>
        <v/>
      </c>
      <c r="R1047" t="str">
        <f>IF(ISBLANK('Data Input'!Q1047),"",'Data Input'!Q1047)</f>
        <v/>
      </c>
      <c r="T1047" s="2" t="e">
        <f t="shared" si="66"/>
        <v>#VALUE!</v>
      </c>
      <c r="U1047" s="12" t="e">
        <f t="shared" si="67"/>
        <v>#VALUE!</v>
      </c>
      <c r="V1047" s="2" t="str">
        <f t="shared" si="68"/>
        <v/>
      </c>
      <c r="W1047" s="12" t="str">
        <f t="shared" si="69"/>
        <v/>
      </c>
    </row>
    <row r="1048" spans="1:23">
      <c r="A1048" t="str">
        <f>IF(ISBLANK('Data Input'!A1048),"",'Data Input'!A1048)</f>
        <v/>
      </c>
      <c r="B1048" t="str">
        <f>IF(ISBLANK('Data Input'!B1048),"",'Data Input'!B1048)</f>
        <v/>
      </c>
      <c r="C1048" t="str">
        <f>IF(ISBLANK('Data Input'!C1048),"",'Data Input'!C1048)</f>
        <v/>
      </c>
      <c r="E1048" t="str">
        <f>IF(ISBLANK('Data Input'!D1048),"",'Data Input'!D1048)</f>
        <v/>
      </c>
      <c r="G1048" t="str">
        <f>IF(ISBLANK('Data Input'!E1048),"",'Data Input'!E1048)</f>
        <v/>
      </c>
      <c r="H1048" t="str">
        <f>IF(ISBLANK('Data Input'!F1048),"",'Data Input'!F1048)</f>
        <v/>
      </c>
      <c r="I1048" t="str">
        <f>IF(ISBLANK('Data Input'!G1048),"",'Data Input'!G1048)</f>
        <v/>
      </c>
      <c r="J1048" t="str">
        <f>IF(ISBLANK('Data Input'!I1048),"",'Data Input'!I1048)</f>
        <v/>
      </c>
      <c r="K1048" t="str">
        <f>IF(ISBLANK('Data Input'!J1048),"",'Data Input'!J1048)</f>
        <v/>
      </c>
      <c r="L1048" t="str">
        <f>IF(ISBLANK('Data Input'!K1048),"",'Data Input'!K1048)</f>
        <v/>
      </c>
      <c r="M1048" t="str">
        <f>IF(ISBLANK('Data Input'!L1048),"",'Data Input'!L1048)</f>
        <v/>
      </c>
      <c r="N1048" t="str">
        <f>IF(ISBLANK('Data Input'!M1048),"",'Data Input'!M1048)</f>
        <v/>
      </c>
      <c r="O1048" t="str">
        <f>IF(ISBLANK('Data Input'!N1048),"",'Data Input'!N1048)</f>
        <v/>
      </c>
      <c r="P1048" t="str">
        <f>IF(ISBLANK('Data Input'!O1048),"",'Data Input'!O1048)</f>
        <v/>
      </c>
      <c r="Q1048" t="str">
        <f>IF(ISBLANK('Data Input'!P1048),"",'Data Input'!P1048)</f>
        <v/>
      </c>
      <c r="R1048" t="str">
        <f>IF(ISBLANK('Data Input'!Q1048),"",'Data Input'!Q1048)</f>
        <v/>
      </c>
      <c r="T1048" s="2" t="e">
        <f t="shared" si="66"/>
        <v>#VALUE!</v>
      </c>
      <c r="U1048" s="12" t="e">
        <f t="shared" si="67"/>
        <v>#VALUE!</v>
      </c>
      <c r="V1048" s="2" t="str">
        <f t="shared" si="68"/>
        <v/>
      </c>
      <c r="W1048" s="12" t="str">
        <f t="shared" si="69"/>
        <v/>
      </c>
    </row>
    <row r="1049" spans="1:23">
      <c r="A1049" t="str">
        <f>IF(ISBLANK('Data Input'!A1049),"",'Data Input'!A1049)</f>
        <v/>
      </c>
      <c r="B1049" t="str">
        <f>IF(ISBLANK('Data Input'!B1049),"",'Data Input'!B1049)</f>
        <v/>
      </c>
      <c r="C1049" t="str">
        <f>IF(ISBLANK('Data Input'!C1049),"",'Data Input'!C1049)</f>
        <v/>
      </c>
      <c r="E1049" t="str">
        <f>IF(ISBLANK('Data Input'!D1049),"",'Data Input'!D1049)</f>
        <v/>
      </c>
      <c r="G1049" t="str">
        <f>IF(ISBLANK('Data Input'!E1049),"",'Data Input'!E1049)</f>
        <v/>
      </c>
      <c r="H1049" t="str">
        <f>IF(ISBLANK('Data Input'!F1049),"",'Data Input'!F1049)</f>
        <v/>
      </c>
      <c r="I1049" t="str">
        <f>IF(ISBLANK('Data Input'!G1049),"",'Data Input'!G1049)</f>
        <v/>
      </c>
      <c r="J1049" t="str">
        <f>IF(ISBLANK('Data Input'!I1049),"",'Data Input'!I1049)</f>
        <v/>
      </c>
      <c r="K1049" t="str">
        <f>IF(ISBLANK('Data Input'!J1049),"",'Data Input'!J1049)</f>
        <v/>
      </c>
      <c r="L1049" t="str">
        <f>IF(ISBLANK('Data Input'!K1049),"",'Data Input'!K1049)</f>
        <v/>
      </c>
      <c r="M1049" t="str">
        <f>IF(ISBLANK('Data Input'!L1049),"",'Data Input'!L1049)</f>
        <v/>
      </c>
      <c r="N1049" t="str">
        <f>IF(ISBLANK('Data Input'!M1049),"",'Data Input'!M1049)</f>
        <v/>
      </c>
      <c r="O1049" t="str">
        <f>IF(ISBLANK('Data Input'!N1049),"",'Data Input'!N1049)</f>
        <v/>
      </c>
      <c r="P1049" t="str">
        <f>IF(ISBLANK('Data Input'!O1049),"",'Data Input'!O1049)</f>
        <v/>
      </c>
      <c r="Q1049" t="str">
        <f>IF(ISBLANK('Data Input'!P1049),"",'Data Input'!P1049)</f>
        <v/>
      </c>
      <c r="R1049" t="str">
        <f>IF(ISBLANK('Data Input'!Q1049),"",'Data Input'!Q1049)</f>
        <v/>
      </c>
      <c r="T1049" s="2" t="e">
        <f t="shared" si="66"/>
        <v>#VALUE!</v>
      </c>
      <c r="U1049" s="12" t="e">
        <f t="shared" si="67"/>
        <v>#VALUE!</v>
      </c>
      <c r="V1049" s="2" t="str">
        <f t="shared" si="68"/>
        <v/>
      </c>
      <c r="W1049" s="12" t="str">
        <f t="shared" si="69"/>
        <v/>
      </c>
    </row>
    <row r="1050" spans="1:23">
      <c r="A1050" t="str">
        <f>IF(ISBLANK('Data Input'!A1050),"",'Data Input'!A1050)</f>
        <v/>
      </c>
      <c r="B1050" t="str">
        <f>IF(ISBLANK('Data Input'!B1050),"",'Data Input'!B1050)</f>
        <v/>
      </c>
      <c r="C1050" t="str">
        <f>IF(ISBLANK('Data Input'!C1050),"",'Data Input'!C1050)</f>
        <v/>
      </c>
      <c r="E1050" t="str">
        <f>IF(ISBLANK('Data Input'!D1050),"",'Data Input'!D1050)</f>
        <v/>
      </c>
      <c r="G1050" t="str">
        <f>IF(ISBLANK('Data Input'!E1050),"",'Data Input'!E1050)</f>
        <v/>
      </c>
      <c r="H1050" t="str">
        <f>IF(ISBLANK('Data Input'!F1050),"",'Data Input'!F1050)</f>
        <v/>
      </c>
      <c r="I1050" t="str">
        <f>IF(ISBLANK('Data Input'!G1050),"",'Data Input'!G1050)</f>
        <v/>
      </c>
      <c r="J1050" t="str">
        <f>IF(ISBLANK('Data Input'!I1050),"",'Data Input'!I1050)</f>
        <v/>
      </c>
      <c r="K1050" t="str">
        <f>IF(ISBLANK('Data Input'!J1050),"",'Data Input'!J1050)</f>
        <v/>
      </c>
      <c r="L1050" t="str">
        <f>IF(ISBLANK('Data Input'!K1050),"",'Data Input'!K1050)</f>
        <v/>
      </c>
      <c r="M1050" t="str">
        <f>IF(ISBLANK('Data Input'!L1050),"",'Data Input'!L1050)</f>
        <v/>
      </c>
      <c r="N1050" t="str">
        <f>IF(ISBLANK('Data Input'!M1050),"",'Data Input'!M1050)</f>
        <v/>
      </c>
      <c r="O1050" t="str">
        <f>IF(ISBLANK('Data Input'!N1050),"",'Data Input'!N1050)</f>
        <v/>
      </c>
      <c r="P1050" t="str">
        <f>IF(ISBLANK('Data Input'!O1050),"",'Data Input'!O1050)</f>
        <v/>
      </c>
      <c r="Q1050" t="str">
        <f>IF(ISBLANK('Data Input'!P1050),"",'Data Input'!P1050)</f>
        <v/>
      </c>
      <c r="R1050" t="str">
        <f>IF(ISBLANK('Data Input'!Q1050),"",'Data Input'!Q1050)</f>
        <v/>
      </c>
      <c r="T1050" s="2" t="e">
        <f t="shared" si="66"/>
        <v>#VALUE!</v>
      </c>
      <c r="U1050" s="12" t="e">
        <f t="shared" si="67"/>
        <v>#VALUE!</v>
      </c>
      <c r="V1050" s="2" t="str">
        <f t="shared" si="68"/>
        <v/>
      </c>
      <c r="W1050" s="12" t="str">
        <f t="shared" si="69"/>
        <v/>
      </c>
    </row>
    <row r="1051" spans="1:23">
      <c r="A1051" t="str">
        <f>IF(ISBLANK('Data Input'!A1051),"",'Data Input'!A1051)</f>
        <v/>
      </c>
      <c r="B1051" t="str">
        <f>IF(ISBLANK('Data Input'!B1051),"",'Data Input'!B1051)</f>
        <v/>
      </c>
      <c r="C1051" t="str">
        <f>IF(ISBLANK('Data Input'!C1051),"",'Data Input'!C1051)</f>
        <v/>
      </c>
      <c r="E1051" t="str">
        <f>IF(ISBLANK('Data Input'!D1051),"",'Data Input'!D1051)</f>
        <v/>
      </c>
      <c r="G1051" t="str">
        <f>IF(ISBLANK('Data Input'!E1051),"",'Data Input'!E1051)</f>
        <v/>
      </c>
      <c r="H1051" t="str">
        <f>IF(ISBLANK('Data Input'!F1051),"",'Data Input'!F1051)</f>
        <v/>
      </c>
      <c r="I1051" t="str">
        <f>IF(ISBLANK('Data Input'!G1051),"",'Data Input'!G1051)</f>
        <v/>
      </c>
      <c r="J1051" t="str">
        <f>IF(ISBLANK('Data Input'!I1051),"",'Data Input'!I1051)</f>
        <v/>
      </c>
      <c r="K1051" t="str">
        <f>IF(ISBLANK('Data Input'!J1051),"",'Data Input'!J1051)</f>
        <v/>
      </c>
      <c r="L1051" t="str">
        <f>IF(ISBLANK('Data Input'!K1051),"",'Data Input'!K1051)</f>
        <v/>
      </c>
      <c r="M1051" t="str">
        <f>IF(ISBLANK('Data Input'!L1051),"",'Data Input'!L1051)</f>
        <v/>
      </c>
      <c r="N1051" t="str">
        <f>IF(ISBLANK('Data Input'!M1051),"",'Data Input'!M1051)</f>
        <v/>
      </c>
      <c r="O1051" t="str">
        <f>IF(ISBLANK('Data Input'!N1051),"",'Data Input'!N1051)</f>
        <v/>
      </c>
      <c r="P1051" t="str">
        <f>IF(ISBLANK('Data Input'!O1051),"",'Data Input'!O1051)</f>
        <v/>
      </c>
      <c r="Q1051" t="str">
        <f>IF(ISBLANK('Data Input'!P1051),"",'Data Input'!P1051)</f>
        <v/>
      </c>
      <c r="R1051" t="str">
        <f>IF(ISBLANK('Data Input'!Q1051),"",'Data Input'!Q1051)</f>
        <v/>
      </c>
      <c r="T1051" s="2" t="e">
        <f t="shared" si="66"/>
        <v>#VALUE!</v>
      </c>
      <c r="U1051" s="12" t="e">
        <f t="shared" si="67"/>
        <v>#VALUE!</v>
      </c>
      <c r="V1051" s="2" t="str">
        <f t="shared" si="68"/>
        <v/>
      </c>
      <c r="W1051" s="12" t="str">
        <f t="shared" si="69"/>
        <v/>
      </c>
    </row>
    <row r="1052" spans="1:23">
      <c r="A1052" t="str">
        <f>IF(ISBLANK('Data Input'!A1052),"",'Data Input'!A1052)</f>
        <v/>
      </c>
      <c r="B1052" t="str">
        <f>IF(ISBLANK('Data Input'!B1052),"",'Data Input'!B1052)</f>
        <v/>
      </c>
      <c r="C1052" t="str">
        <f>IF(ISBLANK('Data Input'!C1052),"",'Data Input'!C1052)</f>
        <v/>
      </c>
      <c r="E1052" t="str">
        <f>IF(ISBLANK('Data Input'!D1052),"",'Data Input'!D1052)</f>
        <v/>
      </c>
      <c r="G1052" t="str">
        <f>IF(ISBLANK('Data Input'!E1052),"",'Data Input'!E1052)</f>
        <v/>
      </c>
      <c r="H1052" t="str">
        <f>IF(ISBLANK('Data Input'!F1052),"",'Data Input'!F1052)</f>
        <v/>
      </c>
      <c r="I1052" t="str">
        <f>IF(ISBLANK('Data Input'!G1052),"",'Data Input'!G1052)</f>
        <v/>
      </c>
      <c r="J1052" t="str">
        <f>IF(ISBLANK('Data Input'!I1052),"",'Data Input'!I1052)</f>
        <v/>
      </c>
      <c r="K1052" t="str">
        <f>IF(ISBLANK('Data Input'!J1052),"",'Data Input'!J1052)</f>
        <v/>
      </c>
      <c r="L1052" t="str">
        <f>IF(ISBLANK('Data Input'!K1052),"",'Data Input'!K1052)</f>
        <v/>
      </c>
      <c r="M1052" t="str">
        <f>IF(ISBLANK('Data Input'!L1052),"",'Data Input'!L1052)</f>
        <v/>
      </c>
      <c r="N1052" t="str">
        <f>IF(ISBLANK('Data Input'!M1052),"",'Data Input'!M1052)</f>
        <v/>
      </c>
      <c r="O1052" t="str">
        <f>IF(ISBLANK('Data Input'!N1052),"",'Data Input'!N1052)</f>
        <v/>
      </c>
      <c r="P1052" t="str">
        <f>IF(ISBLANK('Data Input'!O1052),"",'Data Input'!O1052)</f>
        <v/>
      </c>
      <c r="Q1052" t="str">
        <f>IF(ISBLANK('Data Input'!P1052),"",'Data Input'!P1052)</f>
        <v/>
      </c>
      <c r="R1052" t="str">
        <f>IF(ISBLANK('Data Input'!Q1052),"",'Data Input'!Q1052)</f>
        <v/>
      </c>
      <c r="T1052" s="2" t="e">
        <f t="shared" si="66"/>
        <v>#VALUE!</v>
      </c>
      <c r="U1052" s="12" t="e">
        <f t="shared" si="67"/>
        <v>#VALUE!</v>
      </c>
      <c r="V1052" s="2" t="str">
        <f t="shared" si="68"/>
        <v/>
      </c>
      <c r="W1052" s="12" t="str">
        <f t="shared" si="69"/>
        <v/>
      </c>
    </row>
    <row r="1053" spans="1:23">
      <c r="A1053" t="str">
        <f>IF(ISBLANK('Data Input'!A1053),"",'Data Input'!A1053)</f>
        <v/>
      </c>
      <c r="B1053" t="str">
        <f>IF(ISBLANK('Data Input'!B1053),"",'Data Input'!B1053)</f>
        <v/>
      </c>
      <c r="C1053" t="str">
        <f>IF(ISBLANK('Data Input'!C1053),"",'Data Input'!C1053)</f>
        <v/>
      </c>
      <c r="E1053" t="str">
        <f>IF(ISBLANK('Data Input'!D1053),"",'Data Input'!D1053)</f>
        <v/>
      </c>
      <c r="G1053" t="str">
        <f>IF(ISBLANK('Data Input'!E1053),"",'Data Input'!E1053)</f>
        <v/>
      </c>
      <c r="H1053" t="str">
        <f>IF(ISBLANK('Data Input'!F1053),"",'Data Input'!F1053)</f>
        <v/>
      </c>
      <c r="I1053" t="str">
        <f>IF(ISBLANK('Data Input'!G1053),"",'Data Input'!G1053)</f>
        <v/>
      </c>
      <c r="J1053" t="str">
        <f>IF(ISBLANK('Data Input'!I1053),"",'Data Input'!I1053)</f>
        <v/>
      </c>
      <c r="K1053" t="str">
        <f>IF(ISBLANK('Data Input'!J1053),"",'Data Input'!J1053)</f>
        <v/>
      </c>
      <c r="L1053" t="str">
        <f>IF(ISBLANK('Data Input'!K1053),"",'Data Input'!K1053)</f>
        <v/>
      </c>
      <c r="M1053" t="str">
        <f>IF(ISBLANK('Data Input'!L1053),"",'Data Input'!L1053)</f>
        <v/>
      </c>
      <c r="N1053" t="str">
        <f>IF(ISBLANK('Data Input'!M1053),"",'Data Input'!M1053)</f>
        <v/>
      </c>
      <c r="O1053" t="str">
        <f>IF(ISBLANK('Data Input'!N1053),"",'Data Input'!N1053)</f>
        <v/>
      </c>
      <c r="P1053" t="str">
        <f>IF(ISBLANK('Data Input'!O1053),"",'Data Input'!O1053)</f>
        <v/>
      </c>
      <c r="Q1053" t="str">
        <f>IF(ISBLANK('Data Input'!P1053),"",'Data Input'!P1053)</f>
        <v/>
      </c>
      <c r="R1053" t="str">
        <f>IF(ISBLANK('Data Input'!Q1053),"",'Data Input'!Q1053)</f>
        <v/>
      </c>
      <c r="T1053" s="2" t="e">
        <f t="shared" si="66"/>
        <v>#VALUE!</v>
      </c>
      <c r="U1053" s="12" t="e">
        <f t="shared" si="67"/>
        <v>#VALUE!</v>
      </c>
      <c r="V1053" s="2" t="str">
        <f t="shared" si="68"/>
        <v/>
      </c>
      <c r="W1053" s="12" t="str">
        <f t="shared" si="69"/>
        <v/>
      </c>
    </row>
    <row r="1054" spans="1:23">
      <c r="A1054" t="str">
        <f>IF(ISBLANK('Data Input'!A1054),"",'Data Input'!A1054)</f>
        <v/>
      </c>
      <c r="B1054" t="str">
        <f>IF(ISBLANK('Data Input'!B1054),"",'Data Input'!B1054)</f>
        <v/>
      </c>
      <c r="C1054" t="str">
        <f>IF(ISBLANK('Data Input'!C1054),"",'Data Input'!C1054)</f>
        <v/>
      </c>
      <c r="E1054" t="str">
        <f>IF(ISBLANK('Data Input'!D1054),"",'Data Input'!D1054)</f>
        <v/>
      </c>
      <c r="G1054" t="str">
        <f>IF(ISBLANK('Data Input'!E1054),"",'Data Input'!E1054)</f>
        <v/>
      </c>
      <c r="H1054" t="str">
        <f>IF(ISBLANK('Data Input'!F1054),"",'Data Input'!F1054)</f>
        <v/>
      </c>
      <c r="I1054" t="str">
        <f>IF(ISBLANK('Data Input'!G1054),"",'Data Input'!G1054)</f>
        <v/>
      </c>
      <c r="J1054" t="str">
        <f>IF(ISBLANK('Data Input'!I1054),"",'Data Input'!I1054)</f>
        <v/>
      </c>
      <c r="K1054" t="str">
        <f>IF(ISBLANK('Data Input'!J1054),"",'Data Input'!J1054)</f>
        <v/>
      </c>
      <c r="L1054" t="str">
        <f>IF(ISBLANK('Data Input'!K1054),"",'Data Input'!K1054)</f>
        <v/>
      </c>
      <c r="M1054" t="str">
        <f>IF(ISBLANK('Data Input'!L1054),"",'Data Input'!L1054)</f>
        <v/>
      </c>
      <c r="N1054" t="str">
        <f>IF(ISBLANK('Data Input'!M1054),"",'Data Input'!M1054)</f>
        <v/>
      </c>
      <c r="O1054" t="str">
        <f>IF(ISBLANK('Data Input'!N1054),"",'Data Input'!N1054)</f>
        <v/>
      </c>
      <c r="P1054" t="str">
        <f>IF(ISBLANK('Data Input'!O1054),"",'Data Input'!O1054)</f>
        <v/>
      </c>
      <c r="Q1054" t="str">
        <f>IF(ISBLANK('Data Input'!P1054),"",'Data Input'!P1054)</f>
        <v/>
      </c>
      <c r="R1054" t="str">
        <f>IF(ISBLANK('Data Input'!Q1054),"",'Data Input'!Q1054)</f>
        <v/>
      </c>
      <c r="T1054" s="2" t="e">
        <f t="shared" si="66"/>
        <v>#VALUE!</v>
      </c>
      <c r="U1054" s="12" t="e">
        <f t="shared" si="67"/>
        <v>#VALUE!</v>
      </c>
      <c r="V1054" s="2" t="str">
        <f t="shared" si="68"/>
        <v/>
      </c>
      <c r="W1054" s="12" t="str">
        <f t="shared" si="69"/>
        <v/>
      </c>
    </row>
    <row r="1055" spans="1:23">
      <c r="A1055" t="str">
        <f>IF(ISBLANK('Data Input'!A1055),"",'Data Input'!A1055)</f>
        <v/>
      </c>
      <c r="B1055" t="str">
        <f>IF(ISBLANK('Data Input'!B1055),"",'Data Input'!B1055)</f>
        <v/>
      </c>
      <c r="C1055" t="str">
        <f>IF(ISBLANK('Data Input'!C1055),"",'Data Input'!C1055)</f>
        <v/>
      </c>
      <c r="E1055" t="str">
        <f>IF(ISBLANK('Data Input'!D1055),"",'Data Input'!D1055)</f>
        <v/>
      </c>
      <c r="G1055" t="str">
        <f>IF(ISBLANK('Data Input'!E1055),"",'Data Input'!E1055)</f>
        <v/>
      </c>
      <c r="H1055" t="str">
        <f>IF(ISBLANK('Data Input'!F1055),"",'Data Input'!F1055)</f>
        <v/>
      </c>
      <c r="I1055" t="str">
        <f>IF(ISBLANK('Data Input'!G1055),"",'Data Input'!G1055)</f>
        <v/>
      </c>
      <c r="J1055" t="str">
        <f>IF(ISBLANK('Data Input'!I1055),"",'Data Input'!I1055)</f>
        <v/>
      </c>
      <c r="K1055" t="str">
        <f>IF(ISBLANK('Data Input'!J1055),"",'Data Input'!J1055)</f>
        <v/>
      </c>
      <c r="L1055" t="str">
        <f>IF(ISBLANK('Data Input'!K1055),"",'Data Input'!K1055)</f>
        <v/>
      </c>
      <c r="M1055" t="str">
        <f>IF(ISBLANK('Data Input'!L1055),"",'Data Input'!L1055)</f>
        <v/>
      </c>
      <c r="N1055" t="str">
        <f>IF(ISBLANK('Data Input'!M1055),"",'Data Input'!M1055)</f>
        <v/>
      </c>
      <c r="O1055" t="str">
        <f>IF(ISBLANK('Data Input'!N1055),"",'Data Input'!N1055)</f>
        <v/>
      </c>
      <c r="P1055" t="str">
        <f>IF(ISBLANK('Data Input'!O1055),"",'Data Input'!O1055)</f>
        <v/>
      </c>
      <c r="Q1055" t="str">
        <f>IF(ISBLANK('Data Input'!P1055),"",'Data Input'!P1055)</f>
        <v/>
      </c>
      <c r="R1055" t="str">
        <f>IF(ISBLANK('Data Input'!Q1055),"",'Data Input'!Q1055)</f>
        <v/>
      </c>
      <c r="T1055" s="2" t="e">
        <f t="shared" si="66"/>
        <v>#VALUE!</v>
      </c>
      <c r="U1055" s="12" t="e">
        <f t="shared" si="67"/>
        <v>#VALUE!</v>
      </c>
      <c r="V1055" s="2" t="str">
        <f t="shared" si="68"/>
        <v/>
      </c>
      <c r="W1055" s="12" t="str">
        <f t="shared" si="69"/>
        <v/>
      </c>
    </row>
    <row r="1056" spans="1:23">
      <c r="A1056" t="str">
        <f>IF(ISBLANK('Data Input'!A1056),"",'Data Input'!A1056)</f>
        <v/>
      </c>
      <c r="B1056" t="str">
        <f>IF(ISBLANK('Data Input'!B1056),"",'Data Input'!B1056)</f>
        <v/>
      </c>
      <c r="C1056" t="str">
        <f>IF(ISBLANK('Data Input'!C1056),"",'Data Input'!C1056)</f>
        <v/>
      </c>
      <c r="E1056" t="str">
        <f>IF(ISBLANK('Data Input'!D1056),"",'Data Input'!D1056)</f>
        <v/>
      </c>
      <c r="G1056" t="str">
        <f>IF(ISBLANK('Data Input'!E1056),"",'Data Input'!E1056)</f>
        <v/>
      </c>
      <c r="H1056" t="str">
        <f>IF(ISBLANK('Data Input'!F1056),"",'Data Input'!F1056)</f>
        <v/>
      </c>
      <c r="I1056" t="str">
        <f>IF(ISBLANK('Data Input'!G1056),"",'Data Input'!G1056)</f>
        <v/>
      </c>
      <c r="J1056" t="str">
        <f>IF(ISBLANK('Data Input'!I1056),"",'Data Input'!I1056)</f>
        <v/>
      </c>
      <c r="K1056" t="str">
        <f>IF(ISBLANK('Data Input'!J1056),"",'Data Input'!J1056)</f>
        <v/>
      </c>
      <c r="L1056" t="str">
        <f>IF(ISBLANK('Data Input'!K1056),"",'Data Input'!K1056)</f>
        <v/>
      </c>
      <c r="M1056" t="str">
        <f>IF(ISBLANK('Data Input'!L1056),"",'Data Input'!L1056)</f>
        <v/>
      </c>
      <c r="N1056" t="str">
        <f>IF(ISBLANK('Data Input'!M1056),"",'Data Input'!M1056)</f>
        <v/>
      </c>
      <c r="O1056" t="str">
        <f>IF(ISBLANK('Data Input'!N1056),"",'Data Input'!N1056)</f>
        <v/>
      </c>
      <c r="P1056" t="str">
        <f>IF(ISBLANK('Data Input'!O1056),"",'Data Input'!O1056)</f>
        <v/>
      </c>
      <c r="Q1056" t="str">
        <f>IF(ISBLANK('Data Input'!P1056),"",'Data Input'!P1056)</f>
        <v/>
      </c>
      <c r="R1056" t="str">
        <f>IF(ISBLANK('Data Input'!Q1056),"",'Data Input'!Q1056)</f>
        <v/>
      </c>
      <c r="T1056" s="2" t="e">
        <f t="shared" si="66"/>
        <v>#VALUE!</v>
      </c>
      <c r="U1056" s="12" t="e">
        <f t="shared" si="67"/>
        <v>#VALUE!</v>
      </c>
      <c r="V1056" s="2" t="str">
        <f t="shared" si="68"/>
        <v/>
      </c>
      <c r="W1056" s="12" t="str">
        <f t="shared" si="69"/>
        <v/>
      </c>
    </row>
    <row r="1057" spans="1:23">
      <c r="A1057" t="str">
        <f>IF(ISBLANK('Data Input'!A1057),"",'Data Input'!A1057)</f>
        <v/>
      </c>
      <c r="B1057" t="str">
        <f>IF(ISBLANK('Data Input'!B1057),"",'Data Input'!B1057)</f>
        <v/>
      </c>
      <c r="C1057" t="str">
        <f>IF(ISBLANK('Data Input'!C1057),"",'Data Input'!C1057)</f>
        <v/>
      </c>
      <c r="E1057" t="str">
        <f>IF(ISBLANK('Data Input'!D1057),"",'Data Input'!D1057)</f>
        <v/>
      </c>
      <c r="G1057" t="str">
        <f>IF(ISBLANK('Data Input'!E1057),"",'Data Input'!E1057)</f>
        <v/>
      </c>
      <c r="H1057" t="str">
        <f>IF(ISBLANK('Data Input'!F1057),"",'Data Input'!F1057)</f>
        <v/>
      </c>
      <c r="I1057" t="str">
        <f>IF(ISBLANK('Data Input'!G1057),"",'Data Input'!G1057)</f>
        <v/>
      </c>
      <c r="J1057" t="str">
        <f>IF(ISBLANK('Data Input'!I1057),"",'Data Input'!I1057)</f>
        <v/>
      </c>
      <c r="K1057" t="str">
        <f>IF(ISBLANK('Data Input'!J1057),"",'Data Input'!J1057)</f>
        <v/>
      </c>
      <c r="L1057" t="str">
        <f>IF(ISBLANK('Data Input'!K1057),"",'Data Input'!K1057)</f>
        <v/>
      </c>
      <c r="M1057" t="str">
        <f>IF(ISBLANK('Data Input'!L1057),"",'Data Input'!L1057)</f>
        <v/>
      </c>
      <c r="N1057" t="str">
        <f>IF(ISBLANK('Data Input'!M1057),"",'Data Input'!M1057)</f>
        <v/>
      </c>
      <c r="O1057" t="str">
        <f>IF(ISBLANK('Data Input'!N1057),"",'Data Input'!N1057)</f>
        <v/>
      </c>
      <c r="P1057" t="str">
        <f>IF(ISBLANK('Data Input'!O1057),"",'Data Input'!O1057)</f>
        <v/>
      </c>
      <c r="Q1057" t="str">
        <f>IF(ISBLANK('Data Input'!P1057),"",'Data Input'!P1057)</f>
        <v/>
      </c>
      <c r="R1057" t="str">
        <f>IF(ISBLANK('Data Input'!Q1057),"",'Data Input'!Q1057)</f>
        <v/>
      </c>
      <c r="T1057" s="2" t="e">
        <f t="shared" si="66"/>
        <v>#VALUE!</v>
      </c>
      <c r="U1057" s="12" t="e">
        <f t="shared" si="67"/>
        <v>#VALUE!</v>
      </c>
      <c r="V1057" s="2" t="str">
        <f t="shared" si="68"/>
        <v/>
      </c>
      <c r="W1057" s="12" t="str">
        <f t="shared" si="69"/>
        <v/>
      </c>
    </row>
    <row r="1058" spans="1:23">
      <c r="A1058" t="str">
        <f>IF(ISBLANK('Data Input'!A1058),"",'Data Input'!A1058)</f>
        <v/>
      </c>
      <c r="B1058" t="str">
        <f>IF(ISBLANK('Data Input'!B1058),"",'Data Input'!B1058)</f>
        <v/>
      </c>
      <c r="C1058" t="str">
        <f>IF(ISBLANK('Data Input'!C1058),"",'Data Input'!C1058)</f>
        <v/>
      </c>
      <c r="E1058" t="str">
        <f>IF(ISBLANK('Data Input'!D1058),"",'Data Input'!D1058)</f>
        <v/>
      </c>
      <c r="G1058" t="str">
        <f>IF(ISBLANK('Data Input'!E1058),"",'Data Input'!E1058)</f>
        <v/>
      </c>
      <c r="H1058" t="str">
        <f>IF(ISBLANK('Data Input'!F1058),"",'Data Input'!F1058)</f>
        <v/>
      </c>
      <c r="I1058" t="str">
        <f>IF(ISBLANK('Data Input'!G1058),"",'Data Input'!G1058)</f>
        <v/>
      </c>
      <c r="J1058" t="str">
        <f>IF(ISBLANK('Data Input'!I1058),"",'Data Input'!I1058)</f>
        <v/>
      </c>
      <c r="K1058" t="str">
        <f>IF(ISBLANK('Data Input'!J1058),"",'Data Input'!J1058)</f>
        <v/>
      </c>
      <c r="L1058" t="str">
        <f>IF(ISBLANK('Data Input'!K1058),"",'Data Input'!K1058)</f>
        <v/>
      </c>
      <c r="M1058" t="str">
        <f>IF(ISBLANK('Data Input'!L1058),"",'Data Input'!L1058)</f>
        <v/>
      </c>
      <c r="N1058" t="str">
        <f>IF(ISBLANK('Data Input'!M1058),"",'Data Input'!M1058)</f>
        <v/>
      </c>
      <c r="O1058" t="str">
        <f>IF(ISBLANK('Data Input'!N1058),"",'Data Input'!N1058)</f>
        <v/>
      </c>
      <c r="P1058" t="str">
        <f>IF(ISBLANK('Data Input'!O1058),"",'Data Input'!O1058)</f>
        <v/>
      </c>
      <c r="Q1058" t="str">
        <f>IF(ISBLANK('Data Input'!P1058),"",'Data Input'!P1058)</f>
        <v/>
      </c>
      <c r="R1058" t="str">
        <f>IF(ISBLANK('Data Input'!Q1058),"",'Data Input'!Q1058)</f>
        <v/>
      </c>
      <c r="T1058" s="2" t="e">
        <f t="shared" si="66"/>
        <v>#VALUE!</v>
      </c>
      <c r="U1058" s="12" t="e">
        <f t="shared" si="67"/>
        <v>#VALUE!</v>
      </c>
      <c r="V1058" s="2" t="str">
        <f t="shared" si="68"/>
        <v/>
      </c>
      <c r="W1058" s="12" t="str">
        <f t="shared" si="69"/>
        <v/>
      </c>
    </row>
    <row r="1059" spans="1:23">
      <c r="A1059" t="str">
        <f>IF(ISBLANK('Data Input'!A1059),"",'Data Input'!A1059)</f>
        <v/>
      </c>
      <c r="B1059" t="str">
        <f>IF(ISBLANK('Data Input'!B1059),"",'Data Input'!B1059)</f>
        <v/>
      </c>
      <c r="C1059" t="str">
        <f>IF(ISBLANK('Data Input'!C1059),"",'Data Input'!C1059)</f>
        <v/>
      </c>
      <c r="E1059" t="str">
        <f>IF(ISBLANK('Data Input'!D1059),"",'Data Input'!D1059)</f>
        <v/>
      </c>
      <c r="G1059" t="str">
        <f>IF(ISBLANK('Data Input'!E1059),"",'Data Input'!E1059)</f>
        <v/>
      </c>
      <c r="H1059" t="str">
        <f>IF(ISBLANK('Data Input'!F1059),"",'Data Input'!F1059)</f>
        <v/>
      </c>
      <c r="I1059" t="str">
        <f>IF(ISBLANK('Data Input'!G1059),"",'Data Input'!G1059)</f>
        <v/>
      </c>
      <c r="J1059" t="str">
        <f>IF(ISBLANK('Data Input'!I1059),"",'Data Input'!I1059)</f>
        <v/>
      </c>
      <c r="K1059" t="str">
        <f>IF(ISBLANK('Data Input'!J1059),"",'Data Input'!J1059)</f>
        <v/>
      </c>
      <c r="L1059" t="str">
        <f>IF(ISBLANK('Data Input'!K1059),"",'Data Input'!K1059)</f>
        <v/>
      </c>
      <c r="M1059" t="str">
        <f>IF(ISBLANK('Data Input'!L1059),"",'Data Input'!L1059)</f>
        <v/>
      </c>
      <c r="N1059" t="str">
        <f>IF(ISBLANK('Data Input'!M1059),"",'Data Input'!M1059)</f>
        <v/>
      </c>
      <c r="O1059" t="str">
        <f>IF(ISBLANK('Data Input'!N1059),"",'Data Input'!N1059)</f>
        <v/>
      </c>
      <c r="P1059" t="str">
        <f>IF(ISBLANK('Data Input'!O1059),"",'Data Input'!O1059)</f>
        <v/>
      </c>
      <c r="Q1059" t="str">
        <f>IF(ISBLANK('Data Input'!P1059),"",'Data Input'!P1059)</f>
        <v/>
      </c>
      <c r="R1059" t="str">
        <f>IF(ISBLANK('Data Input'!Q1059),"",'Data Input'!Q1059)</f>
        <v/>
      </c>
      <c r="T1059" s="2" t="e">
        <f t="shared" si="66"/>
        <v>#VALUE!</v>
      </c>
      <c r="U1059" s="12" t="e">
        <f t="shared" si="67"/>
        <v>#VALUE!</v>
      </c>
      <c r="V1059" s="2" t="str">
        <f t="shared" si="68"/>
        <v/>
      </c>
      <c r="W1059" s="12" t="str">
        <f t="shared" si="69"/>
        <v/>
      </c>
    </row>
    <row r="1060" spans="1:23">
      <c r="A1060" t="str">
        <f>IF(ISBLANK('Data Input'!A1060),"",'Data Input'!A1060)</f>
        <v/>
      </c>
      <c r="B1060" t="str">
        <f>IF(ISBLANK('Data Input'!B1060),"",'Data Input'!B1060)</f>
        <v/>
      </c>
      <c r="C1060" t="str">
        <f>IF(ISBLANK('Data Input'!C1060),"",'Data Input'!C1060)</f>
        <v/>
      </c>
      <c r="E1060" t="str">
        <f>IF(ISBLANK('Data Input'!D1060),"",'Data Input'!D1060)</f>
        <v/>
      </c>
      <c r="G1060" t="str">
        <f>IF(ISBLANK('Data Input'!E1060),"",'Data Input'!E1060)</f>
        <v/>
      </c>
      <c r="H1060" t="str">
        <f>IF(ISBLANK('Data Input'!F1060),"",'Data Input'!F1060)</f>
        <v/>
      </c>
      <c r="I1060" t="str">
        <f>IF(ISBLANK('Data Input'!G1060),"",'Data Input'!G1060)</f>
        <v/>
      </c>
      <c r="J1060" t="str">
        <f>IF(ISBLANK('Data Input'!I1060),"",'Data Input'!I1060)</f>
        <v/>
      </c>
      <c r="K1060" t="str">
        <f>IF(ISBLANK('Data Input'!J1060),"",'Data Input'!J1060)</f>
        <v/>
      </c>
      <c r="L1060" t="str">
        <f>IF(ISBLANK('Data Input'!K1060),"",'Data Input'!K1060)</f>
        <v/>
      </c>
      <c r="M1060" t="str">
        <f>IF(ISBLANK('Data Input'!L1060),"",'Data Input'!L1060)</f>
        <v/>
      </c>
      <c r="N1060" t="str">
        <f>IF(ISBLANK('Data Input'!M1060),"",'Data Input'!M1060)</f>
        <v/>
      </c>
      <c r="O1060" t="str">
        <f>IF(ISBLANK('Data Input'!N1060),"",'Data Input'!N1060)</f>
        <v/>
      </c>
      <c r="P1060" t="str">
        <f>IF(ISBLANK('Data Input'!O1060),"",'Data Input'!O1060)</f>
        <v/>
      </c>
      <c r="Q1060" t="str">
        <f>IF(ISBLANK('Data Input'!P1060),"",'Data Input'!P1060)</f>
        <v/>
      </c>
      <c r="R1060" t="str">
        <f>IF(ISBLANK('Data Input'!Q1060),"",'Data Input'!Q1060)</f>
        <v/>
      </c>
      <c r="T1060" s="2" t="e">
        <f t="shared" si="66"/>
        <v>#VALUE!</v>
      </c>
      <c r="U1060" s="12" t="e">
        <f t="shared" si="67"/>
        <v>#VALUE!</v>
      </c>
      <c r="V1060" s="2" t="str">
        <f t="shared" si="68"/>
        <v/>
      </c>
      <c r="W1060" s="12" t="str">
        <f t="shared" si="69"/>
        <v/>
      </c>
    </row>
    <row r="1061" spans="1:23">
      <c r="A1061" t="str">
        <f>IF(ISBLANK('Data Input'!A1061),"",'Data Input'!A1061)</f>
        <v/>
      </c>
      <c r="B1061" t="str">
        <f>IF(ISBLANK('Data Input'!B1061),"",'Data Input'!B1061)</f>
        <v/>
      </c>
      <c r="C1061" t="str">
        <f>IF(ISBLANK('Data Input'!C1061),"",'Data Input'!C1061)</f>
        <v/>
      </c>
      <c r="E1061" t="str">
        <f>IF(ISBLANK('Data Input'!D1061),"",'Data Input'!D1061)</f>
        <v/>
      </c>
      <c r="G1061" t="str">
        <f>IF(ISBLANK('Data Input'!E1061),"",'Data Input'!E1061)</f>
        <v/>
      </c>
      <c r="H1061" t="str">
        <f>IF(ISBLANK('Data Input'!F1061),"",'Data Input'!F1061)</f>
        <v/>
      </c>
      <c r="I1061" t="str">
        <f>IF(ISBLANK('Data Input'!G1061),"",'Data Input'!G1061)</f>
        <v/>
      </c>
      <c r="J1061" t="str">
        <f>IF(ISBLANK('Data Input'!I1061),"",'Data Input'!I1061)</f>
        <v/>
      </c>
      <c r="K1061" t="str">
        <f>IF(ISBLANK('Data Input'!J1061),"",'Data Input'!J1061)</f>
        <v/>
      </c>
      <c r="L1061" t="str">
        <f>IF(ISBLANK('Data Input'!K1061),"",'Data Input'!K1061)</f>
        <v/>
      </c>
      <c r="M1061" t="str">
        <f>IF(ISBLANK('Data Input'!L1061),"",'Data Input'!L1061)</f>
        <v/>
      </c>
      <c r="N1061" t="str">
        <f>IF(ISBLANK('Data Input'!M1061),"",'Data Input'!M1061)</f>
        <v/>
      </c>
      <c r="O1061" t="str">
        <f>IF(ISBLANK('Data Input'!N1061),"",'Data Input'!N1061)</f>
        <v/>
      </c>
      <c r="P1061" t="str">
        <f>IF(ISBLANK('Data Input'!O1061),"",'Data Input'!O1061)</f>
        <v/>
      </c>
      <c r="Q1061" t="str">
        <f>IF(ISBLANK('Data Input'!P1061),"",'Data Input'!P1061)</f>
        <v/>
      </c>
      <c r="R1061" t="str">
        <f>IF(ISBLANK('Data Input'!Q1061),"",'Data Input'!Q1061)</f>
        <v/>
      </c>
      <c r="T1061" s="2" t="e">
        <f t="shared" si="66"/>
        <v>#VALUE!</v>
      </c>
      <c r="U1061" s="12" t="e">
        <f t="shared" si="67"/>
        <v>#VALUE!</v>
      </c>
      <c r="V1061" s="2" t="str">
        <f t="shared" si="68"/>
        <v/>
      </c>
      <c r="W1061" s="12" t="str">
        <f t="shared" si="69"/>
        <v/>
      </c>
    </row>
    <row r="1062" spans="1:23">
      <c r="A1062" t="str">
        <f>IF(ISBLANK('Data Input'!A1062),"",'Data Input'!A1062)</f>
        <v/>
      </c>
      <c r="B1062" t="str">
        <f>IF(ISBLANK('Data Input'!B1062),"",'Data Input'!B1062)</f>
        <v/>
      </c>
      <c r="C1062" t="str">
        <f>IF(ISBLANK('Data Input'!C1062),"",'Data Input'!C1062)</f>
        <v/>
      </c>
      <c r="E1062" t="str">
        <f>IF(ISBLANK('Data Input'!D1062),"",'Data Input'!D1062)</f>
        <v/>
      </c>
      <c r="G1062" t="str">
        <f>IF(ISBLANK('Data Input'!E1062),"",'Data Input'!E1062)</f>
        <v/>
      </c>
      <c r="H1062" t="str">
        <f>IF(ISBLANK('Data Input'!F1062),"",'Data Input'!F1062)</f>
        <v/>
      </c>
      <c r="I1062" t="str">
        <f>IF(ISBLANK('Data Input'!G1062),"",'Data Input'!G1062)</f>
        <v/>
      </c>
      <c r="J1062" t="str">
        <f>IF(ISBLANK('Data Input'!I1062),"",'Data Input'!I1062)</f>
        <v/>
      </c>
      <c r="K1062" t="str">
        <f>IF(ISBLANK('Data Input'!J1062),"",'Data Input'!J1062)</f>
        <v/>
      </c>
      <c r="L1062" t="str">
        <f>IF(ISBLANK('Data Input'!K1062),"",'Data Input'!K1062)</f>
        <v/>
      </c>
      <c r="M1062" t="str">
        <f>IF(ISBLANK('Data Input'!L1062),"",'Data Input'!L1062)</f>
        <v/>
      </c>
      <c r="N1062" t="str">
        <f>IF(ISBLANK('Data Input'!M1062),"",'Data Input'!M1062)</f>
        <v/>
      </c>
      <c r="O1062" t="str">
        <f>IF(ISBLANK('Data Input'!N1062),"",'Data Input'!N1062)</f>
        <v/>
      </c>
      <c r="P1062" t="str">
        <f>IF(ISBLANK('Data Input'!O1062),"",'Data Input'!O1062)</f>
        <v/>
      </c>
      <c r="Q1062" t="str">
        <f>IF(ISBLANK('Data Input'!P1062),"",'Data Input'!P1062)</f>
        <v/>
      </c>
      <c r="R1062" t="str">
        <f>IF(ISBLANK('Data Input'!Q1062),"",'Data Input'!Q1062)</f>
        <v/>
      </c>
      <c r="T1062" s="2" t="e">
        <f t="shared" si="66"/>
        <v>#VALUE!</v>
      </c>
      <c r="U1062" s="12" t="e">
        <f t="shared" si="67"/>
        <v>#VALUE!</v>
      </c>
      <c r="V1062" s="2" t="str">
        <f t="shared" si="68"/>
        <v/>
      </c>
      <c r="W1062" s="12" t="str">
        <f t="shared" si="69"/>
        <v/>
      </c>
    </row>
    <row r="1063" spans="1:23">
      <c r="A1063" t="str">
        <f>IF(ISBLANK('Data Input'!A1063),"",'Data Input'!A1063)</f>
        <v/>
      </c>
      <c r="B1063" t="str">
        <f>IF(ISBLANK('Data Input'!B1063),"",'Data Input'!B1063)</f>
        <v/>
      </c>
      <c r="C1063" t="str">
        <f>IF(ISBLANK('Data Input'!C1063),"",'Data Input'!C1063)</f>
        <v/>
      </c>
      <c r="E1063" t="str">
        <f>IF(ISBLANK('Data Input'!D1063),"",'Data Input'!D1063)</f>
        <v/>
      </c>
      <c r="G1063" t="str">
        <f>IF(ISBLANK('Data Input'!E1063),"",'Data Input'!E1063)</f>
        <v/>
      </c>
      <c r="H1063" t="str">
        <f>IF(ISBLANK('Data Input'!F1063),"",'Data Input'!F1063)</f>
        <v/>
      </c>
      <c r="I1063" t="str">
        <f>IF(ISBLANK('Data Input'!G1063),"",'Data Input'!G1063)</f>
        <v/>
      </c>
      <c r="J1063" t="str">
        <f>IF(ISBLANK('Data Input'!I1063),"",'Data Input'!I1063)</f>
        <v/>
      </c>
      <c r="K1063" t="str">
        <f>IF(ISBLANK('Data Input'!J1063),"",'Data Input'!J1063)</f>
        <v/>
      </c>
      <c r="L1063" t="str">
        <f>IF(ISBLANK('Data Input'!K1063),"",'Data Input'!K1063)</f>
        <v/>
      </c>
      <c r="M1063" t="str">
        <f>IF(ISBLANK('Data Input'!L1063),"",'Data Input'!L1063)</f>
        <v/>
      </c>
      <c r="N1063" t="str">
        <f>IF(ISBLANK('Data Input'!M1063),"",'Data Input'!M1063)</f>
        <v/>
      </c>
      <c r="O1063" t="str">
        <f>IF(ISBLANK('Data Input'!N1063),"",'Data Input'!N1063)</f>
        <v/>
      </c>
      <c r="P1063" t="str">
        <f>IF(ISBLANK('Data Input'!O1063),"",'Data Input'!O1063)</f>
        <v/>
      </c>
      <c r="Q1063" t="str">
        <f>IF(ISBLANK('Data Input'!P1063),"",'Data Input'!P1063)</f>
        <v/>
      </c>
      <c r="R1063" t="str">
        <f>IF(ISBLANK('Data Input'!Q1063),"",'Data Input'!Q1063)</f>
        <v/>
      </c>
      <c r="T1063" s="2" t="e">
        <f t="shared" si="66"/>
        <v>#VALUE!</v>
      </c>
      <c r="U1063" s="12" t="e">
        <f t="shared" si="67"/>
        <v>#VALUE!</v>
      </c>
      <c r="V1063" s="2" t="str">
        <f t="shared" si="68"/>
        <v/>
      </c>
      <c r="W1063" s="12" t="str">
        <f t="shared" si="69"/>
        <v/>
      </c>
    </row>
    <row r="1064" spans="1:23">
      <c r="A1064" t="str">
        <f>IF(ISBLANK('Data Input'!A1064),"",'Data Input'!A1064)</f>
        <v/>
      </c>
      <c r="B1064" t="str">
        <f>IF(ISBLANK('Data Input'!B1064),"",'Data Input'!B1064)</f>
        <v/>
      </c>
      <c r="C1064" t="str">
        <f>IF(ISBLANK('Data Input'!C1064),"",'Data Input'!C1064)</f>
        <v/>
      </c>
      <c r="E1064" t="str">
        <f>IF(ISBLANK('Data Input'!D1064),"",'Data Input'!D1064)</f>
        <v/>
      </c>
      <c r="G1064" t="str">
        <f>IF(ISBLANK('Data Input'!E1064),"",'Data Input'!E1064)</f>
        <v/>
      </c>
      <c r="H1064" t="str">
        <f>IF(ISBLANK('Data Input'!F1064),"",'Data Input'!F1064)</f>
        <v/>
      </c>
      <c r="I1064" t="str">
        <f>IF(ISBLANK('Data Input'!G1064),"",'Data Input'!G1064)</f>
        <v/>
      </c>
      <c r="J1064" t="str">
        <f>IF(ISBLANK('Data Input'!I1064),"",'Data Input'!I1064)</f>
        <v/>
      </c>
      <c r="K1064" t="str">
        <f>IF(ISBLANK('Data Input'!J1064),"",'Data Input'!J1064)</f>
        <v/>
      </c>
      <c r="L1064" t="str">
        <f>IF(ISBLANK('Data Input'!K1064),"",'Data Input'!K1064)</f>
        <v/>
      </c>
      <c r="M1064" t="str">
        <f>IF(ISBLANK('Data Input'!L1064),"",'Data Input'!L1064)</f>
        <v/>
      </c>
      <c r="N1064" t="str">
        <f>IF(ISBLANK('Data Input'!M1064),"",'Data Input'!M1064)</f>
        <v/>
      </c>
      <c r="O1064" t="str">
        <f>IF(ISBLANK('Data Input'!N1064),"",'Data Input'!N1064)</f>
        <v/>
      </c>
      <c r="P1064" t="str">
        <f>IF(ISBLANK('Data Input'!O1064),"",'Data Input'!O1064)</f>
        <v/>
      </c>
      <c r="Q1064" t="str">
        <f>IF(ISBLANK('Data Input'!P1064),"",'Data Input'!P1064)</f>
        <v/>
      </c>
      <c r="R1064" t="str">
        <f>IF(ISBLANK('Data Input'!Q1064),"",'Data Input'!Q1064)</f>
        <v/>
      </c>
      <c r="T1064" s="2" t="e">
        <f t="shared" si="66"/>
        <v>#VALUE!</v>
      </c>
      <c r="U1064" s="12" t="e">
        <f t="shared" si="67"/>
        <v>#VALUE!</v>
      </c>
      <c r="V1064" s="2" t="str">
        <f t="shared" si="68"/>
        <v/>
      </c>
      <c r="W1064" s="12" t="str">
        <f t="shared" si="69"/>
        <v/>
      </c>
    </row>
    <row r="1065" spans="1:23">
      <c r="A1065" t="str">
        <f>IF(ISBLANK('Data Input'!A1065),"",'Data Input'!A1065)</f>
        <v/>
      </c>
      <c r="B1065" t="str">
        <f>IF(ISBLANK('Data Input'!B1065),"",'Data Input'!B1065)</f>
        <v/>
      </c>
      <c r="C1065" t="str">
        <f>IF(ISBLANK('Data Input'!C1065),"",'Data Input'!C1065)</f>
        <v/>
      </c>
      <c r="E1065" t="str">
        <f>IF(ISBLANK('Data Input'!D1065),"",'Data Input'!D1065)</f>
        <v/>
      </c>
      <c r="G1065" t="str">
        <f>IF(ISBLANK('Data Input'!E1065),"",'Data Input'!E1065)</f>
        <v/>
      </c>
      <c r="H1065" t="str">
        <f>IF(ISBLANK('Data Input'!F1065),"",'Data Input'!F1065)</f>
        <v/>
      </c>
      <c r="I1065" t="str">
        <f>IF(ISBLANK('Data Input'!G1065),"",'Data Input'!G1065)</f>
        <v/>
      </c>
      <c r="J1065" t="str">
        <f>IF(ISBLANK('Data Input'!I1065),"",'Data Input'!I1065)</f>
        <v/>
      </c>
      <c r="K1065" t="str">
        <f>IF(ISBLANK('Data Input'!J1065),"",'Data Input'!J1065)</f>
        <v/>
      </c>
      <c r="L1065" t="str">
        <f>IF(ISBLANK('Data Input'!K1065),"",'Data Input'!K1065)</f>
        <v/>
      </c>
      <c r="M1065" t="str">
        <f>IF(ISBLANK('Data Input'!L1065),"",'Data Input'!L1065)</f>
        <v/>
      </c>
      <c r="N1065" t="str">
        <f>IF(ISBLANK('Data Input'!M1065),"",'Data Input'!M1065)</f>
        <v/>
      </c>
      <c r="O1065" t="str">
        <f>IF(ISBLANK('Data Input'!N1065),"",'Data Input'!N1065)</f>
        <v/>
      </c>
      <c r="P1065" t="str">
        <f>IF(ISBLANK('Data Input'!O1065),"",'Data Input'!O1065)</f>
        <v/>
      </c>
      <c r="Q1065" t="str">
        <f>IF(ISBLANK('Data Input'!P1065),"",'Data Input'!P1065)</f>
        <v/>
      </c>
      <c r="R1065" t="str">
        <f>IF(ISBLANK('Data Input'!Q1065),"",'Data Input'!Q1065)</f>
        <v/>
      </c>
      <c r="T1065" s="2" t="e">
        <f t="shared" si="66"/>
        <v>#VALUE!</v>
      </c>
      <c r="U1065" s="12" t="e">
        <f t="shared" si="67"/>
        <v>#VALUE!</v>
      </c>
      <c r="V1065" s="2" t="str">
        <f t="shared" si="68"/>
        <v/>
      </c>
      <c r="W1065" s="12" t="str">
        <f t="shared" si="69"/>
        <v/>
      </c>
    </row>
    <row r="1066" spans="1:23">
      <c r="A1066" t="str">
        <f>IF(ISBLANK('Data Input'!A1066),"",'Data Input'!A1066)</f>
        <v/>
      </c>
      <c r="B1066" t="str">
        <f>IF(ISBLANK('Data Input'!B1066),"",'Data Input'!B1066)</f>
        <v/>
      </c>
      <c r="C1066" t="str">
        <f>IF(ISBLANK('Data Input'!C1066),"",'Data Input'!C1066)</f>
        <v/>
      </c>
      <c r="E1066" t="str">
        <f>IF(ISBLANK('Data Input'!D1066),"",'Data Input'!D1066)</f>
        <v/>
      </c>
      <c r="G1066" t="str">
        <f>IF(ISBLANK('Data Input'!E1066),"",'Data Input'!E1066)</f>
        <v/>
      </c>
      <c r="H1066" t="str">
        <f>IF(ISBLANK('Data Input'!F1066),"",'Data Input'!F1066)</f>
        <v/>
      </c>
      <c r="I1066" t="str">
        <f>IF(ISBLANK('Data Input'!G1066),"",'Data Input'!G1066)</f>
        <v/>
      </c>
      <c r="J1066" t="str">
        <f>IF(ISBLANK('Data Input'!I1066),"",'Data Input'!I1066)</f>
        <v/>
      </c>
      <c r="K1066" t="str">
        <f>IF(ISBLANK('Data Input'!J1066),"",'Data Input'!J1066)</f>
        <v/>
      </c>
      <c r="L1066" t="str">
        <f>IF(ISBLANK('Data Input'!K1066),"",'Data Input'!K1066)</f>
        <v/>
      </c>
      <c r="M1066" t="str">
        <f>IF(ISBLANK('Data Input'!L1066),"",'Data Input'!L1066)</f>
        <v/>
      </c>
      <c r="N1066" t="str">
        <f>IF(ISBLANK('Data Input'!M1066),"",'Data Input'!M1066)</f>
        <v/>
      </c>
      <c r="O1066" t="str">
        <f>IF(ISBLANK('Data Input'!N1066),"",'Data Input'!N1066)</f>
        <v/>
      </c>
      <c r="P1066" t="str">
        <f>IF(ISBLANK('Data Input'!O1066),"",'Data Input'!O1066)</f>
        <v/>
      </c>
      <c r="Q1066" t="str">
        <f>IF(ISBLANK('Data Input'!P1066),"",'Data Input'!P1066)</f>
        <v/>
      </c>
      <c r="R1066" t="str">
        <f>IF(ISBLANK('Data Input'!Q1066),"",'Data Input'!Q1066)</f>
        <v/>
      </c>
      <c r="T1066" s="2" t="e">
        <f t="shared" si="66"/>
        <v>#VALUE!</v>
      </c>
      <c r="U1066" s="12" t="e">
        <f t="shared" si="67"/>
        <v>#VALUE!</v>
      </c>
      <c r="V1066" s="2" t="str">
        <f t="shared" si="68"/>
        <v/>
      </c>
      <c r="W1066" s="12" t="str">
        <f t="shared" si="69"/>
        <v/>
      </c>
    </row>
    <row r="1067" spans="1:23">
      <c r="A1067" t="str">
        <f>IF(ISBLANK('Data Input'!A1067),"",'Data Input'!A1067)</f>
        <v/>
      </c>
      <c r="B1067" t="str">
        <f>IF(ISBLANK('Data Input'!B1067),"",'Data Input'!B1067)</f>
        <v/>
      </c>
      <c r="C1067" t="str">
        <f>IF(ISBLANK('Data Input'!C1067),"",'Data Input'!C1067)</f>
        <v/>
      </c>
      <c r="E1067" t="str">
        <f>IF(ISBLANK('Data Input'!D1067),"",'Data Input'!D1067)</f>
        <v/>
      </c>
      <c r="G1067" t="str">
        <f>IF(ISBLANK('Data Input'!E1067),"",'Data Input'!E1067)</f>
        <v/>
      </c>
      <c r="H1067" t="str">
        <f>IF(ISBLANK('Data Input'!F1067),"",'Data Input'!F1067)</f>
        <v/>
      </c>
      <c r="I1067" t="str">
        <f>IF(ISBLANK('Data Input'!G1067),"",'Data Input'!G1067)</f>
        <v/>
      </c>
      <c r="J1067" t="str">
        <f>IF(ISBLANK('Data Input'!I1067),"",'Data Input'!I1067)</f>
        <v/>
      </c>
      <c r="K1067" t="str">
        <f>IF(ISBLANK('Data Input'!J1067),"",'Data Input'!J1067)</f>
        <v/>
      </c>
      <c r="L1067" t="str">
        <f>IF(ISBLANK('Data Input'!K1067),"",'Data Input'!K1067)</f>
        <v/>
      </c>
      <c r="M1067" t="str">
        <f>IF(ISBLANK('Data Input'!L1067),"",'Data Input'!L1067)</f>
        <v/>
      </c>
      <c r="N1067" t="str">
        <f>IF(ISBLANK('Data Input'!M1067),"",'Data Input'!M1067)</f>
        <v/>
      </c>
      <c r="O1067" t="str">
        <f>IF(ISBLANK('Data Input'!N1067),"",'Data Input'!N1067)</f>
        <v/>
      </c>
      <c r="P1067" t="str">
        <f>IF(ISBLANK('Data Input'!O1067),"",'Data Input'!O1067)</f>
        <v/>
      </c>
      <c r="Q1067" t="str">
        <f>IF(ISBLANK('Data Input'!P1067),"",'Data Input'!P1067)</f>
        <v/>
      </c>
      <c r="R1067" t="str">
        <f>IF(ISBLANK('Data Input'!Q1067),"",'Data Input'!Q1067)</f>
        <v/>
      </c>
      <c r="T1067" s="2" t="e">
        <f t="shared" si="66"/>
        <v>#VALUE!</v>
      </c>
      <c r="U1067" s="12" t="e">
        <f t="shared" si="67"/>
        <v>#VALUE!</v>
      </c>
      <c r="V1067" s="2" t="str">
        <f t="shared" si="68"/>
        <v/>
      </c>
      <c r="W1067" s="12" t="str">
        <f t="shared" si="69"/>
        <v/>
      </c>
    </row>
    <row r="1068" spans="1:23">
      <c r="A1068" t="str">
        <f>IF(ISBLANK('Data Input'!A1068),"",'Data Input'!A1068)</f>
        <v/>
      </c>
      <c r="B1068" t="str">
        <f>IF(ISBLANK('Data Input'!B1068),"",'Data Input'!B1068)</f>
        <v/>
      </c>
      <c r="C1068" t="str">
        <f>IF(ISBLANK('Data Input'!C1068),"",'Data Input'!C1068)</f>
        <v/>
      </c>
      <c r="E1068" t="str">
        <f>IF(ISBLANK('Data Input'!D1068),"",'Data Input'!D1068)</f>
        <v/>
      </c>
      <c r="G1068" t="str">
        <f>IF(ISBLANK('Data Input'!E1068),"",'Data Input'!E1068)</f>
        <v/>
      </c>
      <c r="H1068" t="str">
        <f>IF(ISBLANK('Data Input'!F1068),"",'Data Input'!F1068)</f>
        <v/>
      </c>
      <c r="I1068" t="str">
        <f>IF(ISBLANK('Data Input'!G1068),"",'Data Input'!G1068)</f>
        <v/>
      </c>
      <c r="J1068" t="str">
        <f>IF(ISBLANK('Data Input'!I1068),"",'Data Input'!I1068)</f>
        <v/>
      </c>
      <c r="K1068" t="str">
        <f>IF(ISBLANK('Data Input'!J1068),"",'Data Input'!J1068)</f>
        <v/>
      </c>
      <c r="L1068" t="str">
        <f>IF(ISBLANK('Data Input'!K1068),"",'Data Input'!K1068)</f>
        <v/>
      </c>
      <c r="M1068" t="str">
        <f>IF(ISBLANK('Data Input'!L1068),"",'Data Input'!L1068)</f>
        <v/>
      </c>
      <c r="N1068" t="str">
        <f>IF(ISBLANK('Data Input'!M1068),"",'Data Input'!M1068)</f>
        <v/>
      </c>
      <c r="O1068" t="str">
        <f>IF(ISBLANK('Data Input'!N1068),"",'Data Input'!N1068)</f>
        <v/>
      </c>
      <c r="P1068" t="str">
        <f>IF(ISBLANK('Data Input'!O1068),"",'Data Input'!O1068)</f>
        <v/>
      </c>
      <c r="Q1068" t="str">
        <f>IF(ISBLANK('Data Input'!P1068),"",'Data Input'!P1068)</f>
        <v/>
      </c>
      <c r="R1068" t="str">
        <f>IF(ISBLANK('Data Input'!Q1068),"",'Data Input'!Q1068)</f>
        <v/>
      </c>
      <c r="T1068" s="2" t="e">
        <f t="shared" si="66"/>
        <v>#VALUE!</v>
      </c>
      <c r="U1068" s="12" t="e">
        <f t="shared" si="67"/>
        <v>#VALUE!</v>
      </c>
      <c r="V1068" s="2" t="str">
        <f t="shared" si="68"/>
        <v/>
      </c>
      <c r="W1068" s="12" t="str">
        <f t="shared" si="69"/>
        <v/>
      </c>
    </row>
    <row r="1069" spans="1:23">
      <c r="A1069" t="str">
        <f>IF(ISBLANK('Data Input'!A1069),"",'Data Input'!A1069)</f>
        <v/>
      </c>
      <c r="B1069" t="str">
        <f>IF(ISBLANK('Data Input'!B1069),"",'Data Input'!B1069)</f>
        <v/>
      </c>
      <c r="C1069" t="str">
        <f>IF(ISBLANK('Data Input'!C1069),"",'Data Input'!C1069)</f>
        <v/>
      </c>
      <c r="E1069" t="str">
        <f>IF(ISBLANK('Data Input'!D1069),"",'Data Input'!D1069)</f>
        <v/>
      </c>
      <c r="G1069" t="str">
        <f>IF(ISBLANK('Data Input'!E1069),"",'Data Input'!E1069)</f>
        <v/>
      </c>
      <c r="H1069" t="str">
        <f>IF(ISBLANK('Data Input'!F1069),"",'Data Input'!F1069)</f>
        <v/>
      </c>
      <c r="I1069" t="str">
        <f>IF(ISBLANK('Data Input'!G1069),"",'Data Input'!G1069)</f>
        <v/>
      </c>
      <c r="J1069" t="str">
        <f>IF(ISBLANK('Data Input'!I1069),"",'Data Input'!I1069)</f>
        <v/>
      </c>
      <c r="K1069" t="str">
        <f>IF(ISBLANK('Data Input'!J1069),"",'Data Input'!J1069)</f>
        <v/>
      </c>
      <c r="L1069" t="str">
        <f>IF(ISBLANK('Data Input'!K1069),"",'Data Input'!K1069)</f>
        <v/>
      </c>
      <c r="M1069" t="str">
        <f>IF(ISBLANK('Data Input'!L1069),"",'Data Input'!L1069)</f>
        <v/>
      </c>
      <c r="N1069" t="str">
        <f>IF(ISBLANK('Data Input'!M1069),"",'Data Input'!M1069)</f>
        <v/>
      </c>
      <c r="O1069" t="str">
        <f>IF(ISBLANK('Data Input'!N1069),"",'Data Input'!N1069)</f>
        <v/>
      </c>
      <c r="P1069" t="str">
        <f>IF(ISBLANK('Data Input'!O1069),"",'Data Input'!O1069)</f>
        <v/>
      </c>
      <c r="Q1069" t="str">
        <f>IF(ISBLANK('Data Input'!P1069),"",'Data Input'!P1069)</f>
        <v/>
      </c>
      <c r="R1069" t="str">
        <f>IF(ISBLANK('Data Input'!Q1069),"",'Data Input'!Q1069)</f>
        <v/>
      </c>
      <c r="T1069" s="2" t="e">
        <f t="shared" si="66"/>
        <v>#VALUE!</v>
      </c>
      <c r="U1069" s="12" t="e">
        <f t="shared" si="67"/>
        <v>#VALUE!</v>
      </c>
      <c r="V1069" s="2" t="str">
        <f t="shared" si="68"/>
        <v/>
      </c>
      <c r="W1069" s="12" t="str">
        <f t="shared" si="69"/>
        <v/>
      </c>
    </row>
    <row r="1070" spans="1:23">
      <c r="A1070" t="str">
        <f>IF(ISBLANK('Data Input'!A1070),"",'Data Input'!A1070)</f>
        <v/>
      </c>
      <c r="B1070" t="str">
        <f>IF(ISBLANK('Data Input'!B1070),"",'Data Input'!B1070)</f>
        <v/>
      </c>
      <c r="C1070" t="str">
        <f>IF(ISBLANK('Data Input'!C1070),"",'Data Input'!C1070)</f>
        <v/>
      </c>
      <c r="E1070" t="str">
        <f>IF(ISBLANK('Data Input'!D1070),"",'Data Input'!D1070)</f>
        <v/>
      </c>
      <c r="G1070" t="str">
        <f>IF(ISBLANK('Data Input'!E1070),"",'Data Input'!E1070)</f>
        <v/>
      </c>
      <c r="H1070" t="str">
        <f>IF(ISBLANK('Data Input'!F1070),"",'Data Input'!F1070)</f>
        <v/>
      </c>
      <c r="I1070" t="str">
        <f>IF(ISBLANK('Data Input'!G1070),"",'Data Input'!G1070)</f>
        <v/>
      </c>
      <c r="J1070" t="str">
        <f>IF(ISBLANK('Data Input'!I1070),"",'Data Input'!I1070)</f>
        <v/>
      </c>
      <c r="K1070" t="str">
        <f>IF(ISBLANK('Data Input'!J1070),"",'Data Input'!J1070)</f>
        <v/>
      </c>
      <c r="L1070" t="str">
        <f>IF(ISBLANK('Data Input'!K1070),"",'Data Input'!K1070)</f>
        <v/>
      </c>
      <c r="M1070" t="str">
        <f>IF(ISBLANK('Data Input'!L1070),"",'Data Input'!L1070)</f>
        <v/>
      </c>
      <c r="N1070" t="str">
        <f>IF(ISBLANK('Data Input'!M1070),"",'Data Input'!M1070)</f>
        <v/>
      </c>
      <c r="O1070" t="str">
        <f>IF(ISBLANK('Data Input'!N1070),"",'Data Input'!N1070)</f>
        <v/>
      </c>
      <c r="P1070" t="str">
        <f>IF(ISBLANK('Data Input'!O1070),"",'Data Input'!O1070)</f>
        <v/>
      </c>
      <c r="Q1070" t="str">
        <f>IF(ISBLANK('Data Input'!P1070),"",'Data Input'!P1070)</f>
        <v/>
      </c>
      <c r="R1070" t="str">
        <f>IF(ISBLANK('Data Input'!Q1070),"",'Data Input'!Q1070)</f>
        <v/>
      </c>
      <c r="T1070" s="2" t="e">
        <f t="shared" si="66"/>
        <v>#VALUE!</v>
      </c>
      <c r="U1070" s="12" t="e">
        <f t="shared" si="67"/>
        <v>#VALUE!</v>
      </c>
      <c r="V1070" s="2" t="str">
        <f t="shared" si="68"/>
        <v/>
      </c>
      <c r="W1070" s="12" t="str">
        <f t="shared" si="69"/>
        <v/>
      </c>
    </row>
    <row r="1071" spans="1:23">
      <c r="A1071" t="str">
        <f>IF(ISBLANK('Data Input'!A1071),"",'Data Input'!A1071)</f>
        <v/>
      </c>
      <c r="B1071" t="str">
        <f>IF(ISBLANK('Data Input'!B1071),"",'Data Input'!B1071)</f>
        <v/>
      </c>
      <c r="C1071" t="str">
        <f>IF(ISBLANK('Data Input'!C1071),"",'Data Input'!C1071)</f>
        <v/>
      </c>
      <c r="E1071" t="str">
        <f>IF(ISBLANK('Data Input'!D1071),"",'Data Input'!D1071)</f>
        <v/>
      </c>
      <c r="G1071" t="str">
        <f>IF(ISBLANK('Data Input'!E1071),"",'Data Input'!E1071)</f>
        <v/>
      </c>
      <c r="H1071" t="str">
        <f>IF(ISBLANK('Data Input'!F1071),"",'Data Input'!F1071)</f>
        <v/>
      </c>
      <c r="I1071" t="str">
        <f>IF(ISBLANK('Data Input'!G1071),"",'Data Input'!G1071)</f>
        <v/>
      </c>
      <c r="J1071" t="str">
        <f>IF(ISBLANK('Data Input'!I1071),"",'Data Input'!I1071)</f>
        <v/>
      </c>
      <c r="K1071" t="str">
        <f>IF(ISBLANK('Data Input'!J1071),"",'Data Input'!J1071)</f>
        <v/>
      </c>
      <c r="L1071" t="str">
        <f>IF(ISBLANK('Data Input'!K1071),"",'Data Input'!K1071)</f>
        <v/>
      </c>
      <c r="M1071" t="str">
        <f>IF(ISBLANK('Data Input'!L1071),"",'Data Input'!L1071)</f>
        <v/>
      </c>
      <c r="N1071" t="str">
        <f>IF(ISBLANK('Data Input'!M1071),"",'Data Input'!M1071)</f>
        <v/>
      </c>
      <c r="O1071" t="str">
        <f>IF(ISBLANK('Data Input'!N1071),"",'Data Input'!N1071)</f>
        <v/>
      </c>
      <c r="P1071" t="str">
        <f>IF(ISBLANK('Data Input'!O1071),"",'Data Input'!O1071)</f>
        <v/>
      </c>
      <c r="Q1071" t="str">
        <f>IF(ISBLANK('Data Input'!P1071),"",'Data Input'!P1071)</f>
        <v/>
      </c>
      <c r="R1071" t="str">
        <f>IF(ISBLANK('Data Input'!Q1071),"",'Data Input'!Q1071)</f>
        <v/>
      </c>
      <c r="T1071" s="2" t="e">
        <f t="shared" si="66"/>
        <v>#VALUE!</v>
      </c>
      <c r="U1071" s="12" t="e">
        <f t="shared" si="67"/>
        <v>#VALUE!</v>
      </c>
      <c r="V1071" s="2" t="str">
        <f t="shared" si="68"/>
        <v/>
      </c>
      <c r="W1071" s="12" t="str">
        <f t="shared" si="69"/>
        <v/>
      </c>
    </row>
    <row r="1072" spans="1:23">
      <c r="A1072" t="str">
        <f>IF(ISBLANK('Data Input'!A1072),"",'Data Input'!A1072)</f>
        <v/>
      </c>
      <c r="B1072" t="str">
        <f>IF(ISBLANK('Data Input'!B1072),"",'Data Input'!B1072)</f>
        <v/>
      </c>
      <c r="C1072" t="str">
        <f>IF(ISBLANK('Data Input'!C1072),"",'Data Input'!C1072)</f>
        <v/>
      </c>
      <c r="E1072" t="str">
        <f>IF(ISBLANK('Data Input'!D1072),"",'Data Input'!D1072)</f>
        <v/>
      </c>
      <c r="G1072" t="str">
        <f>IF(ISBLANK('Data Input'!E1072),"",'Data Input'!E1072)</f>
        <v/>
      </c>
      <c r="H1072" t="str">
        <f>IF(ISBLANK('Data Input'!F1072),"",'Data Input'!F1072)</f>
        <v/>
      </c>
      <c r="I1072" t="str">
        <f>IF(ISBLANK('Data Input'!G1072),"",'Data Input'!G1072)</f>
        <v/>
      </c>
      <c r="J1072" t="str">
        <f>IF(ISBLANK('Data Input'!I1072),"",'Data Input'!I1072)</f>
        <v/>
      </c>
      <c r="K1072" t="str">
        <f>IF(ISBLANK('Data Input'!J1072),"",'Data Input'!J1072)</f>
        <v/>
      </c>
      <c r="L1072" t="str">
        <f>IF(ISBLANK('Data Input'!K1072),"",'Data Input'!K1072)</f>
        <v/>
      </c>
      <c r="M1072" t="str">
        <f>IF(ISBLANK('Data Input'!L1072),"",'Data Input'!L1072)</f>
        <v/>
      </c>
      <c r="N1072" t="str">
        <f>IF(ISBLANK('Data Input'!M1072),"",'Data Input'!M1072)</f>
        <v/>
      </c>
      <c r="O1072" t="str">
        <f>IF(ISBLANK('Data Input'!N1072),"",'Data Input'!N1072)</f>
        <v/>
      </c>
      <c r="P1072" t="str">
        <f>IF(ISBLANK('Data Input'!O1072),"",'Data Input'!O1072)</f>
        <v/>
      </c>
      <c r="Q1072" t="str">
        <f>IF(ISBLANK('Data Input'!P1072),"",'Data Input'!P1072)</f>
        <v/>
      </c>
      <c r="R1072" t="str">
        <f>IF(ISBLANK('Data Input'!Q1072),"",'Data Input'!Q1072)</f>
        <v/>
      </c>
      <c r="T1072" s="2" t="e">
        <f t="shared" si="66"/>
        <v>#VALUE!</v>
      </c>
      <c r="U1072" s="12" t="e">
        <f t="shared" si="67"/>
        <v>#VALUE!</v>
      </c>
      <c r="V1072" s="2" t="str">
        <f t="shared" si="68"/>
        <v/>
      </c>
      <c r="W1072" s="12" t="str">
        <f t="shared" si="69"/>
        <v/>
      </c>
    </row>
    <row r="1073" spans="1:23">
      <c r="A1073" t="str">
        <f>IF(ISBLANK('Data Input'!A1073),"",'Data Input'!A1073)</f>
        <v/>
      </c>
      <c r="B1073" t="str">
        <f>IF(ISBLANK('Data Input'!B1073),"",'Data Input'!B1073)</f>
        <v/>
      </c>
      <c r="C1073" t="str">
        <f>IF(ISBLANK('Data Input'!C1073),"",'Data Input'!C1073)</f>
        <v/>
      </c>
      <c r="E1073" t="str">
        <f>IF(ISBLANK('Data Input'!D1073),"",'Data Input'!D1073)</f>
        <v/>
      </c>
      <c r="G1073" t="str">
        <f>IF(ISBLANK('Data Input'!E1073),"",'Data Input'!E1073)</f>
        <v/>
      </c>
      <c r="H1073" t="str">
        <f>IF(ISBLANK('Data Input'!F1073),"",'Data Input'!F1073)</f>
        <v/>
      </c>
      <c r="I1073" t="str">
        <f>IF(ISBLANK('Data Input'!G1073),"",'Data Input'!G1073)</f>
        <v/>
      </c>
      <c r="J1073" t="str">
        <f>IF(ISBLANK('Data Input'!I1073),"",'Data Input'!I1073)</f>
        <v/>
      </c>
      <c r="K1073" t="str">
        <f>IF(ISBLANK('Data Input'!J1073),"",'Data Input'!J1073)</f>
        <v/>
      </c>
      <c r="L1073" t="str">
        <f>IF(ISBLANK('Data Input'!K1073),"",'Data Input'!K1073)</f>
        <v/>
      </c>
      <c r="M1073" t="str">
        <f>IF(ISBLANK('Data Input'!L1073),"",'Data Input'!L1073)</f>
        <v/>
      </c>
      <c r="N1073" t="str">
        <f>IF(ISBLANK('Data Input'!M1073),"",'Data Input'!M1073)</f>
        <v/>
      </c>
      <c r="O1073" t="str">
        <f>IF(ISBLANK('Data Input'!N1073),"",'Data Input'!N1073)</f>
        <v/>
      </c>
      <c r="P1073" t="str">
        <f>IF(ISBLANK('Data Input'!O1073),"",'Data Input'!O1073)</f>
        <v/>
      </c>
      <c r="Q1073" t="str">
        <f>IF(ISBLANK('Data Input'!P1073),"",'Data Input'!P1073)</f>
        <v/>
      </c>
      <c r="R1073" t="str">
        <f>IF(ISBLANK('Data Input'!Q1073),"",'Data Input'!Q1073)</f>
        <v/>
      </c>
      <c r="T1073" s="2" t="e">
        <f t="shared" si="66"/>
        <v>#VALUE!</v>
      </c>
      <c r="U1073" s="12" t="e">
        <f t="shared" si="67"/>
        <v>#VALUE!</v>
      </c>
      <c r="V1073" s="2" t="str">
        <f t="shared" si="68"/>
        <v/>
      </c>
      <c r="W1073" s="12" t="str">
        <f t="shared" si="69"/>
        <v/>
      </c>
    </row>
    <row r="1074" spans="1:23">
      <c r="A1074" t="str">
        <f>IF(ISBLANK('Data Input'!A1074),"",'Data Input'!A1074)</f>
        <v/>
      </c>
      <c r="B1074" t="str">
        <f>IF(ISBLANK('Data Input'!B1074),"",'Data Input'!B1074)</f>
        <v/>
      </c>
      <c r="C1074" t="str">
        <f>IF(ISBLANK('Data Input'!C1074),"",'Data Input'!C1074)</f>
        <v/>
      </c>
      <c r="E1074" t="str">
        <f>IF(ISBLANK('Data Input'!D1074),"",'Data Input'!D1074)</f>
        <v/>
      </c>
      <c r="G1074" t="str">
        <f>IF(ISBLANK('Data Input'!E1074),"",'Data Input'!E1074)</f>
        <v/>
      </c>
      <c r="H1074" t="str">
        <f>IF(ISBLANK('Data Input'!F1074),"",'Data Input'!F1074)</f>
        <v/>
      </c>
      <c r="I1074" t="str">
        <f>IF(ISBLANK('Data Input'!G1074),"",'Data Input'!G1074)</f>
        <v/>
      </c>
      <c r="J1074" t="str">
        <f>IF(ISBLANK('Data Input'!I1074),"",'Data Input'!I1074)</f>
        <v/>
      </c>
      <c r="K1074" t="str">
        <f>IF(ISBLANK('Data Input'!J1074),"",'Data Input'!J1074)</f>
        <v/>
      </c>
      <c r="L1074" t="str">
        <f>IF(ISBLANK('Data Input'!K1074),"",'Data Input'!K1074)</f>
        <v/>
      </c>
      <c r="M1074" t="str">
        <f>IF(ISBLANK('Data Input'!L1074),"",'Data Input'!L1074)</f>
        <v/>
      </c>
      <c r="N1074" t="str">
        <f>IF(ISBLANK('Data Input'!M1074),"",'Data Input'!M1074)</f>
        <v/>
      </c>
      <c r="O1074" t="str">
        <f>IF(ISBLANK('Data Input'!N1074),"",'Data Input'!N1074)</f>
        <v/>
      </c>
      <c r="P1074" t="str">
        <f>IF(ISBLANK('Data Input'!O1074),"",'Data Input'!O1074)</f>
        <v/>
      </c>
      <c r="Q1074" t="str">
        <f>IF(ISBLANK('Data Input'!P1074),"",'Data Input'!P1074)</f>
        <v/>
      </c>
      <c r="R1074" t="str">
        <f>IF(ISBLANK('Data Input'!Q1074),"",'Data Input'!Q1074)</f>
        <v/>
      </c>
      <c r="T1074" s="2" t="e">
        <f t="shared" si="66"/>
        <v>#VALUE!</v>
      </c>
      <c r="U1074" s="12" t="e">
        <f t="shared" si="67"/>
        <v>#VALUE!</v>
      </c>
      <c r="V1074" s="2" t="str">
        <f t="shared" si="68"/>
        <v/>
      </c>
      <c r="W1074" s="12" t="str">
        <f t="shared" si="69"/>
        <v/>
      </c>
    </row>
    <row r="1075" spans="1:23">
      <c r="A1075" t="str">
        <f>IF(ISBLANK('Data Input'!A1075),"",'Data Input'!A1075)</f>
        <v/>
      </c>
      <c r="B1075" t="str">
        <f>IF(ISBLANK('Data Input'!B1075),"",'Data Input'!B1075)</f>
        <v/>
      </c>
      <c r="C1075" t="str">
        <f>IF(ISBLANK('Data Input'!C1075),"",'Data Input'!C1075)</f>
        <v/>
      </c>
      <c r="E1075" t="str">
        <f>IF(ISBLANK('Data Input'!D1075),"",'Data Input'!D1075)</f>
        <v/>
      </c>
      <c r="G1075" t="str">
        <f>IF(ISBLANK('Data Input'!E1075),"",'Data Input'!E1075)</f>
        <v/>
      </c>
      <c r="H1075" t="str">
        <f>IF(ISBLANK('Data Input'!F1075),"",'Data Input'!F1075)</f>
        <v/>
      </c>
      <c r="I1075" t="str">
        <f>IF(ISBLANK('Data Input'!G1075),"",'Data Input'!G1075)</f>
        <v/>
      </c>
      <c r="J1075" t="str">
        <f>IF(ISBLANK('Data Input'!I1075),"",'Data Input'!I1075)</f>
        <v/>
      </c>
      <c r="K1075" t="str">
        <f>IF(ISBLANK('Data Input'!J1075),"",'Data Input'!J1075)</f>
        <v/>
      </c>
      <c r="L1075" t="str">
        <f>IF(ISBLANK('Data Input'!K1075),"",'Data Input'!K1075)</f>
        <v/>
      </c>
      <c r="M1075" t="str">
        <f>IF(ISBLANK('Data Input'!L1075),"",'Data Input'!L1075)</f>
        <v/>
      </c>
      <c r="N1075" t="str">
        <f>IF(ISBLANK('Data Input'!M1075),"",'Data Input'!M1075)</f>
        <v/>
      </c>
      <c r="O1075" t="str">
        <f>IF(ISBLANK('Data Input'!N1075),"",'Data Input'!N1075)</f>
        <v/>
      </c>
      <c r="P1075" t="str">
        <f>IF(ISBLANK('Data Input'!O1075),"",'Data Input'!O1075)</f>
        <v/>
      </c>
      <c r="Q1075" t="str">
        <f>IF(ISBLANK('Data Input'!P1075),"",'Data Input'!P1075)</f>
        <v/>
      </c>
      <c r="R1075" t="str">
        <f>IF(ISBLANK('Data Input'!Q1075),"",'Data Input'!Q1075)</f>
        <v/>
      </c>
      <c r="T1075" s="2" t="e">
        <f t="shared" si="66"/>
        <v>#VALUE!</v>
      </c>
      <c r="U1075" s="12" t="e">
        <f t="shared" si="67"/>
        <v>#VALUE!</v>
      </c>
      <c r="V1075" s="2" t="str">
        <f t="shared" si="68"/>
        <v/>
      </c>
      <c r="W1075" s="12" t="str">
        <f t="shared" si="69"/>
        <v/>
      </c>
    </row>
    <row r="1076" spans="1:23">
      <c r="A1076" t="str">
        <f>IF(ISBLANK('Data Input'!A1076),"",'Data Input'!A1076)</f>
        <v/>
      </c>
      <c r="B1076" t="str">
        <f>IF(ISBLANK('Data Input'!B1076),"",'Data Input'!B1076)</f>
        <v/>
      </c>
      <c r="C1076" t="str">
        <f>IF(ISBLANK('Data Input'!C1076),"",'Data Input'!C1076)</f>
        <v/>
      </c>
      <c r="E1076" t="str">
        <f>IF(ISBLANK('Data Input'!D1076),"",'Data Input'!D1076)</f>
        <v/>
      </c>
      <c r="G1076" t="str">
        <f>IF(ISBLANK('Data Input'!E1076),"",'Data Input'!E1076)</f>
        <v/>
      </c>
      <c r="H1076" t="str">
        <f>IF(ISBLANK('Data Input'!F1076),"",'Data Input'!F1076)</f>
        <v/>
      </c>
      <c r="I1076" t="str">
        <f>IF(ISBLANK('Data Input'!G1076),"",'Data Input'!G1076)</f>
        <v/>
      </c>
      <c r="J1076" t="str">
        <f>IF(ISBLANK('Data Input'!I1076),"",'Data Input'!I1076)</f>
        <v/>
      </c>
      <c r="K1076" t="str">
        <f>IF(ISBLANK('Data Input'!J1076),"",'Data Input'!J1076)</f>
        <v/>
      </c>
      <c r="L1076" t="str">
        <f>IF(ISBLANK('Data Input'!K1076),"",'Data Input'!K1076)</f>
        <v/>
      </c>
      <c r="M1076" t="str">
        <f>IF(ISBLANK('Data Input'!L1076),"",'Data Input'!L1076)</f>
        <v/>
      </c>
      <c r="N1076" t="str">
        <f>IF(ISBLANK('Data Input'!M1076),"",'Data Input'!M1076)</f>
        <v/>
      </c>
      <c r="O1076" t="str">
        <f>IF(ISBLANK('Data Input'!N1076),"",'Data Input'!N1076)</f>
        <v/>
      </c>
      <c r="P1076" t="str">
        <f>IF(ISBLANK('Data Input'!O1076),"",'Data Input'!O1076)</f>
        <v/>
      </c>
      <c r="Q1076" t="str">
        <f>IF(ISBLANK('Data Input'!P1076),"",'Data Input'!P1076)</f>
        <v/>
      </c>
      <c r="R1076" t="str">
        <f>IF(ISBLANK('Data Input'!Q1076),"",'Data Input'!Q1076)</f>
        <v/>
      </c>
      <c r="T1076" s="2" t="e">
        <f t="shared" si="66"/>
        <v>#VALUE!</v>
      </c>
      <c r="U1076" s="12" t="e">
        <f t="shared" si="67"/>
        <v>#VALUE!</v>
      </c>
      <c r="V1076" s="2" t="str">
        <f t="shared" si="68"/>
        <v/>
      </c>
      <c r="W1076" s="12" t="str">
        <f t="shared" si="69"/>
        <v/>
      </c>
    </row>
    <row r="1077" spans="1:23">
      <c r="A1077" t="str">
        <f>IF(ISBLANK('Data Input'!A1077),"",'Data Input'!A1077)</f>
        <v/>
      </c>
      <c r="B1077" t="str">
        <f>IF(ISBLANK('Data Input'!B1077),"",'Data Input'!B1077)</f>
        <v/>
      </c>
      <c r="C1077" t="str">
        <f>IF(ISBLANK('Data Input'!C1077),"",'Data Input'!C1077)</f>
        <v/>
      </c>
      <c r="E1077" t="str">
        <f>IF(ISBLANK('Data Input'!D1077),"",'Data Input'!D1077)</f>
        <v/>
      </c>
      <c r="G1077" t="str">
        <f>IF(ISBLANK('Data Input'!E1077),"",'Data Input'!E1077)</f>
        <v/>
      </c>
      <c r="H1077" t="str">
        <f>IF(ISBLANK('Data Input'!F1077),"",'Data Input'!F1077)</f>
        <v/>
      </c>
      <c r="I1077" t="str">
        <f>IF(ISBLANK('Data Input'!G1077),"",'Data Input'!G1077)</f>
        <v/>
      </c>
      <c r="J1077" t="str">
        <f>IF(ISBLANK('Data Input'!I1077),"",'Data Input'!I1077)</f>
        <v/>
      </c>
      <c r="K1077" t="str">
        <f>IF(ISBLANK('Data Input'!J1077),"",'Data Input'!J1077)</f>
        <v/>
      </c>
      <c r="L1077" t="str">
        <f>IF(ISBLANK('Data Input'!K1077),"",'Data Input'!K1077)</f>
        <v/>
      </c>
      <c r="M1077" t="str">
        <f>IF(ISBLANK('Data Input'!L1077),"",'Data Input'!L1077)</f>
        <v/>
      </c>
      <c r="N1077" t="str">
        <f>IF(ISBLANK('Data Input'!M1077),"",'Data Input'!M1077)</f>
        <v/>
      </c>
      <c r="O1077" t="str">
        <f>IF(ISBLANK('Data Input'!N1077),"",'Data Input'!N1077)</f>
        <v/>
      </c>
      <c r="P1077" t="str">
        <f>IF(ISBLANK('Data Input'!O1077),"",'Data Input'!O1077)</f>
        <v/>
      </c>
      <c r="Q1077" t="str">
        <f>IF(ISBLANK('Data Input'!P1077),"",'Data Input'!P1077)</f>
        <v/>
      </c>
      <c r="R1077" t="str">
        <f>IF(ISBLANK('Data Input'!Q1077),"",'Data Input'!Q1077)</f>
        <v/>
      </c>
      <c r="T1077" s="2" t="e">
        <f t="shared" si="66"/>
        <v>#VALUE!</v>
      </c>
      <c r="U1077" s="12" t="e">
        <f t="shared" si="67"/>
        <v>#VALUE!</v>
      </c>
      <c r="V1077" s="2" t="str">
        <f t="shared" si="68"/>
        <v/>
      </c>
      <c r="W1077" s="12" t="str">
        <f t="shared" si="69"/>
        <v/>
      </c>
    </row>
    <row r="1078" spans="1:23">
      <c r="A1078" t="str">
        <f>IF(ISBLANK('Data Input'!A1078),"",'Data Input'!A1078)</f>
        <v/>
      </c>
      <c r="B1078" t="str">
        <f>IF(ISBLANK('Data Input'!B1078),"",'Data Input'!B1078)</f>
        <v/>
      </c>
      <c r="C1078" t="str">
        <f>IF(ISBLANK('Data Input'!C1078),"",'Data Input'!C1078)</f>
        <v/>
      </c>
      <c r="E1078" t="str">
        <f>IF(ISBLANK('Data Input'!D1078),"",'Data Input'!D1078)</f>
        <v/>
      </c>
      <c r="G1078" t="str">
        <f>IF(ISBLANK('Data Input'!E1078),"",'Data Input'!E1078)</f>
        <v/>
      </c>
      <c r="H1078" t="str">
        <f>IF(ISBLANK('Data Input'!F1078),"",'Data Input'!F1078)</f>
        <v/>
      </c>
      <c r="I1078" t="str">
        <f>IF(ISBLANK('Data Input'!G1078),"",'Data Input'!G1078)</f>
        <v/>
      </c>
      <c r="J1078" t="str">
        <f>IF(ISBLANK('Data Input'!I1078),"",'Data Input'!I1078)</f>
        <v/>
      </c>
      <c r="K1078" t="str">
        <f>IF(ISBLANK('Data Input'!J1078),"",'Data Input'!J1078)</f>
        <v/>
      </c>
      <c r="L1078" t="str">
        <f>IF(ISBLANK('Data Input'!K1078),"",'Data Input'!K1078)</f>
        <v/>
      </c>
      <c r="M1078" t="str">
        <f>IF(ISBLANK('Data Input'!L1078),"",'Data Input'!L1078)</f>
        <v/>
      </c>
      <c r="N1078" t="str">
        <f>IF(ISBLANK('Data Input'!M1078),"",'Data Input'!M1078)</f>
        <v/>
      </c>
      <c r="O1078" t="str">
        <f>IF(ISBLANK('Data Input'!N1078),"",'Data Input'!N1078)</f>
        <v/>
      </c>
      <c r="P1078" t="str">
        <f>IF(ISBLANK('Data Input'!O1078),"",'Data Input'!O1078)</f>
        <v/>
      </c>
      <c r="Q1078" t="str">
        <f>IF(ISBLANK('Data Input'!P1078),"",'Data Input'!P1078)</f>
        <v/>
      </c>
      <c r="R1078" t="str">
        <f>IF(ISBLANK('Data Input'!Q1078),"",'Data Input'!Q1078)</f>
        <v/>
      </c>
      <c r="T1078" s="2" t="e">
        <f t="shared" si="66"/>
        <v>#VALUE!</v>
      </c>
      <c r="U1078" s="12" t="e">
        <f t="shared" si="67"/>
        <v>#VALUE!</v>
      </c>
      <c r="V1078" s="2" t="str">
        <f t="shared" si="68"/>
        <v/>
      </c>
      <c r="W1078" s="12" t="str">
        <f t="shared" si="69"/>
        <v/>
      </c>
    </row>
    <row r="1079" spans="1:23">
      <c r="A1079" t="str">
        <f>IF(ISBLANK('Data Input'!A1079),"",'Data Input'!A1079)</f>
        <v/>
      </c>
      <c r="B1079" t="str">
        <f>IF(ISBLANK('Data Input'!B1079),"",'Data Input'!B1079)</f>
        <v/>
      </c>
      <c r="C1079" t="str">
        <f>IF(ISBLANK('Data Input'!C1079),"",'Data Input'!C1079)</f>
        <v/>
      </c>
      <c r="E1079" t="str">
        <f>IF(ISBLANK('Data Input'!D1079),"",'Data Input'!D1079)</f>
        <v/>
      </c>
      <c r="G1079" t="str">
        <f>IF(ISBLANK('Data Input'!E1079),"",'Data Input'!E1079)</f>
        <v/>
      </c>
      <c r="H1079" t="str">
        <f>IF(ISBLANK('Data Input'!F1079),"",'Data Input'!F1079)</f>
        <v/>
      </c>
      <c r="I1079" t="str">
        <f>IF(ISBLANK('Data Input'!G1079),"",'Data Input'!G1079)</f>
        <v/>
      </c>
      <c r="J1079" t="str">
        <f>IF(ISBLANK('Data Input'!I1079),"",'Data Input'!I1079)</f>
        <v/>
      </c>
      <c r="K1079" t="str">
        <f>IF(ISBLANK('Data Input'!J1079),"",'Data Input'!J1079)</f>
        <v/>
      </c>
      <c r="L1079" t="str">
        <f>IF(ISBLANK('Data Input'!K1079),"",'Data Input'!K1079)</f>
        <v/>
      </c>
      <c r="M1079" t="str">
        <f>IF(ISBLANK('Data Input'!L1079),"",'Data Input'!L1079)</f>
        <v/>
      </c>
      <c r="N1079" t="str">
        <f>IF(ISBLANK('Data Input'!M1079),"",'Data Input'!M1079)</f>
        <v/>
      </c>
      <c r="O1079" t="str">
        <f>IF(ISBLANK('Data Input'!N1079),"",'Data Input'!N1079)</f>
        <v/>
      </c>
      <c r="P1079" t="str">
        <f>IF(ISBLANK('Data Input'!O1079),"",'Data Input'!O1079)</f>
        <v/>
      </c>
      <c r="Q1079" t="str">
        <f>IF(ISBLANK('Data Input'!P1079),"",'Data Input'!P1079)</f>
        <v/>
      </c>
      <c r="R1079" t="str">
        <f>IF(ISBLANK('Data Input'!Q1079),"",'Data Input'!Q1079)</f>
        <v/>
      </c>
      <c r="T1079" s="2" t="e">
        <f t="shared" si="66"/>
        <v>#VALUE!</v>
      </c>
      <c r="U1079" s="12" t="e">
        <f t="shared" si="67"/>
        <v>#VALUE!</v>
      </c>
      <c r="V1079" s="2" t="str">
        <f t="shared" si="68"/>
        <v/>
      </c>
      <c r="W1079" s="12" t="str">
        <f t="shared" si="69"/>
        <v/>
      </c>
    </row>
    <row r="1080" spans="1:23">
      <c r="A1080" t="str">
        <f>IF(ISBLANK('Data Input'!A1080),"",'Data Input'!A1080)</f>
        <v/>
      </c>
      <c r="B1080" t="str">
        <f>IF(ISBLANK('Data Input'!B1080),"",'Data Input'!B1080)</f>
        <v/>
      </c>
      <c r="C1080" t="str">
        <f>IF(ISBLANK('Data Input'!C1080),"",'Data Input'!C1080)</f>
        <v/>
      </c>
      <c r="E1080" t="str">
        <f>IF(ISBLANK('Data Input'!D1080),"",'Data Input'!D1080)</f>
        <v/>
      </c>
      <c r="G1080" t="str">
        <f>IF(ISBLANK('Data Input'!E1080),"",'Data Input'!E1080)</f>
        <v/>
      </c>
      <c r="H1080" t="str">
        <f>IF(ISBLANK('Data Input'!F1080),"",'Data Input'!F1080)</f>
        <v/>
      </c>
      <c r="I1080" t="str">
        <f>IF(ISBLANK('Data Input'!G1080),"",'Data Input'!G1080)</f>
        <v/>
      </c>
      <c r="J1080" t="str">
        <f>IF(ISBLANK('Data Input'!I1080),"",'Data Input'!I1080)</f>
        <v/>
      </c>
      <c r="K1080" t="str">
        <f>IF(ISBLANK('Data Input'!J1080),"",'Data Input'!J1080)</f>
        <v/>
      </c>
      <c r="L1080" t="str">
        <f>IF(ISBLANK('Data Input'!K1080),"",'Data Input'!K1080)</f>
        <v/>
      </c>
      <c r="M1080" t="str">
        <f>IF(ISBLANK('Data Input'!L1080),"",'Data Input'!L1080)</f>
        <v/>
      </c>
      <c r="N1080" t="str">
        <f>IF(ISBLANK('Data Input'!M1080),"",'Data Input'!M1080)</f>
        <v/>
      </c>
      <c r="O1080" t="str">
        <f>IF(ISBLANK('Data Input'!N1080),"",'Data Input'!N1080)</f>
        <v/>
      </c>
      <c r="P1080" t="str">
        <f>IF(ISBLANK('Data Input'!O1080),"",'Data Input'!O1080)</f>
        <v/>
      </c>
      <c r="Q1080" t="str">
        <f>IF(ISBLANK('Data Input'!P1080),"",'Data Input'!P1080)</f>
        <v/>
      </c>
      <c r="R1080" t="str">
        <f>IF(ISBLANK('Data Input'!Q1080),"",'Data Input'!Q1080)</f>
        <v/>
      </c>
      <c r="T1080" s="2" t="e">
        <f t="shared" si="66"/>
        <v>#VALUE!</v>
      </c>
      <c r="U1080" s="12" t="e">
        <f t="shared" si="67"/>
        <v>#VALUE!</v>
      </c>
      <c r="V1080" s="2" t="str">
        <f t="shared" si="68"/>
        <v/>
      </c>
      <c r="W1080" s="12" t="str">
        <f t="shared" si="69"/>
        <v/>
      </c>
    </row>
    <row r="1081" spans="1:23">
      <c r="A1081" t="str">
        <f>IF(ISBLANK('Data Input'!A1081),"",'Data Input'!A1081)</f>
        <v/>
      </c>
      <c r="B1081" t="str">
        <f>IF(ISBLANK('Data Input'!B1081),"",'Data Input'!B1081)</f>
        <v/>
      </c>
      <c r="C1081" t="str">
        <f>IF(ISBLANK('Data Input'!C1081),"",'Data Input'!C1081)</f>
        <v/>
      </c>
      <c r="E1081" t="str">
        <f>IF(ISBLANK('Data Input'!D1081),"",'Data Input'!D1081)</f>
        <v/>
      </c>
      <c r="G1081" t="str">
        <f>IF(ISBLANK('Data Input'!E1081),"",'Data Input'!E1081)</f>
        <v/>
      </c>
      <c r="H1081" t="str">
        <f>IF(ISBLANK('Data Input'!F1081),"",'Data Input'!F1081)</f>
        <v/>
      </c>
      <c r="I1081" t="str">
        <f>IF(ISBLANK('Data Input'!G1081),"",'Data Input'!G1081)</f>
        <v/>
      </c>
      <c r="J1081" t="str">
        <f>IF(ISBLANK('Data Input'!I1081),"",'Data Input'!I1081)</f>
        <v/>
      </c>
      <c r="K1081" t="str">
        <f>IF(ISBLANK('Data Input'!J1081),"",'Data Input'!J1081)</f>
        <v/>
      </c>
      <c r="L1081" t="str">
        <f>IF(ISBLANK('Data Input'!K1081),"",'Data Input'!K1081)</f>
        <v/>
      </c>
      <c r="M1081" t="str">
        <f>IF(ISBLANK('Data Input'!L1081),"",'Data Input'!L1081)</f>
        <v/>
      </c>
      <c r="N1081" t="str">
        <f>IF(ISBLANK('Data Input'!M1081),"",'Data Input'!M1081)</f>
        <v/>
      </c>
      <c r="O1081" t="str">
        <f>IF(ISBLANK('Data Input'!N1081),"",'Data Input'!N1081)</f>
        <v/>
      </c>
      <c r="P1081" t="str">
        <f>IF(ISBLANK('Data Input'!O1081),"",'Data Input'!O1081)</f>
        <v/>
      </c>
      <c r="Q1081" t="str">
        <f>IF(ISBLANK('Data Input'!P1081),"",'Data Input'!P1081)</f>
        <v/>
      </c>
      <c r="R1081" t="str">
        <f>IF(ISBLANK('Data Input'!Q1081),"",'Data Input'!Q1081)</f>
        <v/>
      </c>
      <c r="T1081" s="2" t="e">
        <f t="shared" si="66"/>
        <v>#VALUE!</v>
      </c>
      <c r="U1081" s="12" t="e">
        <f t="shared" si="67"/>
        <v>#VALUE!</v>
      </c>
      <c r="V1081" s="2" t="str">
        <f t="shared" si="68"/>
        <v/>
      </c>
      <c r="W1081" s="12" t="str">
        <f t="shared" si="69"/>
        <v/>
      </c>
    </row>
    <row r="1082" spans="1:23">
      <c r="A1082" t="str">
        <f>IF(ISBLANK('Data Input'!A1082),"",'Data Input'!A1082)</f>
        <v/>
      </c>
      <c r="B1082" t="str">
        <f>IF(ISBLANK('Data Input'!B1082),"",'Data Input'!B1082)</f>
        <v/>
      </c>
      <c r="C1082" t="str">
        <f>IF(ISBLANK('Data Input'!C1082),"",'Data Input'!C1082)</f>
        <v/>
      </c>
      <c r="E1082" t="str">
        <f>IF(ISBLANK('Data Input'!D1082),"",'Data Input'!D1082)</f>
        <v/>
      </c>
      <c r="G1082" t="str">
        <f>IF(ISBLANK('Data Input'!E1082),"",'Data Input'!E1082)</f>
        <v/>
      </c>
      <c r="H1082" t="str">
        <f>IF(ISBLANK('Data Input'!F1082),"",'Data Input'!F1082)</f>
        <v/>
      </c>
      <c r="I1082" t="str">
        <f>IF(ISBLANK('Data Input'!G1082),"",'Data Input'!G1082)</f>
        <v/>
      </c>
      <c r="J1082" t="str">
        <f>IF(ISBLANK('Data Input'!I1082),"",'Data Input'!I1082)</f>
        <v/>
      </c>
      <c r="K1082" t="str">
        <f>IF(ISBLANK('Data Input'!J1082),"",'Data Input'!J1082)</f>
        <v/>
      </c>
      <c r="L1082" t="str">
        <f>IF(ISBLANK('Data Input'!K1082),"",'Data Input'!K1082)</f>
        <v/>
      </c>
      <c r="M1082" t="str">
        <f>IF(ISBLANK('Data Input'!L1082),"",'Data Input'!L1082)</f>
        <v/>
      </c>
      <c r="N1082" t="str">
        <f>IF(ISBLANK('Data Input'!M1082),"",'Data Input'!M1082)</f>
        <v/>
      </c>
      <c r="O1082" t="str">
        <f>IF(ISBLANK('Data Input'!N1082),"",'Data Input'!N1082)</f>
        <v/>
      </c>
      <c r="P1082" t="str">
        <f>IF(ISBLANK('Data Input'!O1082),"",'Data Input'!O1082)</f>
        <v/>
      </c>
      <c r="Q1082" t="str">
        <f>IF(ISBLANK('Data Input'!P1082),"",'Data Input'!P1082)</f>
        <v/>
      </c>
      <c r="R1082" t="str">
        <f>IF(ISBLANK('Data Input'!Q1082),"",'Data Input'!Q1082)</f>
        <v/>
      </c>
      <c r="T1082" s="2" t="e">
        <f t="shared" si="66"/>
        <v>#VALUE!</v>
      </c>
      <c r="U1082" s="12" t="e">
        <f t="shared" si="67"/>
        <v>#VALUE!</v>
      </c>
      <c r="V1082" s="2" t="str">
        <f t="shared" si="68"/>
        <v/>
      </c>
      <c r="W1082" s="12" t="str">
        <f t="shared" si="69"/>
        <v/>
      </c>
    </row>
    <row r="1083" spans="1:23">
      <c r="A1083" t="str">
        <f>IF(ISBLANK('Data Input'!A1083),"",'Data Input'!A1083)</f>
        <v/>
      </c>
      <c r="B1083" t="str">
        <f>IF(ISBLANK('Data Input'!B1083),"",'Data Input'!B1083)</f>
        <v/>
      </c>
      <c r="C1083" t="str">
        <f>IF(ISBLANK('Data Input'!C1083),"",'Data Input'!C1083)</f>
        <v/>
      </c>
      <c r="E1083" t="str">
        <f>IF(ISBLANK('Data Input'!D1083),"",'Data Input'!D1083)</f>
        <v/>
      </c>
      <c r="G1083" t="str">
        <f>IF(ISBLANK('Data Input'!E1083),"",'Data Input'!E1083)</f>
        <v/>
      </c>
      <c r="H1083" t="str">
        <f>IF(ISBLANK('Data Input'!F1083),"",'Data Input'!F1083)</f>
        <v/>
      </c>
      <c r="I1083" t="str">
        <f>IF(ISBLANK('Data Input'!G1083),"",'Data Input'!G1083)</f>
        <v/>
      </c>
      <c r="J1083" t="str">
        <f>IF(ISBLANK('Data Input'!I1083),"",'Data Input'!I1083)</f>
        <v/>
      </c>
      <c r="K1083" t="str">
        <f>IF(ISBLANK('Data Input'!J1083),"",'Data Input'!J1083)</f>
        <v/>
      </c>
      <c r="L1083" t="str">
        <f>IF(ISBLANK('Data Input'!K1083),"",'Data Input'!K1083)</f>
        <v/>
      </c>
      <c r="M1083" t="str">
        <f>IF(ISBLANK('Data Input'!L1083),"",'Data Input'!L1083)</f>
        <v/>
      </c>
      <c r="N1083" t="str">
        <f>IF(ISBLANK('Data Input'!M1083),"",'Data Input'!M1083)</f>
        <v/>
      </c>
      <c r="O1083" t="str">
        <f>IF(ISBLANK('Data Input'!N1083),"",'Data Input'!N1083)</f>
        <v/>
      </c>
      <c r="P1083" t="str">
        <f>IF(ISBLANK('Data Input'!O1083),"",'Data Input'!O1083)</f>
        <v/>
      </c>
      <c r="Q1083" t="str">
        <f>IF(ISBLANK('Data Input'!P1083),"",'Data Input'!P1083)</f>
        <v/>
      </c>
      <c r="R1083" t="str">
        <f>IF(ISBLANK('Data Input'!Q1083),"",'Data Input'!Q1083)</f>
        <v/>
      </c>
      <c r="T1083" s="2" t="e">
        <f t="shared" si="66"/>
        <v>#VALUE!</v>
      </c>
      <c r="U1083" s="12" t="e">
        <f t="shared" si="67"/>
        <v>#VALUE!</v>
      </c>
      <c r="V1083" s="2" t="str">
        <f t="shared" si="68"/>
        <v/>
      </c>
      <c r="W1083" s="12" t="str">
        <f t="shared" si="69"/>
        <v/>
      </c>
    </row>
    <row r="1084" spans="1:23">
      <c r="A1084" t="str">
        <f>IF(ISBLANK('Data Input'!A1084),"",'Data Input'!A1084)</f>
        <v/>
      </c>
      <c r="B1084" t="str">
        <f>IF(ISBLANK('Data Input'!B1084),"",'Data Input'!B1084)</f>
        <v/>
      </c>
      <c r="C1084" t="str">
        <f>IF(ISBLANK('Data Input'!C1084),"",'Data Input'!C1084)</f>
        <v/>
      </c>
      <c r="E1084" t="str">
        <f>IF(ISBLANK('Data Input'!D1084),"",'Data Input'!D1084)</f>
        <v/>
      </c>
      <c r="G1084" t="str">
        <f>IF(ISBLANK('Data Input'!E1084),"",'Data Input'!E1084)</f>
        <v/>
      </c>
      <c r="H1084" t="str">
        <f>IF(ISBLANK('Data Input'!F1084),"",'Data Input'!F1084)</f>
        <v/>
      </c>
      <c r="I1084" t="str">
        <f>IF(ISBLANK('Data Input'!G1084),"",'Data Input'!G1084)</f>
        <v/>
      </c>
      <c r="J1084" t="str">
        <f>IF(ISBLANK('Data Input'!I1084),"",'Data Input'!I1084)</f>
        <v/>
      </c>
      <c r="K1084" t="str">
        <f>IF(ISBLANK('Data Input'!J1084),"",'Data Input'!J1084)</f>
        <v/>
      </c>
      <c r="L1084" t="str">
        <f>IF(ISBLANK('Data Input'!K1084),"",'Data Input'!K1084)</f>
        <v/>
      </c>
      <c r="M1084" t="str">
        <f>IF(ISBLANK('Data Input'!L1084),"",'Data Input'!L1084)</f>
        <v/>
      </c>
      <c r="N1084" t="str">
        <f>IF(ISBLANK('Data Input'!M1084),"",'Data Input'!M1084)</f>
        <v/>
      </c>
      <c r="O1084" t="str">
        <f>IF(ISBLANK('Data Input'!N1084),"",'Data Input'!N1084)</f>
        <v/>
      </c>
      <c r="P1084" t="str">
        <f>IF(ISBLANK('Data Input'!O1084),"",'Data Input'!O1084)</f>
        <v/>
      </c>
      <c r="Q1084" t="str">
        <f>IF(ISBLANK('Data Input'!P1084),"",'Data Input'!P1084)</f>
        <v/>
      </c>
      <c r="R1084" t="str">
        <f>IF(ISBLANK('Data Input'!Q1084),"",'Data Input'!Q1084)</f>
        <v/>
      </c>
      <c r="T1084" s="2" t="e">
        <f t="shared" si="66"/>
        <v>#VALUE!</v>
      </c>
      <c r="U1084" s="12" t="e">
        <f t="shared" si="67"/>
        <v>#VALUE!</v>
      </c>
      <c r="V1084" s="2" t="str">
        <f t="shared" si="68"/>
        <v/>
      </c>
      <c r="W1084" s="12" t="str">
        <f t="shared" si="69"/>
        <v/>
      </c>
    </row>
    <row r="1085" spans="1:23">
      <c r="A1085" t="str">
        <f>IF(ISBLANK('Data Input'!A1085),"",'Data Input'!A1085)</f>
        <v/>
      </c>
      <c r="B1085" t="str">
        <f>IF(ISBLANK('Data Input'!B1085),"",'Data Input'!B1085)</f>
        <v/>
      </c>
      <c r="C1085" t="str">
        <f>IF(ISBLANK('Data Input'!C1085),"",'Data Input'!C1085)</f>
        <v/>
      </c>
      <c r="E1085" t="str">
        <f>IF(ISBLANK('Data Input'!D1085),"",'Data Input'!D1085)</f>
        <v/>
      </c>
      <c r="G1085" t="str">
        <f>IF(ISBLANK('Data Input'!E1085),"",'Data Input'!E1085)</f>
        <v/>
      </c>
      <c r="H1085" t="str">
        <f>IF(ISBLANK('Data Input'!F1085),"",'Data Input'!F1085)</f>
        <v/>
      </c>
      <c r="I1085" t="str">
        <f>IF(ISBLANK('Data Input'!G1085),"",'Data Input'!G1085)</f>
        <v/>
      </c>
      <c r="J1085" t="str">
        <f>IF(ISBLANK('Data Input'!I1085),"",'Data Input'!I1085)</f>
        <v/>
      </c>
      <c r="K1085" t="str">
        <f>IF(ISBLANK('Data Input'!J1085),"",'Data Input'!J1085)</f>
        <v/>
      </c>
      <c r="L1085" t="str">
        <f>IF(ISBLANK('Data Input'!K1085),"",'Data Input'!K1085)</f>
        <v/>
      </c>
      <c r="M1085" t="str">
        <f>IF(ISBLANK('Data Input'!L1085),"",'Data Input'!L1085)</f>
        <v/>
      </c>
      <c r="N1085" t="str">
        <f>IF(ISBLANK('Data Input'!M1085),"",'Data Input'!M1085)</f>
        <v/>
      </c>
      <c r="O1085" t="str">
        <f>IF(ISBLANK('Data Input'!N1085),"",'Data Input'!N1085)</f>
        <v/>
      </c>
      <c r="P1085" t="str">
        <f>IF(ISBLANK('Data Input'!O1085),"",'Data Input'!O1085)</f>
        <v/>
      </c>
      <c r="Q1085" t="str">
        <f>IF(ISBLANK('Data Input'!P1085),"",'Data Input'!P1085)</f>
        <v/>
      </c>
      <c r="R1085" t="str">
        <f>IF(ISBLANK('Data Input'!Q1085),"",'Data Input'!Q1085)</f>
        <v/>
      </c>
      <c r="T1085" s="2" t="e">
        <f t="shared" si="66"/>
        <v>#VALUE!</v>
      </c>
      <c r="U1085" s="12" t="e">
        <f t="shared" si="67"/>
        <v>#VALUE!</v>
      </c>
      <c r="V1085" s="2" t="str">
        <f t="shared" si="68"/>
        <v/>
      </c>
      <c r="W1085" s="12" t="str">
        <f t="shared" si="69"/>
        <v/>
      </c>
    </row>
    <row r="1086" spans="1:23">
      <c r="A1086" t="str">
        <f>IF(ISBLANK('Data Input'!A1086),"",'Data Input'!A1086)</f>
        <v/>
      </c>
      <c r="B1086" t="str">
        <f>IF(ISBLANK('Data Input'!B1086),"",'Data Input'!B1086)</f>
        <v/>
      </c>
      <c r="C1086" t="str">
        <f>IF(ISBLANK('Data Input'!C1086),"",'Data Input'!C1086)</f>
        <v/>
      </c>
      <c r="E1086" t="str">
        <f>IF(ISBLANK('Data Input'!D1086),"",'Data Input'!D1086)</f>
        <v/>
      </c>
      <c r="G1086" t="str">
        <f>IF(ISBLANK('Data Input'!E1086),"",'Data Input'!E1086)</f>
        <v/>
      </c>
      <c r="H1086" t="str">
        <f>IF(ISBLANK('Data Input'!F1086),"",'Data Input'!F1086)</f>
        <v/>
      </c>
      <c r="I1086" t="str">
        <f>IF(ISBLANK('Data Input'!G1086),"",'Data Input'!G1086)</f>
        <v/>
      </c>
      <c r="J1086" t="str">
        <f>IF(ISBLANK('Data Input'!I1086),"",'Data Input'!I1086)</f>
        <v/>
      </c>
      <c r="K1086" t="str">
        <f>IF(ISBLANK('Data Input'!J1086),"",'Data Input'!J1086)</f>
        <v/>
      </c>
      <c r="L1086" t="str">
        <f>IF(ISBLANK('Data Input'!K1086),"",'Data Input'!K1086)</f>
        <v/>
      </c>
      <c r="M1086" t="str">
        <f>IF(ISBLANK('Data Input'!L1086),"",'Data Input'!L1086)</f>
        <v/>
      </c>
      <c r="N1086" t="str">
        <f>IF(ISBLANK('Data Input'!M1086),"",'Data Input'!M1086)</f>
        <v/>
      </c>
      <c r="O1086" t="str">
        <f>IF(ISBLANK('Data Input'!N1086),"",'Data Input'!N1086)</f>
        <v/>
      </c>
      <c r="P1086" t="str">
        <f>IF(ISBLANK('Data Input'!O1086),"",'Data Input'!O1086)</f>
        <v/>
      </c>
      <c r="Q1086" t="str">
        <f>IF(ISBLANK('Data Input'!P1086),"",'Data Input'!P1086)</f>
        <v/>
      </c>
      <c r="R1086" t="str">
        <f>IF(ISBLANK('Data Input'!Q1086),"",'Data Input'!Q1086)</f>
        <v/>
      </c>
      <c r="T1086" s="2" t="e">
        <f t="shared" si="66"/>
        <v>#VALUE!</v>
      </c>
      <c r="U1086" s="12" t="e">
        <f t="shared" si="67"/>
        <v>#VALUE!</v>
      </c>
      <c r="V1086" s="2" t="str">
        <f t="shared" si="68"/>
        <v/>
      </c>
      <c r="W1086" s="12" t="str">
        <f t="shared" si="69"/>
        <v/>
      </c>
    </row>
    <row r="1087" spans="1:23">
      <c r="A1087" t="str">
        <f>IF(ISBLANK('Data Input'!A1087),"",'Data Input'!A1087)</f>
        <v/>
      </c>
      <c r="B1087" t="str">
        <f>IF(ISBLANK('Data Input'!B1087),"",'Data Input'!B1087)</f>
        <v/>
      </c>
      <c r="C1087" t="str">
        <f>IF(ISBLANK('Data Input'!C1087),"",'Data Input'!C1087)</f>
        <v/>
      </c>
      <c r="E1087" t="str">
        <f>IF(ISBLANK('Data Input'!D1087),"",'Data Input'!D1087)</f>
        <v/>
      </c>
      <c r="G1087" t="str">
        <f>IF(ISBLANK('Data Input'!E1087),"",'Data Input'!E1087)</f>
        <v/>
      </c>
      <c r="H1087" t="str">
        <f>IF(ISBLANK('Data Input'!F1087),"",'Data Input'!F1087)</f>
        <v/>
      </c>
      <c r="I1087" t="str">
        <f>IF(ISBLANK('Data Input'!G1087),"",'Data Input'!G1087)</f>
        <v/>
      </c>
      <c r="J1087" t="str">
        <f>IF(ISBLANK('Data Input'!I1087),"",'Data Input'!I1087)</f>
        <v/>
      </c>
      <c r="K1087" t="str">
        <f>IF(ISBLANK('Data Input'!J1087),"",'Data Input'!J1087)</f>
        <v/>
      </c>
      <c r="L1087" t="str">
        <f>IF(ISBLANK('Data Input'!K1087),"",'Data Input'!K1087)</f>
        <v/>
      </c>
      <c r="M1087" t="str">
        <f>IF(ISBLANK('Data Input'!L1087),"",'Data Input'!L1087)</f>
        <v/>
      </c>
      <c r="N1087" t="str">
        <f>IF(ISBLANK('Data Input'!M1087),"",'Data Input'!M1087)</f>
        <v/>
      </c>
      <c r="O1087" t="str">
        <f>IF(ISBLANK('Data Input'!N1087),"",'Data Input'!N1087)</f>
        <v/>
      </c>
      <c r="P1087" t="str">
        <f>IF(ISBLANK('Data Input'!O1087),"",'Data Input'!O1087)</f>
        <v/>
      </c>
      <c r="Q1087" t="str">
        <f>IF(ISBLANK('Data Input'!P1087),"",'Data Input'!P1087)</f>
        <v/>
      </c>
      <c r="R1087" t="str">
        <f>IF(ISBLANK('Data Input'!Q1087),"",'Data Input'!Q1087)</f>
        <v/>
      </c>
      <c r="T1087" s="2" t="e">
        <f t="shared" si="66"/>
        <v>#VALUE!</v>
      </c>
      <c r="U1087" s="12" t="e">
        <f t="shared" si="67"/>
        <v>#VALUE!</v>
      </c>
      <c r="V1087" s="2" t="str">
        <f t="shared" si="68"/>
        <v/>
      </c>
      <c r="W1087" s="12" t="str">
        <f t="shared" si="69"/>
        <v/>
      </c>
    </row>
    <row r="1088" spans="1:23">
      <c r="A1088" t="str">
        <f>IF(ISBLANK('Data Input'!A1088),"",'Data Input'!A1088)</f>
        <v/>
      </c>
      <c r="B1088" t="str">
        <f>IF(ISBLANK('Data Input'!B1088),"",'Data Input'!B1088)</f>
        <v/>
      </c>
      <c r="C1088" t="str">
        <f>IF(ISBLANK('Data Input'!C1088),"",'Data Input'!C1088)</f>
        <v/>
      </c>
      <c r="E1088" t="str">
        <f>IF(ISBLANK('Data Input'!D1088),"",'Data Input'!D1088)</f>
        <v/>
      </c>
      <c r="G1088" t="str">
        <f>IF(ISBLANK('Data Input'!E1088),"",'Data Input'!E1088)</f>
        <v/>
      </c>
      <c r="H1088" t="str">
        <f>IF(ISBLANK('Data Input'!F1088),"",'Data Input'!F1088)</f>
        <v/>
      </c>
      <c r="I1088" t="str">
        <f>IF(ISBLANK('Data Input'!G1088),"",'Data Input'!G1088)</f>
        <v/>
      </c>
      <c r="J1088" t="str">
        <f>IF(ISBLANK('Data Input'!I1088),"",'Data Input'!I1088)</f>
        <v/>
      </c>
      <c r="K1088" t="str">
        <f>IF(ISBLANK('Data Input'!J1088),"",'Data Input'!J1088)</f>
        <v/>
      </c>
      <c r="L1088" t="str">
        <f>IF(ISBLANK('Data Input'!K1088),"",'Data Input'!K1088)</f>
        <v/>
      </c>
      <c r="M1088" t="str">
        <f>IF(ISBLANK('Data Input'!L1088),"",'Data Input'!L1088)</f>
        <v/>
      </c>
      <c r="N1088" t="str">
        <f>IF(ISBLANK('Data Input'!M1088),"",'Data Input'!M1088)</f>
        <v/>
      </c>
      <c r="O1088" t="str">
        <f>IF(ISBLANK('Data Input'!N1088),"",'Data Input'!N1088)</f>
        <v/>
      </c>
      <c r="P1088" t="str">
        <f>IF(ISBLANK('Data Input'!O1088),"",'Data Input'!O1088)</f>
        <v/>
      </c>
      <c r="Q1088" t="str">
        <f>IF(ISBLANK('Data Input'!P1088),"",'Data Input'!P1088)</f>
        <v/>
      </c>
      <c r="R1088" t="str">
        <f>IF(ISBLANK('Data Input'!Q1088),"",'Data Input'!Q1088)</f>
        <v/>
      </c>
      <c r="T1088" s="2" t="e">
        <f t="shared" si="66"/>
        <v>#VALUE!</v>
      </c>
      <c r="U1088" s="12" t="e">
        <f t="shared" si="67"/>
        <v>#VALUE!</v>
      </c>
      <c r="V1088" s="2" t="str">
        <f t="shared" si="68"/>
        <v/>
      </c>
      <c r="W1088" s="12" t="str">
        <f t="shared" si="69"/>
        <v/>
      </c>
    </row>
    <row r="1089" spans="1:23">
      <c r="A1089" t="str">
        <f>IF(ISBLANK('Data Input'!A1089),"",'Data Input'!A1089)</f>
        <v/>
      </c>
      <c r="B1089" t="str">
        <f>IF(ISBLANK('Data Input'!B1089),"",'Data Input'!B1089)</f>
        <v/>
      </c>
      <c r="C1089" t="str">
        <f>IF(ISBLANK('Data Input'!C1089),"",'Data Input'!C1089)</f>
        <v/>
      </c>
      <c r="E1089" t="str">
        <f>IF(ISBLANK('Data Input'!D1089),"",'Data Input'!D1089)</f>
        <v/>
      </c>
      <c r="G1089" t="str">
        <f>IF(ISBLANK('Data Input'!E1089),"",'Data Input'!E1089)</f>
        <v/>
      </c>
      <c r="H1089" t="str">
        <f>IF(ISBLANK('Data Input'!F1089),"",'Data Input'!F1089)</f>
        <v/>
      </c>
      <c r="I1089" t="str">
        <f>IF(ISBLANK('Data Input'!G1089),"",'Data Input'!G1089)</f>
        <v/>
      </c>
      <c r="J1089" t="str">
        <f>IF(ISBLANK('Data Input'!I1089),"",'Data Input'!I1089)</f>
        <v/>
      </c>
      <c r="K1089" t="str">
        <f>IF(ISBLANK('Data Input'!J1089),"",'Data Input'!J1089)</f>
        <v/>
      </c>
      <c r="L1089" t="str">
        <f>IF(ISBLANK('Data Input'!K1089),"",'Data Input'!K1089)</f>
        <v/>
      </c>
      <c r="M1089" t="str">
        <f>IF(ISBLANK('Data Input'!L1089),"",'Data Input'!L1089)</f>
        <v/>
      </c>
      <c r="N1089" t="str">
        <f>IF(ISBLANK('Data Input'!M1089),"",'Data Input'!M1089)</f>
        <v/>
      </c>
      <c r="O1089" t="str">
        <f>IF(ISBLANK('Data Input'!N1089),"",'Data Input'!N1089)</f>
        <v/>
      </c>
      <c r="P1089" t="str">
        <f>IF(ISBLANK('Data Input'!O1089),"",'Data Input'!O1089)</f>
        <v/>
      </c>
      <c r="Q1089" t="str">
        <f>IF(ISBLANK('Data Input'!P1089),"",'Data Input'!P1089)</f>
        <v/>
      </c>
      <c r="R1089" t="str">
        <f>IF(ISBLANK('Data Input'!Q1089),"",'Data Input'!Q1089)</f>
        <v/>
      </c>
      <c r="T1089" s="2" t="e">
        <f t="shared" si="66"/>
        <v>#VALUE!</v>
      </c>
      <c r="U1089" s="12" t="e">
        <f t="shared" si="67"/>
        <v>#VALUE!</v>
      </c>
      <c r="V1089" s="2" t="str">
        <f t="shared" si="68"/>
        <v/>
      </c>
      <c r="W1089" s="12" t="str">
        <f t="shared" si="69"/>
        <v/>
      </c>
    </row>
    <row r="1090" spans="1:23">
      <c r="A1090" t="str">
        <f>IF(ISBLANK('Data Input'!A1090),"",'Data Input'!A1090)</f>
        <v/>
      </c>
      <c r="B1090" t="str">
        <f>IF(ISBLANK('Data Input'!B1090),"",'Data Input'!B1090)</f>
        <v/>
      </c>
      <c r="C1090" t="str">
        <f>IF(ISBLANK('Data Input'!C1090),"",'Data Input'!C1090)</f>
        <v/>
      </c>
      <c r="E1090" t="str">
        <f>IF(ISBLANK('Data Input'!D1090),"",'Data Input'!D1090)</f>
        <v/>
      </c>
      <c r="G1090" t="str">
        <f>IF(ISBLANK('Data Input'!E1090),"",'Data Input'!E1090)</f>
        <v/>
      </c>
      <c r="H1090" t="str">
        <f>IF(ISBLANK('Data Input'!F1090),"",'Data Input'!F1090)</f>
        <v/>
      </c>
      <c r="I1090" t="str">
        <f>IF(ISBLANK('Data Input'!G1090),"",'Data Input'!G1090)</f>
        <v/>
      </c>
      <c r="J1090" t="str">
        <f>IF(ISBLANK('Data Input'!I1090),"",'Data Input'!I1090)</f>
        <v/>
      </c>
      <c r="K1090" t="str">
        <f>IF(ISBLANK('Data Input'!J1090),"",'Data Input'!J1090)</f>
        <v/>
      </c>
      <c r="L1090" t="str">
        <f>IF(ISBLANK('Data Input'!K1090),"",'Data Input'!K1090)</f>
        <v/>
      </c>
      <c r="M1090" t="str">
        <f>IF(ISBLANK('Data Input'!L1090),"",'Data Input'!L1090)</f>
        <v/>
      </c>
      <c r="N1090" t="str">
        <f>IF(ISBLANK('Data Input'!M1090),"",'Data Input'!M1090)</f>
        <v/>
      </c>
      <c r="O1090" t="str">
        <f>IF(ISBLANK('Data Input'!N1090),"",'Data Input'!N1090)</f>
        <v/>
      </c>
      <c r="P1090" t="str">
        <f>IF(ISBLANK('Data Input'!O1090),"",'Data Input'!O1090)</f>
        <v/>
      </c>
      <c r="Q1090" t="str">
        <f>IF(ISBLANK('Data Input'!P1090),"",'Data Input'!P1090)</f>
        <v/>
      </c>
      <c r="R1090" t="str">
        <f>IF(ISBLANK('Data Input'!Q1090),"",'Data Input'!Q1090)</f>
        <v/>
      </c>
      <c r="T1090" s="2" t="e">
        <f t="shared" si="66"/>
        <v>#VALUE!</v>
      </c>
      <c r="U1090" s="12" t="e">
        <f t="shared" si="67"/>
        <v>#VALUE!</v>
      </c>
      <c r="V1090" s="2" t="str">
        <f t="shared" si="68"/>
        <v/>
      </c>
      <c r="W1090" s="12" t="str">
        <f t="shared" si="69"/>
        <v/>
      </c>
    </row>
    <row r="1091" spans="1:23">
      <c r="A1091" t="str">
        <f>IF(ISBLANK('Data Input'!A1091),"",'Data Input'!A1091)</f>
        <v/>
      </c>
      <c r="B1091" t="str">
        <f>IF(ISBLANK('Data Input'!B1091),"",'Data Input'!B1091)</f>
        <v/>
      </c>
      <c r="C1091" t="str">
        <f>IF(ISBLANK('Data Input'!C1091),"",'Data Input'!C1091)</f>
        <v/>
      </c>
      <c r="E1091" t="str">
        <f>IF(ISBLANK('Data Input'!D1091),"",'Data Input'!D1091)</f>
        <v/>
      </c>
      <c r="G1091" t="str">
        <f>IF(ISBLANK('Data Input'!E1091),"",'Data Input'!E1091)</f>
        <v/>
      </c>
      <c r="H1091" t="str">
        <f>IF(ISBLANK('Data Input'!F1091),"",'Data Input'!F1091)</f>
        <v/>
      </c>
      <c r="I1091" t="str">
        <f>IF(ISBLANK('Data Input'!G1091),"",'Data Input'!G1091)</f>
        <v/>
      </c>
      <c r="J1091" t="str">
        <f>IF(ISBLANK('Data Input'!I1091),"",'Data Input'!I1091)</f>
        <v/>
      </c>
      <c r="K1091" t="str">
        <f>IF(ISBLANK('Data Input'!J1091),"",'Data Input'!J1091)</f>
        <v/>
      </c>
      <c r="L1091" t="str">
        <f>IF(ISBLANK('Data Input'!K1091),"",'Data Input'!K1091)</f>
        <v/>
      </c>
      <c r="M1091" t="str">
        <f>IF(ISBLANK('Data Input'!L1091),"",'Data Input'!L1091)</f>
        <v/>
      </c>
      <c r="N1091" t="str">
        <f>IF(ISBLANK('Data Input'!M1091),"",'Data Input'!M1091)</f>
        <v/>
      </c>
      <c r="O1091" t="str">
        <f>IF(ISBLANK('Data Input'!N1091),"",'Data Input'!N1091)</f>
        <v/>
      </c>
      <c r="P1091" t="str">
        <f>IF(ISBLANK('Data Input'!O1091),"",'Data Input'!O1091)</f>
        <v/>
      </c>
      <c r="Q1091" t="str">
        <f>IF(ISBLANK('Data Input'!P1091),"",'Data Input'!P1091)</f>
        <v/>
      </c>
      <c r="R1091" t="str">
        <f>IF(ISBLANK('Data Input'!Q1091),"",'Data Input'!Q1091)</f>
        <v/>
      </c>
      <c r="T1091" s="2" t="e">
        <f t="shared" ref="T1091:T1154" si="70">DATEVALUE(LEFT(C1091,FIND(" ",C1091)))</f>
        <v>#VALUE!</v>
      </c>
      <c r="U1091" s="12" t="e">
        <f t="shared" ref="U1091:U1154" si="71">TIMEVALUE(CONCATENATE(MID(C1091,FIND(" ",C1091)+1,2),":",RIGHT(C1091,LEN(C1091)-FIND(" ",C1091)-2)))</f>
        <v>#VALUE!</v>
      </c>
      <c r="V1091" s="2" t="str">
        <f t="shared" si="68"/>
        <v/>
      </c>
      <c r="W1091" s="12" t="str">
        <f t="shared" si="69"/>
        <v/>
      </c>
    </row>
    <row r="1092" spans="1:23">
      <c r="A1092" t="str">
        <f>IF(ISBLANK('Data Input'!A1092),"",'Data Input'!A1092)</f>
        <v/>
      </c>
      <c r="B1092" t="str">
        <f>IF(ISBLANK('Data Input'!B1092),"",'Data Input'!B1092)</f>
        <v/>
      </c>
      <c r="C1092" t="str">
        <f>IF(ISBLANK('Data Input'!C1092),"",'Data Input'!C1092)</f>
        <v/>
      </c>
      <c r="E1092" t="str">
        <f>IF(ISBLANK('Data Input'!D1092),"",'Data Input'!D1092)</f>
        <v/>
      </c>
      <c r="G1092" t="str">
        <f>IF(ISBLANK('Data Input'!E1092),"",'Data Input'!E1092)</f>
        <v/>
      </c>
      <c r="H1092" t="str">
        <f>IF(ISBLANK('Data Input'!F1092),"",'Data Input'!F1092)</f>
        <v/>
      </c>
      <c r="I1092" t="str">
        <f>IF(ISBLANK('Data Input'!G1092),"",'Data Input'!G1092)</f>
        <v/>
      </c>
      <c r="J1092" t="str">
        <f>IF(ISBLANK('Data Input'!I1092),"",'Data Input'!I1092)</f>
        <v/>
      </c>
      <c r="K1092" t="str">
        <f>IF(ISBLANK('Data Input'!J1092),"",'Data Input'!J1092)</f>
        <v/>
      </c>
      <c r="L1092" t="str">
        <f>IF(ISBLANK('Data Input'!K1092),"",'Data Input'!K1092)</f>
        <v/>
      </c>
      <c r="M1092" t="str">
        <f>IF(ISBLANK('Data Input'!L1092),"",'Data Input'!L1092)</f>
        <v/>
      </c>
      <c r="N1092" t="str">
        <f>IF(ISBLANK('Data Input'!M1092),"",'Data Input'!M1092)</f>
        <v/>
      </c>
      <c r="O1092" t="str">
        <f>IF(ISBLANK('Data Input'!N1092),"",'Data Input'!N1092)</f>
        <v/>
      </c>
      <c r="P1092" t="str">
        <f>IF(ISBLANK('Data Input'!O1092),"",'Data Input'!O1092)</f>
        <v/>
      </c>
      <c r="Q1092" t="str">
        <f>IF(ISBLANK('Data Input'!P1092),"",'Data Input'!P1092)</f>
        <v/>
      </c>
      <c r="R1092" t="str">
        <f>IF(ISBLANK('Data Input'!Q1092),"",'Data Input'!Q1092)</f>
        <v/>
      </c>
      <c r="T1092" s="2" t="e">
        <f t="shared" si="70"/>
        <v>#VALUE!</v>
      </c>
      <c r="U1092" s="12" t="e">
        <f t="shared" si="71"/>
        <v>#VALUE!</v>
      </c>
      <c r="V1092" s="2" t="str">
        <f t="shared" si="68"/>
        <v/>
      </c>
      <c r="W1092" s="12" t="str">
        <f t="shared" si="69"/>
        <v/>
      </c>
    </row>
    <row r="1093" spans="1:23">
      <c r="A1093" t="str">
        <f>IF(ISBLANK('Data Input'!A1093),"",'Data Input'!A1093)</f>
        <v/>
      </c>
      <c r="B1093" t="str">
        <f>IF(ISBLANK('Data Input'!B1093),"",'Data Input'!B1093)</f>
        <v/>
      </c>
      <c r="C1093" t="str">
        <f>IF(ISBLANK('Data Input'!C1093),"",'Data Input'!C1093)</f>
        <v/>
      </c>
      <c r="E1093" t="str">
        <f>IF(ISBLANK('Data Input'!D1093),"",'Data Input'!D1093)</f>
        <v/>
      </c>
      <c r="G1093" t="str">
        <f>IF(ISBLANK('Data Input'!E1093),"",'Data Input'!E1093)</f>
        <v/>
      </c>
      <c r="H1093" t="str">
        <f>IF(ISBLANK('Data Input'!F1093),"",'Data Input'!F1093)</f>
        <v/>
      </c>
      <c r="I1093" t="str">
        <f>IF(ISBLANK('Data Input'!G1093),"",'Data Input'!G1093)</f>
        <v/>
      </c>
      <c r="J1093" t="str">
        <f>IF(ISBLANK('Data Input'!I1093),"",'Data Input'!I1093)</f>
        <v/>
      </c>
      <c r="K1093" t="str">
        <f>IF(ISBLANK('Data Input'!J1093),"",'Data Input'!J1093)</f>
        <v/>
      </c>
      <c r="L1093" t="str">
        <f>IF(ISBLANK('Data Input'!K1093),"",'Data Input'!K1093)</f>
        <v/>
      </c>
      <c r="M1093" t="str">
        <f>IF(ISBLANK('Data Input'!L1093),"",'Data Input'!L1093)</f>
        <v/>
      </c>
      <c r="N1093" t="str">
        <f>IF(ISBLANK('Data Input'!M1093),"",'Data Input'!M1093)</f>
        <v/>
      </c>
      <c r="O1093" t="str">
        <f>IF(ISBLANK('Data Input'!N1093),"",'Data Input'!N1093)</f>
        <v/>
      </c>
      <c r="P1093" t="str">
        <f>IF(ISBLANK('Data Input'!O1093),"",'Data Input'!O1093)</f>
        <v/>
      </c>
      <c r="Q1093" t="str">
        <f>IF(ISBLANK('Data Input'!P1093),"",'Data Input'!P1093)</f>
        <v/>
      </c>
      <c r="R1093" t="str">
        <f>IF(ISBLANK('Data Input'!Q1093),"",'Data Input'!Q1093)</f>
        <v/>
      </c>
      <c r="T1093" s="2" t="e">
        <f t="shared" si="70"/>
        <v>#VALUE!</v>
      </c>
      <c r="U1093" s="12" t="e">
        <f t="shared" si="71"/>
        <v>#VALUE!</v>
      </c>
      <c r="V1093" s="2" t="str">
        <f t="shared" si="68"/>
        <v/>
      </c>
      <c r="W1093" s="12" t="str">
        <f t="shared" si="69"/>
        <v/>
      </c>
    </row>
    <row r="1094" spans="1:23">
      <c r="A1094" t="str">
        <f>IF(ISBLANK('Data Input'!A1094),"",'Data Input'!A1094)</f>
        <v/>
      </c>
      <c r="B1094" t="str">
        <f>IF(ISBLANK('Data Input'!B1094),"",'Data Input'!B1094)</f>
        <v/>
      </c>
      <c r="C1094" t="str">
        <f>IF(ISBLANK('Data Input'!C1094),"",'Data Input'!C1094)</f>
        <v/>
      </c>
      <c r="E1094" t="str">
        <f>IF(ISBLANK('Data Input'!D1094),"",'Data Input'!D1094)</f>
        <v/>
      </c>
      <c r="G1094" t="str">
        <f>IF(ISBLANK('Data Input'!E1094),"",'Data Input'!E1094)</f>
        <v/>
      </c>
      <c r="H1094" t="str">
        <f>IF(ISBLANK('Data Input'!F1094),"",'Data Input'!F1094)</f>
        <v/>
      </c>
      <c r="I1094" t="str">
        <f>IF(ISBLANK('Data Input'!G1094),"",'Data Input'!G1094)</f>
        <v/>
      </c>
      <c r="J1094" t="str">
        <f>IF(ISBLANK('Data Input'!I1094),"",'Data Input'!I1094)</f>
        <v/>
      </c>
      <c r="K1094" t="str">
        <f>IF(ISBLANK('Data Input'!J1094),"",'Data Input'!J1094)</f>
        <v/>
      </c>
      <c r="L1094" t="str">
        <f>IF(ISBLANK('Data Input'!K1094),"",'Data Input'!K1094)</f>
        <v/>
      </c>
      <c r="M1094" t="str">
        <f>IF(ISBLANK('Data Input'!L1094),"",'Data Input'!L1094)</f>
        <v/>
      </c>
      <c r="N1094" t="str">
        <f>IF(ISBLANK('Data Input'!M1094),"",'Data Input'!M1094)</f>
        <v/>
      </c>
      <c r="O1094" t="str">
        <f>IF(ISBLANK('Data Input'!N1094),"",'Data Input'!N1094)</f>
        <v/>
      </c>
      <c r="P1094" t="str">
        <f>IF(ISBLANK('Data Input'!O1094),"",'Data Input'!O1094)</f>
        <v/>
      </c>
      <c r="Q1094" t="str">
        <f>IF(ISBLANK('Data Input'!P1094),"",'Data Input'!P1094)</f>
        <v/>
      </c>
      <c r="R1094" t="str">
        <f>IF(ISBLANK('Data Input'!Q1094),"",'Data Input'!Q1094)</f>
        <v/>
      </c>
      <c r="T1094" s="2" t="e">
        <f t="shared" si="70"/>
        <v>#VALUE!</v>
      </c>
      <c r="U1094" s="12" t="e">
        <f t="shared" si="71"/>
        <v>#VALUE!</v>
      </c>
      <c r="V1094" s="2" t="str">
        <f t="shared" si="68"/>
        <v/>
      </c>
      <c r="W1094" s="12" t="str">
        <f t="shared" si="69"/>
        <v/>
      </c>
    </row>
    <row r="1095" spans="1:23">
      <c r="A1095" t="str">
        <f>IF(ISBLANK('Data Input'!A1095),"",'Data Input'!A1095)</f>
        <v/>
      </c>
      <c r="B1095" t="str">
        <f>IF(ISBLANK('Data Input'!B1095),"",'Data Input'!B1095)</f>
        <v/>
      </c>
      <c r="C1095" t="str">
        <f>IF(ISBLANK('Data Input'!C1095),"",'Data Input'!C1095)</f>
        <v/>
      </c>
      <c r="E1095" t="str">
        <f>IF(ISBLANK('Data Input'!D1095),"",'Data Input'!D1095)</f>
        <v/>
      </c>
      <c r="G1095" t="str">
        <f>IF(ISBLANK('Data Input'!E1095),"",'Data Input'!E1095)</f>
        <v/>
      </c>
      <c r="H1095" t="str">
        <f>IF(ISBLANK('Data Input'!F1095),"",'Data Input'!F1095)</f>
        <v/>
      </c>
      <c r="I1095" t="str">
        <f>IF(ISBLANK('Data Input'!G1095),"",'Data Input'!G1095)</f>
        <v/>
      </c>
      <c r="J1095" t="str">
        <f>IF(ISBLANK('Data Input'!I1095),"",'Data Input'!I1095)</f>
        <v/>
      </c>
      <c r="K1095" t="str">
        <f>IF(ISBLANK('Data Input'!J1095),"",'Data Input'!J1095)</f>
        <v/>
      </c>
      <c r="L1095" t="str">
        <f>IF(ISBLANK('Data Input'!K1095),"",'Data Input'!K1095)</f>
        <v/>
      </c>
      <c r="M1095" t="str">
        <f>IF(ISBLANK('Data Input'!L1095),"",'Data Input'!L1095)</f>
        <v/>
      </c>
      <c r="N1095" t="str">
        <f>IF(ISBLANK('Data Input'!M1095),"",'Data Input'!M1095)</f>
        <v/>
      </c>
      <c r="O1095" t="str">
        <f>IF(ISBLANK('Data Input'!N1095),"",'Data Input'!N1095)</f>
        <v/>
      </c>
      <c r="P1095" t="str">
        <f>IF(ISBLANK('Data Input'!O1095),"",'Data Input'!O1095)</f>
        <v/>
      </c>
      <c r="Q1095" t="str">
        <f>IF(ISBLANK('Data Input'!P1095),"",'Data Input'!P1095)</f>
        <v/>
      </c>
      <c r="R1095" t="str">
        <f>IF(ISBLANK('Data Input'!Q1095),"",'Data Input'!Q1095)</f>
        <v/>
      </c>
      <c r="T1095" s="2" t="e">
        <f t="shared" si="70"/>
        <v>#VALUE!</v>
      </c>
      <c r="U1095" s="12" t="e">
        <f t="shared" si="71"/>
        <v>#VALUE!</v>
      </c>
      <c r="V1095" s="2" t="str">
        <f t="shared" ref="V1095:V1158" si="72">IFERROR(DATEVALUE(LEFT(E1095,FIND(" ",E1095))),E1095)</f>
        <v/>
      </c>
      <c r="W1095" s="12" t="str">
        <f t="shared" ref="W1095:W1158" si="73">IFERROR(TIMEVALUE(CONCATENATE(MID(E1095,FIND(" ",E1095)+1,2),":",RIGHT(E1095,LEN(E1095)-FIND(" ",E1095)-2))),E1095)</f>
        <v/>
      </c>
    </row>
    <row r="1096" spans="1:23">
      <c r="A1096" t="str">
        <f>IF(ISBLANK('Data Input'!A1096),"",'Data Input'!A1096)</f>
        <v/>
      </c>
      <c r="B1096" t="str">
        <f>IF(ISBLANK('Data Input'!B1096),"",'Data Input'!B1096)</f>
        <v/>
      </c>
      <c r="C1096" t="str">
        <f>IF(ISBLANK('Data Input'!C1096),"",'Data Input'!C1096)</f>
        <v/>
      </c>
      <c r="E1096" t="str">
        <f>IF(ISBLANK('Data Input'!D1096),"",'Data Input'!D1096)</f>
        <v/>
      </c>
      <c r="G1096" t="str">
        <f>IF(ISBLANK('Data Input'!E1096),"",'Data Input'!E1096)</f>
        <v/>
      </c>
      <c r="H1096" t="str">
        <f>IF(ISBLANK('Data Input'!F1096),"",'Data Input'!F1096)</f>
        <v/>
      </c>
      <c r="I1096" t="str">
        <f>IF(ISBLANK('Data Input'!G1096),"",'Data Input'!G1096)</f>
        <v/>
      </c>
      <c r="J1096" t="str">
        <f>IF(ISBLANK('Data Input'!I1096),"",'Data Input'!I1096)</f>
        <v/>
      </c>
      <c r="K1096" t="str">
        <f>IF(ISBLANK('Data Input'!J1096),"",'Data Input'!J1096)</f>
        <v/>
      </c>
      <c r="L1096" t="str">
        <f>IF(ISBLANK('Data Input'!K1096),"",'Data Input'!K1096)</f>
        <v/>
      </c>
      <c r="M1096" t="str">
        <f>IF(ISBLANK('Data Input'!L1096),"",'Data Input'!L1096)</f>
        <v/>
      </c>
      <c r="N1096" t="str">
        <f>IF(ISBLANK('Data Input'!M1096),"",'Data Input'!M1096)</f>
        <v/>
      </c>
      <c r="O1096" t="str">
        <f>IF(ISBLANK('Data Input'!N1096),"",'Data Input'!N1096)</f>
        <v/>
      </c>
      <c r="P1096" t="str">
        <f>IF(ISBLANK('Data Input'!O1096),"",'Data Input'!O1096)</f>
        <v/>
      </c>
      <c r="Q1096" t="str">
        <f>IF(ISBLANK('Data Input'!P1096),"",'Data Input'!P1096)</f>
        <v/>
      </c>
      <c r="R1096" t="str">
        <f>IF(ISBLANK('Data Input'!Q1096),"",'Data Input'!Q1096)</f>
        <v/>
      </c>
      <c r="T1096" s="2" t="e">
        <f t="shared" si="70"/>
        <v>#VALUE!</v>
      </c>
      <c r="U1096" s="12" t="e">
        <f t="shared" si="71"/>
        <v>#VALUE!</v>
      </c>
      <c r="V1096" s="2" t="str">
        <f t="shared" si="72"/>
        <v/>
      </c>
      <c r="W1096" s="12" t="str">
        <f t="shared" si="73"/>
        <v/>
      </c>
    </row>
    <row r="1097" spans="1:23">
      <c r="A1097" t="str">
        <f>IF(ISBLANK('Data Input'!A1097),"",'Data Input'!A1097)</f>
        <v/>
      </c>
      <c r="B1097" t="str">
        <f>IF(ISBLANK('Data Input'!B1097),"",'Data Input'!B1097)</f>
        <v/>
      </c>
      <c r="C1097" t="str">
        <f>IF(ISBLANK('Data Input'!C1097),"",'Data Input'!C1097)</f>
        <v/>
      </c>
      <c r="E1097" t="str">
        <f>IF(ISBLANK('Data Input'!D1097),"",'Data Input'!D1097)</f>
        <v/>
      </c>
      <c r="G1097" t="str">
        <f>IF(ISBLANK('Data Input'!E1097),"",'Data Input'!E1097)</f>
        <v/>
      </c>
      <c r="H1097" t="str">
        <f>IF(ISBLANK('Data Input'!F1097),"",'Data Input'!F1097)</f>
        <v/>
      </c>
      <c r="I1097" t="str">
        <f>IF(ISBLANK('Data Input'!G1097),"",'Data Input'!G1097)</f>
        <v/>
      </c>
      <c r="J1097" t="str">
        <f>IF(ISBLANK('Data Input'!I1097),"",'Data Input'!I1097)</f>
        <v/>
      </c>
      <c r="K1097" t="str">
        <f>IF(ISBLANK('Data Input'!J1097),"",'Data Input'!J1097)</f>
        <v/>
      </c>
      <c r="L1097" t="str">
        <f>IF(ISBLANK('Data Input'!K1097),"",'Data Input'!K1097)</f>
        <v/>
      </c>
      <c r="M1097" t="str">
        <f>IF(ISBLANK('Data Input'!L1097),"",'Data Input'!L1097)</f>
        <v/>
      </c>
      <c r="N1097" t="str">
        <f>IF(ISBLANK('Data Input'!M1097),"",'Data Input'!M1097)</f>
        <v/>
      </c>
      <c r="O1097" t="str">
        <f>IF(ISBLANK('Data Input'!N1097),"",'Data Input'!N1097)</f>
        <v/>
      </c>
      <c r="P1097" t="str">
        <f>IF(ISBLANK('Data Input'!O1097),"",'Data Input'!O1097)</f>
        <v/>
      </c>
      <c r="Q1097" t="str">
        <f>IF(ISBLANK('Data Input'!P1097),"",'Data Input'!P1097)</f>
        <v/>
      </c>
      <c r="R1097" t="str">
        <f>IF(ISBLANK('Data Input'!Q1097),"",'Data Input'!Q1097)</f>
        <v/>
      </c>
      <c r="T1097" s="2" t="e">
        <f t="shared" si="70"/>
        <v>#VALUE!</v>
      </c>
      <c r="U1097" s="12" t="e">
        <f t="shared" si="71"/>
        <v>#VALUE!</v>
      </c>
      <c r="V1097" s="2" t="str">
        <f t="shared" si="72"/>
        <v/>
      </c>
      <c r="W1097" s="12" t="str">
        <f t="shared" si="73"/>
        <v/>
      </c>
    </row>
    <row r="1098" spans="1:23">
      <c r="A1098" t="str">
        <f>IF(ISBLANK('Data Input'!A1098),"",'Data Input'!A1098)</f>
        <v/>
      </c>
      <c r="B1098" t="str">
        <f>IF(ISBLANK('Data Input'!B1098),"",'Data Input'!B1098)</f>
        <v/>
      </c>
      <c r="C1098" t="str">
        <f>IF(ISBLANK('Data Input'!C1098),"",'Data Input'!C1098)</f>
        <v/>
      </c>
      <c r="E1098" t="str">
        <f>IF(ISBLANK('Data Input'!D1098),"",'Data Input'!D1098)</f>
        <v/>
      </c>
      <c r="G1098" t="str">
        <f>IF(ISBLANK('Data Input'!E1098),"",'Data Input'!E1098)</f>
        <v/>
      </c>
      <c r="H1098" t="str">
        <f>IF(ISBLANK('Data Input'!F1098),"",'Data Input'!F1098)</f>
        <v/>
      </c>
      <c r="I1098" t="str">
        <f>IF(ISBLANK('Data Input'!G1098),"",'Data Input'!G1098)</f>
        <v/>
      </c>
      <c r="J1098" t="str">
        <f>IF(ISBLANK('Data Input'!I1098),"",'Data Input'!I1098)</f>
        <v/>
      </c>
      <c r="K1098" t="str">
        <f>IF(ISBLANK('Data Input'!J1098),"",'Data Input'!J1098)</f>
        <v/>
      </c>
      <c r="L1098" t="str">
        <f>IF(ISBLANK('Data Input'!K1098),"",'Data Input'!K1098)</f>
        <v/>
      </c>
      <c r="M1098" t="str">
        <f>IF(ISBLANK('Data Input'!L1098),"",'Data Input'!L1098)</f>
        <v/>
      </c>
      <c r="N1098" t="str">
        <f>IF(ISBLANK('Data Input'!M1098),"",'Data Input'!M1098)</f>
        <v/>
      </c>
      <c r="O1098" t="str">
        <f>IF(ISBLANK('Data Input'!N1098),"",'Data Input'!N1098)</f>
        <v/>
      </c>
      <c r="P1098" t="str">
        <f>IF(ISBLANK('Data Input'!O1098),"",'Data Input'!O1098)</f>
        <v/>
      </c>
      <c r="Q1098" t="str">
        <f>IF(ISBLANK('Data Input'!P1098),"",'Data Input'!P1098)</f>
        <v/>
      </c>
      <c r="R1098" t="str">
        <f>IF(ISBLANK('Data Input'!Q1098),"",'Data Input'!Q1098)</f>
        <v/>
      </c>
      <c r="T1098" s="2" t="e">
        <f t="shared" si="70"/>
        <v>#VALUE!</v>
      </c>
      <c r="U1098" s="12" t="e">
        <f t="shared" si="71"/>
        <v>#VALUE!</v>
      </c>
      <c r="V1098" s="2" t="str">
        <f t="shared" si="72"/>
        <v/>
      </c>
      <c r="W1098" s="12" t="str">
        <f t="shared" si="73"/>
        <v/>
      </c>
    </row>
    <row r="1099" spans="1:23">
      <c r="A1099" t="str">
        <f>IF(ISBLANK('Data Input'!A1099),"",'Data Input'!A1099)</f>
        <v/>
      </c>
      <c r="B1099" t="str">
        <f>IF(ISBLANK('Data Input'!B1099),"",'Data Input'!B1099)</f>
        <v/>
      </c>
      <c r="C1099" t="str">
        <f>IF(ISBLANK('Data Input'!C1099),"",'Data Input'!C1099)</f>
        <v/>
      </c>
      <c r="E1099" t="str">
        <f>IF(ISBLANK('Data Input'!D1099),"",'Data Input'!D1099)</f>
        <v/>
      </c>
      <c r="G1099" t="str">
        <f>IF(ISBLANK('Data Input'!E1099),"",'Data Input'!E1099)</f>
        <v/>
      </c>
      <c r="H1099" t="str">
        <f>IF(ISBLANK('Data Input'!F1099),"",'Data Input'!F1099)</f>
        <v/>
      </c>
      <c r="I1099" t="str">
        <f>IF(ISBLANK('Data Input'!G1099),"",'Data Input'!G1099)</f>
        <v/>
      </c>
      <c r="J1099" t="str">
        <f>IF(ISBLANK('Data Input'!I1099),"",'Data Input'!I1099)</f>
        <v/>
      </c>
      <c r="K1099" t="str">
        <f>IF(ISBLANK('Data Input'!J1099),"",'Data Input'!J1099)</f>
        <v/>
      </c>
      <c r="L1099" t="str">
        <f>IF(ISBLANK('Data Input'!K1099),"",'Data Input'!K1099)</f>
        <v/>
      </c>
      <c r="M1099" t="str">
        <f>IF(ISBLANK('Data Input'!L1099),"",'Data Input'!L1099)</f>
        <v/>
      </c>
      <c r="N1099" t="str">
        <f>IF(ISBLANK('Data Input'!M1099),"",'Data Input'!M1099)</f>
        <v/>
      </c>
      <c r="O1099" t="str">
        <f>IF(ISBLANK('Data Input'!N1099),"",'Data Input'!N1099)</f>
        <v/>
      </c>
      <c r="P1099" t="str">
        <f>IF(ISBLANK('Data Input'!O1099),"",'Data Input'!O1099)</f>
        <v/>
      </c>
      <c r="Q1099" t="str">
        <f>IF(ISBLANK('Data Input'!P1099),"",'Data Input'!P1099)</f>
        <v/>
      </c>
      <c r="R1099" t="str">
        <f>IF(ISBLANK('Data Input'!Q1099),"",'Data Input'!Q1099)</f>
        <v/>
      </c>
      <c r="T1099" s="2" t="e">
        <f t="shared" si="70"/>
        <v>#VALUE!</v>
      </c>
      <c r="U1099" s="12" t="e">
        <f t="shared" si="71"/>
        <v>#VALUE!</v>
      </c>
      <c r="V1099" s="2" t="str">
        <f t="shared" si="72"/>
        <v/>
      </c>
      <c r="W1099" s="12" t="str">
        <f t="shared" si="73"/>
        <v/>
      </c>
    </row>
    <row r="1100" spans="1:23">
      <c r="A1100" t="str">
        <f>IF(ISBLANK('Data Input'!A1100),"",'Data Input'!A1100)</f>
        <v/>
      </c>
      <c r="B1100" t="str">
        <f>IF(ISBLANK('Data Input'!B1100),"",'Data Input'!B1100)</f>
        <v/>
      </c>
      <c r="C1100" t="str">
        <f>IF(ISBLANK('Data Input'!C1100),"",'Data Input'!C1100)</f>
        <v/>
      </c>
      <c r="E1100" t="str">
        <f>IF(ISBLANK('Data Input'!D1100),"",'Data Input'!D1100)</f>
        <v/>
      </c>
      <c r="G1100" t="str">
        <f>IF(ISBLANK('Data Input'!E1100),"",'Data Input'!E1100)</f>
        <v/>
      </c>
      <c r="H1100" t="str">
        <f>IF(ISBLANK('Data Input'!F1100),"",'Data Input'!F1100)</f>
        <v/>
      </c>
      <c r="I1100" t="str">
        <f>IF(ISBLANK('Data Input'!G1100),"",'Data Input'!G1100)</f>
        <v/>
      </c>
      <c r="J1100" t="str">
        <f>IF(ISBLANK('Data Input'!I1100),"",'Data Input'!I1100)</f>
        <v/>
      </c>
      <c r="K1100" t="str">
        <f>IF(ISBLANK('Data Input'!J1100),"",'Data Input'!J1100)</f>
        <v/>
      </c>
      <c r="L1100" t="str">
        <f>IF(ISBLANK('Data Input'!K1100),"",'Data Input'!K1100)</f>
        <v/>
      </c>
      <c r="M1100" t="str">
        <f>IF(ISBLANK('Data Input'!L1100),"",'Data Input'!L1100)</f>
        <v/>
      </c>
      <c r="N1100" t="str">
        <f>IF(ISBLANK('Data Input'!M1100),"",'Data Input'!M1100)</f>
        <v/>
      </c>
      <c r="O1100" t="str">
        <f>IF(ISBLANK('Data Input'!N1100),"",'Data Input'!N1100)</f>
        <v/>
      </c>
      <c r="P1100" t="str">
        <f>IF(ISBLANK('Data Input'!O1100),"",'Data Input'!O1100)</f>
        <v/>
      </c>
      <c r="Q1100" t="str">
        <f>IF(ISBLANK('Data Input'!P1100),"",'Data Input'!P1100)</f>
        <v/>
      </c>
      <c r="R1100" t="str">
        <f>IF(ISBLANK('Data Input'!Q1100),"",'Data Input'!Q1100)</f>
        <v/>
      </c>
      <c r="T1100" s="2" t="e">
        <f t="shared" si="70"/>
        <v>#VALUE!</v>
      </c>
      <c r="U1100" s="12" t="e">
        <f t="shared" si="71"/>
        <v>#VALUE!</v>
      </c>
      <c r="V1100" s="2" t="str">
        <f t="shared" si="72"/>
        <v/>
      </c>
      <c r="W1100" s="12" t="str">
        <f t="shared" si="73"/>
        <v/>
      </c>
    </row>
    <row r="1101" spans="1:23">
      <c r="A1101" t="str">
        <f>IF(ISBLANK('Data Input'!A1101),"",'Data Input'!A1101)</f>
        <v/>
      </c>
      <c r="B1101" t="str">
        <f>IF(ISBLANK('Data Input'!B1101),"",'Data Input'!B1101)</f>
        <v/>
      </c>
      <c r="C1101" t="str">
        <f>IF(ISBLANK('Data Input'!C1101),"",'Data Input'!C1101)</f>
        <v/>
      </c>
      <c r="E1101" t="str">
        <f>IF(ISBLANK('Data Input'!D1101),"",'Data Input'!D1101)</f>
        <v/>
      </c>
      <c r="G1101" t="str">
        <f>IF(ISBLANK('Data Input'!E1101),"",'Data Input'!E1101)</f>
        <v/>
      </c>
      <c r="H1101" t="str">
        <f>IF(ISBLANK('Data Input'!F1101),"",'Data Input'!F1101)</f>
        <v/>
      </c>
      <c r="I1101" t="str">
        <f>IF(ISBLANK('Data Input'!G1101),"",'Data Input'!G1101)</f>
        <v/>
      </c>
      <c r="J1101" t="str">
        <f>IF(ISBLANK('Data Input'!I1101),"",'Data Input'!I1101)</f>
        <v/>
      </c>
      <c r="K1101" t="str">
        <f>IF(ISBLANK('Data Input'!J1101),"",'Data Input'!J1101)</f>
        <v/>
      </c>
      <c r="L1101" t="str">
        <f>IF(ISBLANK('Data Input'!K1101),"",'Data Input'!K1101)</f>
        <v/>
      </c>
      <c r="M1101" t="str">
        <f>IF(ISBLANK('Data Input'!L1101),"",'Data Input'!L1101)</f>
        <v/>
      </c>
      <c r="N1101" t="str">
        <f>IF(ISBLANK('Data Input'!M1101),"",'Data Input'!M1101)</f>
        <v/>
      </c>
      <c r="O1101" t="str">
        <f>IF(ISBLANK('Data Input'!N1101),"",'Data Input'!N1101)</f>
        <v/>
      </c>
      <c r="P1101" t="str">
        <f>IF(ISBLANK('Data Input'!O1101),"",'Data Input'!O1101)</f>
        <v/>
      </c>
      <c r="Q1101" t="str">
        <f>IF(ISBLANK('Data Input'!P1101),"",'Data Input'!P1101)</f>
        <v/>
      </c>
      <c r="R1101" t="str">
        <f>IF(ISBLANK('Data Input'!Q1101),"",'Data Input'!Q1101)</f>
        <v/>
      </c>
      <c r="T1101" s="2" t="e">
        <f t="shared" si="70"/>
        <v>#VALUE!</v>
      </c>
      <c r="U1101" s="12" t="e">
        <f t="shared" si="71"/>
        <v>#VALUE!</v>
      </c>
      <c r="V1101" s="2" t="str">
        <f t="shared" si="72"/>
        <v/>
      </c>
      <c r="W1101" s="12" t="str">
        <f t="shared" si="73"/>
        <v/>
      </c>
    </row>
    <row r="1102" spans="1:23">
      <c r="A1102" t="str">
        <f>IF(ISBLANK('Data Input'!A1102),"",'Data Input'!A1102)</f>
        <v/>
      </c>
      <c r="B1102" t="str">
        <f>IF(ISBLANK('Data Input'!B1102),"",'Data Input'!B1102)</f>
        <v/>
      </c>
      <c r="C1102" t="str">
        <f>IF(ISBLANK('Data Input'!C1102),"",'Data Input'!C1102)</f>
        <v/>
      </c>
      <c r="E1102" t="str">
        <f>IF(ISBLANK('Data Input'!D1102),"",'Data Input'!D1102)</f>
        <v/>
      </c>
      <c r="G1102" t="str">
        <f>IF(ISBLANK('Data Input'!E1102),"",'Data Input'!E1102)</f>
        <v/>
      </c>
      <c r="H1102" t="str">
        <f>IF(ISBLANK('Data Input'!F1102),"",'Data Input'!F1102)</f>
        <v/>
      </c>
      <c r="I1102" t="str">
        <f>IF(ISBLANK('Data Input'!G1102),"",'Data Input'!G1102)</f>
        <v/>
      </c>
      <c r="J1102" t="str">
        <f>IF(ISBLANK('Data Input'!I1102),"",'Data Input'!I1102)</f>
        <v/>
      </c>
      <c r="K1102" t="str">
        <f>IF(ISBLANK('Data Input'!J1102),"",'Data Input'!J1102)</f>
        <v/>
      </c>
      <c r="L1102" t="str">
        <f>IF(ISBLANK('Data Input'!K1102),"",'Data Input'!K1102)</f>
        <v/>
      </c>
      <c r="M1102" t="str">
        <f>IF(ISBLANK('Data Input'!L1102),"",'Data Input'!L1102)</f>
        <v/>
      </c>
      <c r="N1102" t="str">
        <f>IF(ISBLANK('Data Input'!M1102),"",'Data Input'!M1102)</f>
        <v/>
      </c>
      <c r="O1102" t="str">
        <f>IF(ISBLANK('Data Input'!N1102),"",'Data Input'!N1102)</f>
        <v/>
      </c>
      <c r="P1102" t="str">
        <f>IF(ISBLANK('Data Input'!O1102),"",'Data Input'!O1102)</f>
        <v/>
      </c>
      <c r="Q1102" t="str">
        <f>IF(ISBLANK('Data Input'!P1102),"",'Data Input'!P1102)</f>
        <v/>
      </c>
      <c r="R1102" t="str">
        <f>IF(ISBLANK('Data Input'!Q1102),"",'Data Input'!Q1102)</f>
        <v/>
      </c>
      <c r="T1102" s="2" t="e">
        <f t="shared" si="70"/>
        <v>#VALUE!</v>
      </c>
      <c r="U1102" s="12" t="e">
        <f t="shared" si="71"/>
        <v>#VALUE!</v>
      </c>
      <c r="V1102" s="2" t="str">
        <f t="shared" si="72"/>
        <v/>
      </c>
      <c r="W1102" s="12" t="str">
        <f t="shared" si="73"/>
        <v/>
      </c>
    </row>
    <row r="1103" spans="1:23">
      <c r="A1103" t="str">
        <f>IF(ISBLANK('Data Input'!A1103),"",'Data Input'!A1103)</f>
        <v/>
      </c>
      <c r="B1103" t="str">
        <f>IF(ISBLANK('Data Input'!B1103),"",'Data Input'!B1103)</f>
        <v/>
      </c>
      <c r="C1103" t="str">
        <f>IF(ISBLANK('Data Input'!C1103),"",'Data Input'!C1103)</f>
        <v/>
      </c>
      <c r="E1103" t="str">
        <f>IF(ISBLANK('Data Input'!D1103),"",'Data Input'!D1103)</f>
        <v/>
      </c>
      <c r="G1103" t="str">
        <f>IF(ISBLANK('Data Input'!E1103),"",'Data Input'!E1103)</f>
        <v/>
      </c>
      <c r="H1103" t="str">
        <f>IF(ISBLANK('Data Input'!F1103),"",'Data Input'!F1103)</f>
        <v/>
      </c>
      <c r="I1103" t="str">
        <f>IF(ISBLANK('Data Input'!G1103),"",'Data Input'!G1103)</f>
        <v/>
      </c>
      <c r="J1103" t="str">
        <f>IF(ISBLANK('Data Input'!I1103),"",'Data Input'!I1103)</f>
        <v/>
      </c>
      <c r="K1103" t="str">
        <f>IF(ISBLANK('Data Input'!J1103),"",'Data Input'!J1103)</f>
        <v/>
      </c>
      <c r="L1103" t="str">
        <f>IF(ISBLANK('Data Input'!K1103),"",'Data Input'!K1103)</f>
        <v/>
      </c>
      <c r="M1103" t="str">
        <f>IF(ISBLANK('Data Input'!L1103),"",'Data Input'!L1103)</f>
        <v/>
      </c>
      <c r="N1103" t="str">
        <f>IF(ISBLANK('Data Input'!M1103),"",'Data Input'!M1103)</f>
        <v/>
      </c>
      <c r="O1103" t="str">
        <f>IF(ISBLANK('Data Input'!N1103),"",'Data Input'!N1103)</f>
        <v/>
      </c>
      <c r="P1103" t="str">
        <f>IF(ISBLANK('Data Input'!O1103),"",'Data Input'!O1103)</f>
        <v/>
      </c>
      <c r="Q1103" t="str">
        <f>IF(ISBLANK('Data Input'!P1103),"",'Data Input'!P1103)</f>
        <v/>
      </c>
      <c r="R1103" t="str">
        <f>IF(ISBLANK('Data Input'!Q1103),"",'Data Input'!Q1103)</f>
        <v/>
      </c>
      <c r="T1103" s="2" t="e">
        <f t="shared" si="70"/>
        <v>#VALUE!</v>
      </c>
      <c r="U1103" s="12" t="e">
        <f t="shared" si="71"/>
        <v>#VALUE!</v>
      </c>
      <c r="V1103" s="2" t="str">
        <f t="shared" si="72"/>
        <v/>
      </c>
      <c r="W1103" s="12" t="str">
        <f t="shared" si="73"/>
        <v/>
      </c>
    </row>
    <row r="1104" spans="1:23">
      <c r="A1104" t="str">
        <f>IF(ISBLANK('Data Input'!A1104),"",'Data Input'!A1104)</f>
        <v/>
      </c>
      <c r="B1104" t="str">
        <f>IF(ISBLANK('Data Input'!B1104),"",'Data Input'!B1104)</f>
        <v/>
      </c>
      <c r="C1104" t="str">
        <f>IF(ISBLANK('Data Input'!C1104),"",'Data Input'!C1104)</f>
        <v/>
      </c>
      <c r="E1104" t="str">
        <f>IF(ISBLANK('Data Input'!D1104),"",'Data Input'!D1104)</f>
        <v/>
      </c>
      <c r="G1104" t="str">
        <f>IF(ISBLANK('Data Input'!E1104),"",'Data Input'!E1104)</f>
        <v/>
      </c>
      <c r="H1104" t="str">
        <f>IF(ISBLANK('Data Input'!F1104),"",'Data Input'!F1104)</f>
        <v/>
      </c>
      <c r="I1104" t="str">
        <f>IF(ISBLANK('Data Input'!G1104),"",'Data Input'!G1104)</f>
        <v/>
      </c>
      <c r="J1104" t="str">
        <f>IF(ISBLANK('Data Input'!I1104),"",'Data Input'!I1104)</f>
        <v/>
      </c>
      <c r="K1104" t="str">
        <f>IF(ISBLANK('Data Input'!J1104),"",'Data Input'!J1104)</f>
        <v/>
      </c>
      <c r="L1104" t="str">
        <f>IF(ISBLANK('Data Input'!K1104),"",'Data Input'!K1104)</f>
        <v/>
      </c>
      <c r="M1104" t="str">
        <f>IF(ISBLANK('Data Input'!L1104),"",'Data Input'!L1104)</f>
        <v/>
      </c>
      <c r="N1104" t="str">
        <f>IF(ISBLANK('Data Input'!M1104),"",'Data Input'!M1104)</f>
        <v/>
      </c>
      <c r="O1104" t="str">
        <f>IF(ISBLANK('Data Input'!N1104),"",'Data Input'!N1104)</f>
        <v/>
      </c>
      <c r="P1104" t="str">
        <f>IF(ISBLANK('Data Input'!O1104),"",'Data Input'!O1104)</f>
        <v/>
      </c>
      <c r="Q1104" t="str">
        <f>IF(ISBLANK('Data Input'!P1104),"",'Data Input'!P1104)</f>
        <v/>
      </c>
      <c r="R1104" t="str">
        <f>IF(ISBLANK('Data Input'!Q1104),"",'Data Input'!Q1104)</f>
        <v/>
      </c>
      <c r="T1104" s="2" t="e">
        <f t="shared" si="70"/>
        <v>#VALUE!</v>
      </c>
      <c r="U1104" s="12" t="e">
        <f t="shared" si="71"/>
        <v>#VALUE!</v>
      </c>
      <c r="V1104" s="2" t="str">
        <f t="shared" si="72"/>
        <v/>
      </c>
      <c r="W1104" s="12" t="str">
        <f t="shared" si="73"/>
        <v/>
      </c>
    </row>
    <row r="1105" spans="1:23">
      <c r="A1105" t="str">
        <f>IF(ISBLANK('Data Input'!A1105),"",'Data Input'!A1105)</f>
        <v/>
      </c>
      <c r="B1105" t="str">
        <f>IF(ISBLANK('Data Input'!B1105),"",'Data Input'!B1105)</f>
        <v/>
      </c>
      <c r="C1105" t="str">
        <f>IF(ISBLANK('Data Input'!C1105),"",'Data Input'!C1105)</f>
        <v/>
      </c>
      <c r="E1105" t="str">
        <f>IF(ISBLANK('Data Input'!D1105),"",'Data Input'!D1105)</f>
        <v/>
      </c>
      <c r="G1105" t="str">
        <f>IF(ISBLANK('Data Input'!E1105),"",'Data Input'!E1105)</f>
        <v/>
      </c>
      <c r="H1105" t="str">
        <f>IF(ISBLANK('Data Input'!F1105),"",'Data Input'!F1105)</f>
        <v/>
      </c>
      <c r="I1105" t="str">
        <f>IF(ISBLANK('Data Input'!G1105),"",'Data Input'!G1105)</f>
        <v/>
      </c>
      <c r="J1105" t="str">
        <f>IF(ISBLANK('Data Input'!I1105),"",'Data Input'!I1105)</f>
        <v/>
      </c>
      <c r="K1105" t="str">
        <f>IF(ISBLANK('Data Input'!J1105),"",'Data Input'!J1105)</f>
        <v/>
      </c>
      <c r="L1105" t="str">
        <f>IF(ISBLANK('Data Input'!K1105),"",'Data Input'!K1105)</f>
        <v/>
      </c>
      <c r="M1105" t="str">
        <f>IF(ISBLANK('Data Input'!L1105),"",'Data Input'!L1105)</f>
        <v/>
      </c>
      <c r="N1105" t="str">
        <f>IF(ISBLANK('Data Input'!M1105),"",'Data Input'!M1105)</f>
        <v/>
      </c>
      <c r="O1105" t="str">
        <f>IF(ISBLANK('Data Input'!N1105),"",'Data Input'!N1105)</f>
        <v/>
      </c>
      <c r="P1105" t="str">
        <f>IF(ISBLANK('Data Input'!O1105),"",'Data Input'!O1105)</f>
        <v/>
      </c>
      <c r="Q1105" t="str">
        <f>IF(ISBLANK('Data Input'!P1105),"",'Data Input'!P1105)</f>
        <v/>
      </c>
      <c r="R1105" t="str">
        <f>IF(ISBLANK('Data Input'!Q1105),"",'Data Input'!Q1105)</f>
        <v/>
      </c>
      <c r="T1105" s="2" t="e">
        <f t="shared" si="70"/>
        <v>#VALUE!</v>
      </c>
      <c r="U1105" s="12" t="e">
        <f t="shared" si="71"/>
        <v>#VALUE!</v>
      </c>
      <c r="V1105" s="2" t="str">
        <f t="shared" si="72"/>
        <v/>
      </c>
      <c r="W1105" s="12" t="str">
        <f t="shared" si="73"/>
        <v/>
      </c>
    </row>
    <row r="1106" spans="1:23">
      <c r="A1106" t="str">
        <f>IF(ISBLANK('Data Input'!A1106),"",'Data Input'!A1106)</f>
        <v/>
      </c>
      <c r="B1106" t="str">
        <f>IF(ISBLANK('Data Input'!B1106),"",'Data Input'!B1106)</f>
        <v/>
      </c>
      <c r="C1106" t="str">
        <f>IF(ISBLANK('Data Input'!C1106),"",'Data Input'!C1106)</f>
        <v/>
      </c>
      <c r="E1106" t="str">
        <f>IF(ISBLANK('Data Input'!D1106),"",'Data Input'!D1106)</f>
        <v/>
      </c>
      <c r="G1106" t="str">
        <f>IF(ISBLANK('Data Input'!E1106),"",'Data Input'!E1106)</f>
        <v/>
      </c>
      <c r="H1106" t="str">
        <f>IF(ISBLANK('Data Input'!F1106),"",'Data Input'!F1106)</f>
        <v/>
      </c>
      <c r="I1106" t="str">
        <f>IF(ISBLANK('Data Input'!G1106),"",'Data Input'!G1106)</f>
        <v/>
      </c>
      <c r="J1106" t="str">
        <f>IF(ISBLANK('Data Input'!I1106),"",'Data Input'!I1106)</f>
        <v/>
      </c>
      <c r="K1106" t="str">
        <f>IF(ISBLANK('Data Input'!J1106),"",'Data Input'!J1106)</f>
        <v/>
      </c>
      <c r="L1106" t="str">
        <f>IF(ISBLANK('Data Input'!K1106),"",'Data Input'!K1106)</f>
        <v/>
      </c>
      <c r="M1106" t="str">
        <f>IF(ISBLANK('Data Input'!L1106),"",'Data Input'!L1106)</f>
        <v/>
      </c>
      <c r="N1106" t="str">
        <f>IF(ISBLANK('Data Input'!M1106),"",'Data Input'!M1106)</f>
        <v/>
      </c>
      <c r="O1106" t="str">
        <f>IF(ISBLANK('Data Input'!N1106),"",'Data Input'!N1106)</f>
        <v/>
      </c>
      <c r="P1106" t="str">
        <f>IF(ISBLANK('Data Input'!O1106),"",'Data Input'!O1106)</f>
        <v/>
      </c>
      <c r="Q1106" t="str">
        <f>IF(ISBLANK('Data Input'!P1106),"",'Data Input'!P1106)</f>
        <v/>
      </c>
      <c r="R1106" t="str">
        <f>IF(ISBLANK('Data Input'!Q1106),"",'Data Input'!Q1106)</f>
        <v/>
      </c>
      <c r="T1106" s="2" t="e">
        <f t="shared" si="70"/>
        <v>#VALUE!</v>
      </c>
      <c r="U1106" s="12" t="e">
        <f t="shared" si="71"/>
        <v>#VALUE!</v>
      </c>
      <c r="V1106" s="2" t="str">
        <f t="shared" si="72"/>
        <v/>
      </c>
      <c r="W1106" s="12" t="str">
        <f t="shared" si="73"/>
        <v/>
      </c>
    </row>
    <row r="1107" spans="1:23">
      <c r="A1107" t="str">
        <f>IF(ISBLANK('Data Input'!A1107),"",'Data Input'!A1107)</f>
        <v/>
      </c>
      <c r="B1107" t="str">
        <f>IF(ISBLANK('Data Input'!B1107),"",'Data Input'!B1107)</f>
        <v/>
      </c>
      <c r="C1107" t="str">
        <f>IF(ISBLANK('Data Input'!C1107),"",'Data Input'!C1107)</f>
        <v/>
      </c>
      <c r="E1107" t="str">
        <f>IF(ISBLANK('Data Input'!D1107),"",'Data Input'!D1107)</f>
        <v/>
      </c>
      <c r="G1107" t="str">
        <f>IF(ISBLANK('Data Input'!E1107),"",'Data Input'!E1107)</f>
        <v/>
      </c>
      <c r="H1107" t="str">
        <f>IF(ISBLANK('Data Input'!F1107),"",'Data Input'!F1107)</f>
        <v/>
      </c>
      <c r="I1107" t="str">
        <f>IF(ISBLANK('Data Input'!G1107),"",'Data Input'!G1107)</f>
        <v/>
      </c>
      <c r="J1107" t="str">
        <f>IF(ISBLANK('Data Input'!I1107),"",'Data Input'!I1107)</f>
        <v/>
      </c>
      <c r="K1107" t="str">
        <f>IF(ISBLANK('Data Input'!J1107),"",'Data Input'!J1107)</f>
        <v/>
      </c>
      <c r="L1107" t="str">
        <f>IF(ISBLANK('Data Input'!K1107),"",'Data Input'!K1107)</f>
        <v/>
      </c>
      <c r="M1107" t="str">
        <f>IF(ISBLANK('Data Input'!L1107),"",'Data Input'!L1107)</f>
        <v/>
      </c>
      <c r="N1107" t="str">
        <f>IF(ISBLANK('Data Input'!M1107),"",'Data Input'!M1107)</f>
        <v/>
      </c>
      <c r="O1107" t="str">
        <f>IF(ISBLANK('Data Input'!N1107),"",'Data Input'!N1107)</f>
        <v/>
      </c>
      <c r="P1107" t="str">
        <f>IF(ISBLANK('Data Input'!O1107),"",'Data Input'!O1107)</f>
        <v/>
      </c>
      <c r="Q1107" t="str">
        <f>IF(ISBLANK('Data Input'!P1107),"",'Data Input'!P1107)</f>
        <v/>
      </c>
      <c r="R1107" t="str">
        <f>IF(ISBLANK('Data Input'!Q1107),"",'Data Input'!Q1107)</f>
        <v/>
      </c>
      <c r="T1107" s="2" t="e">
        <f t="shared" si="70"/>
        <v>#VALUE!</v>
      </c>
      <c r="U1107" s="12" t="e">
        <f t="shared" si="71"/>
        <v>#VALUE!</v>
      </c>
      <c r="V1107" s="2" t="str">
        <f t="shared" si="72"/>
        <v/>
      </c>
      <c r="W1107" s="12" t="str">
        <f t="shared" si="73"/>
        <v/>
      </c>
    </row>
    <row r="1108" spans="1:23">
      <c r="A1108" t="str">
        <f>IF(ISBLANK('Data Input'!A1108),"",'Data Input'!A1108)</f>
        <v/>
      </c>
      <c r="B1108" t="str">
        <f>IF(ISBLANK('Data Input'!B1108),"",'Data Input'!B1108)</f>
        <v/>
      </c>
      <c r="C1108" t="str">
        <f>IF(ISBLANK('Data Input'!C1108),"",'Data Input'!C1108)</f>
        <v/>
      </c>
      <c r="E1108" t="str">
        <f>IF(ISBLANK('Data Input'!D1108),"",'Data Input'!D1108)</f>
        <v/>
      </c>
      <c r="G1108" t="str">
        <f>IF(ISBLANK('Data Input'!E1108),"",'Data Input'!E1108)</f>
        <v/>
      </c>
      <c r="H1108" t="str">
        <f>IF(ISBLANK('Data Input'!F1108),"",'Data Input'!F1108)</f>
        <v/>
      </c>
      <c r="I1108" t="str">
        <f>IF(ISBLANK('Data Input'!G1108),"",'Data Input'!G1108)</f>
        <v/>
      </c>
      <c r="J1108" t="str">
        <f>IF(ISBLANK('Data Input'!I1108),"",'Data Input'!I1108)</f>
        <v/>
      </c>
      <c r="K1108" t="str">
        <f>IF(ISBLANK('Data Input'!J1108),"",'Data Input'!J1108)</f>
        <v/>
      </c>
      <c r="L1108" t="str">
        <f>IF(ISBLANK('Data Input'!K1108),"",'Data Input'!K1108)</f>
        <v/>
      </c>
      <c r="M1108" t="str">
        <f>IF(ISBLANK('Data Input'!L1108),"",'Data Input'!L1108)</f>
        <v/>
      </c>
      <c r="N1108" t="str">
        <f>IF(ISBLANK('Data Input'!M1108),"",'Data Input'!M1108)</f>
        <v/>
      </c>
      <c r="O1108" t="str">
        <f>IF(ISBLANK('Data Input'!N1108),"",'Data Input'!N1108)</f>
        <v/>
      </c>
      <c r="P1108" t="str">
        <f>IF(ISBLANK('Data Input'!O1108),"",'Data Input'!O1108)</f>
        <v/>
      </c>
      <c r="Q1108" t="str">
        <f>IF(ISBLANK('Data Input'!P1108),"",'Data Input'!P1108)</f>
        <v/>
      </c>
      <c r="R1108" t="str">
        <f>IF(ISBLANK('Data Input'!Q1108),"",'Data Input'!Q1108)</f>
        <v/>
      </c>
      <c r="T1108" s="2" t="e">
        <f t="shared" si="70"/>
        <v>#VALUE!</v>
      </c>
      <c r="U1108" s="12" t="e">
        <f t="shared" si="71"/>
        <v>#VALUE!</v>
      </c>
      <c r="V1108" s="2" t="str">
        <f t="shared" si="72"/>
        <v/>
      </c>
      <c r="W1108" s="12" t="str">
        <f t="shared" si="73"/>
        <v/>
      </c>
    </row>
    <row r="1109" spans="1:23">
      <c r="A1109" t="str">
        <f>IF(ISBLANK('Data Input'!A1109),"",'Data Input'!A1109)</f>
        <v/>
      </c>
      <c r="B1109" t="str">
        <f>IF(ISBLANK('Data Input'!B1109),"",'Data Input'!B1109)</f>
        <v/>
      </c>
      <c r="C1109" t="str">
        <f>IF(ISBLANK('Data Input'!C1109),"",'Data Input'!C1109)</f>
        <v/>
      </c>
      <c r="E1109" t="str">
        <f>IF(ISBLANK('Data Input'!D1109),"",'Data Input'!D1109)</f>
        <v/>
      </c>
      <c r="G1109" t="str">
        <f>IF(ISBLANK('Data Input'!E1109),"",'Data Input'!E1109)</f>
        <v/>
      </c>
      <c r="H1109" t="str">
        <f>IF(ISBLANK('Data Input'!F1109),"",'Data Input'!F1109)</f>
        <v/>
      </c>
      <c r="I1109" t="str">
        <f>IF(ISBLANK('Data Input'!G1109),"",'Data Input'!G1109)</f>
        <v/>
      </c>
      <c r="J1109" t="str">
        <f>IF(ISBLANK('Data Input'!I1109),"",'Data Input'!I1109)</f>
        <v/>
      </c>
      <c r="K1109" t="str">
        <f>IF(ISBLANK('Data Input'!J1109),"",'Data Input'!J1109)</f>
        <v/>
      </c>
      <c r="L1109" t="str">
        <f>IF(ISBLANK('Data Input'!K1109),"",'Data Input'!K1109)</f>
        <v/>
      </c>
      <c r="M1109" t="str">
        <f>IF(ISBLANK('Data Input'!L1109),"",'Data Input'!L1109)</f>
        <v/>
      </c>
      <c r="N1109" t="str">
        <f>IF(ISBLANK('Data Input'!M1109),"",'Data Input'!M1109)</f>
        <v/>
      </c>
      <c r="O1109" t="str">
        <f>IF(ISBLANK('Data Input'!N1109),"",'Data Input'!N1109)</f>
        <v/>
      </c>
      <c r="P1109" t="str">
        <f>IF(ISBLANK('Data Input'!O1109),"",'Data Input'!O1109)</f>
        <v/>
      </c>
      <c r="Q1109" t="str">
        <f>IF(ISBLANK('Data Input'!P1109),"",'Data Input'!P1109)</f>
        <v/>
      </c>
      <c r="R1109" t="str">
        <f>IF(ISBLANK('Data Input'!Q1109),"",'Data Input'!Q1109)</f>
        <v/>
      </c>
      <c r="T1109" s="2" t="e">
        <f t="shared" si="70"/>
        <v>#VALUE!</v>
      </c>
      <c r="U1109" s="12" t="e">
        <f t="shared" si="71"/>
        <v>#VALUE!</v>
      </c>
      <c r="V1109" s="2" t="str">
        <f t="shared" si="72"/>
        <v/>
      </c>
      <c r="W1109" s="12" t="str">
        <f t="shared" si="73"/>
        <v/>
      </c>
    </row>
    <row r="1110" spans="1:23">
      <c r="A1110" t="str">
        <f>IF(ISBLANK('Data Input'!A1110),"",'Data Input'!A1110)</f>
        <v/>
      </c>
      <c r="B1110" t="str">
        <f>IF(ISBLANK('Data Input'!B1110),"",'Data Input'!B1110)</f>
        <v/>
      </c>
      <c r="C1110" t="str">
        <f>IF(ISBLANK('Data Input'!C1110),"",'Data Input'!C1110)</f>
        <v/>
      </c>
      <c r="E1110" t="str">
        <f>IF(ISBLANK('Data Input'!D1110),"",'Data Input'!D1110)</f>
        <v/>
      </c>
      <c r="G1110" t="str">
        <f>IF(ISBLANK('Data Input'!E1110),"",'Data Input'!E1110)</f>
        <v/>
      </c>
      <c r="H1110" t="str">
        <f>IF(ISBLANK('Data Input'!F1110),"",'Data Input'!F1110)</f>
        <v/>
      </c>
      <c r="I1110" t="str">
        <f>IF(ISBLANK('Data Input'!G1110),"",'Data Input'!G1110)</f>
        <v/>
      </c>
      <c r="J1110" t="str">
        <f>IF(ISBLANK('Data Input'!I1110),"",'Data Input'!I1110)</f>
        <v/>
      </c>
      <c r="K1110" t="str">
        <f>IF(ISBLANK('Data Input'!J1110),"",'Data Input'!J1110)</f>
        <v/>
      </c>
      <c r="L1110" t="str">
        <f>IF(ISBLANK('Data Input'!K1110),"",'Data Input'!K1110)</f>
        <v/>
      </c>
      <c r="M1110" t="str">
        <f>IF(ISBLANK('Data Input'!L1110),"",'Data Input'!L1110)</f>
        <v/>
      </c>
      <c r="N1110" t="str">
        <f>IF(ISBLANK('Data Input'!M1110),"",'Data Input'!M1110)</f>
        <v/>
      </c>
      <c r="O1110" t="str">
        <f>IF(ISBLANK('Data Input'!N1110),"",'Data Input'!N1110)</f>
        <v/>
      </c>
      <c r="P1110" t="str">
        <f>IF(ISBLANK('Data Input'!O1110),"",'Data Input'!O1110)</f>
        <v/>
      </c>
      <c r="Q1110" t="str">
        <f>IF(ISBLANK('Data Input'!P1110),"",'Data Input'!P1110)</f>
        <v/>
      </c>
      <c r="R1110" t="str">
        <f>IF(ISBLANK('Data Input'!Q1110),"",'Data Input'!Q1110)</f>
        <v/>
      </c>
      <c r="T1110" s="2" t="e">
        <f t="shared" si="70"/>
        <v>#VALUE!</v>
      </c>
      <c r="U1110" s="12" t="e">
        <f t="shared" si="71"/>
        <v>#VALUE!</v>
      </c>
      <c r="V1110" s="2" t="str">
        <f t="shared" si="72"/>
        <v/>
      </c>
      <c r="W1110" s="12" t="str">
        <f t="shared" si="73"/>
        <v/>
      </c>
    </row>
    <row r="1111" spans="1:23">
      <c r="A1111" t="str">
        <f>IF(ISBLANK('Data Input'!A1111),"",'Data Input'!A1111)</f>
        <v/>
      </c>
      <c r="B1111" t="str">
        <f>IF(ISBLANK('Data Input'!B1111),"",'Data Input'!B1111)</f>
        <v/>
      </c>
      <c r="C1111" t="str">
        <f>IF(ISBLANK('Data Input'!C1111),"",'Data Input'!C1111)</f>
        <v/>
      </c>
      <c r="E1111" t="str">
        <f>IF(ISBLANK('Data Input'!D1111),"",'Data Input'!D1111)</f>
        <v/>
      </c>
      <c r="G1111" t="str">
        <f>IF(ISBLANK('Data Input'!E1111),"",'Data Input'!E1111)</f>
        <v/>
      </c>
      <c r="H1111" t="str">
        <f>IF(ISBLANK('Data Input'!F1111),"",'Data Input'!F1111)</f>
        <v/>
      </c>
      <c r="I1111" t="str">
        <f>IF(ISBLANK('Data Input'!G1111),"",'Data Input'!G1111)</f>
        <v/>
      </c>
      <c r="J1111" t="str">
        <f>IF(ISBLANK('Data Input'!I1111),"",'Data Input'!I1111)</f>
        <v/>
      </c>
      <c r="K1111" t="str">
        <f>IF(ISBLANK('Data Input'!J1111),"",'Data Input'!J1111)</f>
        <v/>
      </c>
      <c r="L1111" t="str">
        <f>IF(ISBLANK('Data Input'!K1111),"",'Data Input'!K1111)</f>
        <v/>
      </c>
      <c r="M1111" t="str">
        <f>IF(ISBLANK('Data Input'!L1111),"",'Data Input'!L1111)</f>
        <v/>
      </c>
      <c r="N1111" t="str">
        <f>IF(ISBLANK('Data Input'!M1111),"",'Data Input'!M1111)</f>
        <v/>
      </c>
      <c r="O1111" t="str">
        <f>IF(ISBLANK('Data Input'!N1111),"",'Data Input'!N1111)</f>
        <v/>
      </c>
      <c r="P1111" t="str">
        <f>IF(ISBLANK('Data Input'!O1111),"",'Data Input'!O1111)</f>
        <v/>
      </c>
      <c r="Q1111" t="str">
        <f>IF(ISBLANK('Data Input'!P1111),"",'Data Input'!P1111)</f>
        <v/>
      </c>
      <c r="R1111" t="str">
        <f>IF(ISBLANK('Data Input'!Q1111),"",'Data Input'!Q1111)</f>
        <v/>
      </c>
      <c r="T1111" s="2" t="e">
        <f t="shared" si="70"/>
        <v>#VALUE!</v>
      </c>
      <c r="U1111" s="12" t="e">
        <f t="shared" si="71"/>
        <v>#VALUE!</v>
      </c>
      <c r="V1111" s="2" t="str">
        <f t="shared" si="72"/>
        <v/>
      </c>
      <c r="W1111" s="12" t="str">
        <f t="shared" si="73"/>
        <v/>
      </c>
    </row>
    <row r="1112" spans="1:23">
      <c r="A1112" t="str">
        <f>IF(ISBLANK('Data Input'!A1112),"",'Data Input'!A1112)</f>
        <v/>
      </c>
      <c r="B1112" t="str">
        <f>IF(ISBLANK('Data Input'!B1112),"",'Data Input'!B1112)</f>
        <v/>
      </c>
      <c r="C1112" t="str">
        <f>IF(ISBLANK('Data Input'!C1112),"",'Data Input'!C1112)</f>
        <v/>
      </c>
      <c r="E1112" t="str">
        <f>IF(ISBLANK('Data Input'!D1112),"",'Data Input'!D1112)</f>
        <v/>
      </c>
      <c r="G1112" t="str">
        <f>IF(ISBLANK('Data Input'!E1112),"",'Data Input'!E1112)</f>
        <v/>
      </c>
      <c r="H1112" t="str">
        <f>IF(ISBLANK('Data Input'!F1112),"",'Data Input'!F1112)</f>
        <v/>
      </c>
      <c r="I1112" t="str">
        <f>IF(ISBLANK('Data Input'!G1112),"",'Data Input'!G1112)</f>
        <v/>
      </c>
      <c r="J1112" t="str">
        <f>IF(ISBLANK('Data Input'!I1112),"",'Data Input'!I1112)</f>
        <v/>
      </c>
      <c r="K1112" t="str">
        <f>IF(ISBLANK('Data Input'!J1112),"",'Data Input'!J1112)</f>
        <v/>
      </c>
      <c r="L1112" t="str">
        <f>IF(ISBLANK('Data Input'!K1112),"",'Data Input'!K1112)</f>
        <v/>
      </c>
      <c r="M1112" t="str">
        <f>IF(ISBLANK('Data Input'!L1112),"",'Data Input'!L1112)</f>
        <v/>
      </c>
      <c r="N1112" t="str">
        <f>IF(ISBLANK('Data Input'!M1112),"",'Data Input'!M1112)</f>
        <v/>
      </c>
      <c r="O1112" t="str">
        <f>IF(ISBLANK('Data Input'!N1112),"",'Data Input'!N1112)</f>
        <v/>
      </c>
      <c r="P1112" t="str">
        <f>IF(ISBLANK('Data Input'!O1112),"",'Data Input'!O1112)</f>
        <v/>
      </c>
      <c r="Q1112" t="str">
        <f>IF(ISBLANK('Data Input'!P1112),"",'Data Input'!P1112)</f>
        <v/>
      </c>
      <c r="R1112" t="str">
        <f>IF(ISBLANK('Data Input'!Q1112),"",'Data Input'!Q1112)</f>
        <v/>
      </c>
      <c r="T1112" s="2" t="e">
        <f t="shared" si="70"/>
        <v>#VALUE!</v>
      </c>
      <c r="U1112" s="12" t="e">
        <f t="shared" si="71"/>
        <v>#VALUE!</v>
      </c>
      <c r="V1112" s="2" t="str">
        <f t="shared" si="72"/>
        <v/>
      </c>
      <c r="W1112" s="12" t="str">
        <f t="shared" si="73"/>
        <v/>
      </c>
    </row>
    <row r="1113" spans="1:23">
      <c r="A1113" t="str">
        <f>IF(ISBLANK('Data Input'!A1113),"",'Data Input'!A1113)</f>
        <v/>
      </c>
      <c r="B1113" t="str">
        <f>IF(ISBLANK('Data Input'!B1113),"",'Data Input'!B1113)</f>
        <v/>
      </c>
      <c r="C1113" t="str">
        <f>IF(ISBLANK('Data Input'!C1113),"",'Data Input'!C1113)</f>
        <v/>
      </c>
      <c r="E1113" t="str">
        <f>IF(ISBLANK('Data Input'!D1113),"",'Data Input'!D1113)</f>
        <v/>
      </c>
      <c r="G1113" t="str">
        <f>IF(ISBLANK('Data Input'!E1113),"",'Data Input'!E1113)</f>
        <v/>
      </c>
      <c r="H1113" t="str">
        <f>IF(ISBLANK('Data Input'!F1113),"",'Data Input'!F1113)</f>
        <v/>
      </c>
      <c r="I1113" t="str">
        <f>IF(ISBLANK('Data Input'!G1113),"",'Data Input'!G1113)</f>
        <v/>
      </c>
      <c r="J1113" t="str">
        <f>IF(ISBLANK('Data Input'!I1113),"",'Data Input'!I1113)</f>
        <v/>
      </c>
      <c r="K1113" t="str">
        <f>IF(ISBLANK('Data Input'!J1113),"",'Data Input'!J1113)</f>
        <v/>
      </c>
      <c r="L1113" t="str">
        <f>IF(ISBLANK('Data Input'!K1113),"",'Data Input'!K1113)</f>
        <v/>
      </c>
      <c r="M1113" t="str">
        <f>IF(ISBLANK('Data Input'!L1113),"",'Data Input'!L1113)</f>
        <v/>
      </c>
      <c r="N1113" t="str">
        <f>IF(ISBLANK('Data Input'!M1113),"",'Data Input'!M1113)</f>
        <v/>
      </c>
      <c r="O1113" t="str">
        <f>IF(ISBLANK('Data Input'!N1113),"",'Data Input'!N1113)</f>
        <v/>
      </c>
      <c r="P1113" t="str">
        <f>IF(ISBLANK('Data Input'!O1113),"",'Data Input'!O1113)</f>
        <v/>
      </c>
      <c r="Q1113" t="str">
        <f>IF(ISBLANK('Data Input'!P1113),"",'Data Input'!P1113)</f>
        <v/>
      </c>
      <c r="R1113" t="str">
        <f>IF(ISBLANK('Data Input'!Q1113),"",'Data Input'!Q1113)</f>
        <v/>
      </c>
      <c r="T1113" s="2" t="e">
        <f t="shared" si="70"/>
        <v>#VALUE!</v>
      </c>
      <c r="U1113" s="12" t="e">
        <f t="shared" si="71"/>
        <v>#VALUE!</v>
      </c>
      <c r="V1113" s="2" t="str">
        <f t="shared" si="72"/>
        <v/>
      </c>
      <c r="W1113" s="12" t="str">
        <f t="shared" si="73"/>
        <v/>
      </c>
    </row>
    <row r="1114" spans="1:23">
      <c r="A1114" t="str">
        <f>IF(ISBLANK('Data Input'!A1114),"",'Data Input'!A1114)</f>
        <v/>
      </c>
      <c r="B1114" t="str">
        <f>IF(ISBLANK('Data Input'!B1114),"",'Data Input'!B1114)</f>
        <v/>
      </c>
      <c r="C1114" t="str">
        <f>IF(ISBLANK('Data Input'!C1114),"",'Data Input'!C1114)</f>
        <v/>
      </c>
      <c r="E1114" t="str">
        <f>IF(ISBLANK('Data Input'!D1114),"",'Data Input'!D1114)</f>
        <v/>
      </c>
      <c r="G1114" t="str">
        <f>IF(ISBLANK('Data Input'!E1114),"",'Data Input'!E1114)</f>
        <v/>
      </c>
      <c r="H1114" t="str">
        <f>IF(ISBLANK('Data Input'!F1114),"",'Data Input'!F1114)</f>
        <v/>
      </c>
      <c r="I1114" t="str">
        <f>IF(ISBLANK('Data Input'!G1114),"",'Data Input'!G1114)</f>
        <v/>
      </c>
      <c r="J1114" t="str">
        <f>IF(ISBLANK('Data Input'!I1114),"",'Data Input'!I1114)</f>
        <v/>
      </c>
      <c r="K1114" t="str">
        <f>IF(ISBLANK('Data Input'!J1114),"",'Data Input'!J1114)</f>
        <v/>
      </c>
      <c r="L1114" t="str">
        <f>IF(ISBLANK('Data Input'!K1114),"",'Data Input'!K1114)</f>
        <v/>
      </c>
      <c r="M1114" t="str">
        <f>IF(ISBLANK('Data Input'!L1114),"",'Data Input'!L1114)</f>
        <v/>
      </c>
      <c r="N1114" t="str">
        <f>IF(ISBLANK('Data Input'!M1114),"",'Data Input'!M1114)</f>
        <v/>
      </c>
      <c r="O1114" t="str">
        <f>IF(ISBLANK('Data Input'!N1114),"",'Data Input'!N1114)</f>
        <v/>
      </c>
      <c r="P1114" t="str">
        <f>IF(ISBLANK('Data Input'!O1114),"",'Data Input'!O1114)</f>
        <v/>
      </c>
      <c r="Q1114" t="str">
        <f>IF(ISBLANK('Data Input'!P1114),"",'Data Input'!P1114)</f>
        <v/>
      </c>
      <c r="R1114" t="str">
        <f>IF(ISBLANK('Data Input'!Q1114),"",'Data Input'!Q1114)</f>
        <v/>
      </c>
      <c r="T1114" s="2" t="e">
        <f t="shared" si="70"/>
        <v>#VALUE!</v>
      </c>
      <c r="U1114" s="12" t="e">
        <f t="shared" si="71"/>
        <v>#VALUE!</v>
      </c>
      <c r="V1114" s="2" t="str">
        <f t="shared" si="72"/>
        <v/>
      </c>
      <c r="W1114" s="12" t="str">
        <f t="shared" si="73"/>
        <v/>
      </c>
    </row>
    <row r="1115" spans="1:23">
      <c r="A1115" t="str">
        <f>IF(ISBLANK('Data Input'!A1115),"",'Data Input'!A1115)</f>
        <v/>
      </c>
      <c r="B1115" t="str">
        <f>IF(ISBLANK('Data Input'!B1115),"",'Data Input'!B1115)</f>
        <v/>
      </c>
      <c r="C1115" t="str">
        <f>IF(ISBLANK('Data Input'!C1115),"",'Data Input'!C1115)</f>
        <v/>
      </c>
      <c r="E1115" t="str">
        <f>IF(ISBLANK('Data Input'!D1115),"",'Data Input'!D1115)</f>
        <v/>
      </c>
      <c r="G1115" t="str">
        <f>IF(ISBLANK('Data Input'!E1115),"",'Data Input'!E1115)</f>
        <v/>
      </c>
      <c r="H1115" t="str">
        <f>IF(ISBLANK('Data Input'!F1115),"",'Data Input'!F1115)</f>
        <v/>
      </c>
      <c r="I1115" t="str">
        <f>IF(ISBLANK('Data Input'!G1115),"",'Data Input'!G1115)</f>
        <v/>
      </c>
      <c r="J1115" t="str">
        <f>IF(ISBLANK('Data Input'!I1115),"",'Data Input'!I1115)</f>
        <v/>
      </c>
      <c r="K1115" t="str">
        <f>IF(ISBLANK('Data Input'!J1115),"",'Data Input'!J1115)</f>
        <v/>
      </c>
      <c r="L1115" t="str">
        <f>IF(ISBLANK('Data Input'!K1115),"",'Data Input'!K1115)</f>
        <v/>
      </c>
      <c r="M1115" t="str">
        <f>IF(ISBLANK('Data Input'!L1115),"",'Data Input'!L1115)</f>
        <v/>
      </c>
      <c r="N1115" t="str">
        <f>IF(ISBLANK('Data Input'!M1115),"",'Data Input'!M1115)</f>
        <v/>
      </c>
      <c r="O1115" t="str">
        <f>IF(ISBLANK('Data Input'!N1115),"",'Data Input'!N1115)</f>
        <v/>
      </c>
      <c r="P1115" t="str">
        <f>IF(ISBLANK('Data Input'!O1115),"",'Data Input'!O1115)</f>
        <v/>
      </c>
      <c r="Q1115" t="str">
        <f>IF(ISBLANK('Data Input'!P1115),"",'Data Input'!P1115)</f>
        <v/>
      </c>
      <c r="R1115" t="str">
        <f>IF(ISBLANK('Data Input'!Q1115),"",'Data Input'!Q1115)</f>
        <v/>
      </c>
      <c r="T1115" s="2" t="e">
        <f t="shared" si="70"/>
        <v>#VALUE!</v>
      </c>
      <c r="U1115" s="12" t="e">
        <f t="shared" si="71"/>
        <v>#VALUE!</v>
      </c>
      <c r="V1115" s="2" t="str">
        <f t="shared" si="72"/>
        <v/>
      </c>
      <c r="W1115" s="12" t="str">
        <f t="shared" si="73"/>
        <v/>
      </c>
    </row>
    <row r="1116" spans="1:23">
      <c r="A1116" t="str">
        <f>IF(ISBLANK('Data Input'!A1116),"",'Data Input'!A1116)</f>
        <v/>
      </c>
      <c r="B1116" t="str">
        <f>IF(ISBLANK('Data Input'!B1116),"",'Data Input'!B1116)</f>
        <v/>
      </c>
      <c r="C1116" t="str">
        <f>IF(ISBLANK('Data Input'!C1116),"",'Data Input'!C1116)</f>
        <v/>
      </c>
      <c r="E1116" t="str">
        <f>IF(ISBLANK('Data Input'!D1116),"",'Data Input'!D1116)</f>
        <v/>
      </c>
      <c r="G1116" t="str">
        <f>IF(ISBLANK('Data Input'!E1116),"",'Data Input'!E1116)</f>
        <v/>
      </c>
      <c r="H1116" t="str">
        <f>IF(ISBLANK('Data Input'!F1116),"",'Data Input'!F1116)</f>
        <v/>
      </c>
      <c r="I1116" t="str">
        <f>IF(ISBLANK('Data Input'!G1116),"",'Data Input'!G1116)</f>
        <v/>
      </c>
      <c r="J1116" t="str">
        <f>IF(ISBLANK('Data Input'!I1116),"",'Data Input'!I1116)</f>
        <v/>
      </c>
      <c r="K1116" t="str">
        <f>IF(ISBLANK('Data Input'!J1116),"",'Data Input'!J1116)</f>
        <v/>
      </c>
      <c r="L1116" t="str">
        <f>IF(ISBLANK('Data Input'!K1116),"",'Data Input'!K1116)</f>
        <v/>
      </c>
      <c r="M1116" t="str">
        <f>IF(ISBLANK('Data Input'!L1116),"",'Data Input'!L1116)</f>
        <v/>
      </c>
      <c r="N1116" t="str">
        <f>IF(ISBLANK('Data Input'!M1116),"",'Data Input'!M1116)</f>
        <v/>
      </c>
      <c r="O1116" t="str">
        <f>IF(ISBLANK('Data Input'!N1116),"",'Data Input'!N1116)</f>
        <v/>
      </c>
      <c r="P1116" t="str">
        <f>IF(ISBLANK('Data Input'!O1116),"",'Data Input'!O1116)</f>
        <v/>
      </c>
      <c r="Q1116" t="str">
        <f>IF(ISBLANK('Data Input'!P1116),"",'Data Input'!P1116)</f>
        <v/>
      </c>
      <c r="R1116" t="str">
        <f>IF(ISBLANK('Data Input'!Q1116),"",'Data Input'!Q1116)</f>
        <v/>
      </c>
      <c r="T1116" s="2" t="e">
        <f t="shared" si="70"/>
        <v>#VALUE!</v>
      </c>
      <c r="U1116" s="12" t="e">
        <f t="shared" si="71"/>
        <v>#VALUE!</v>
      </c>
      <c r="V1116" s="2" t="str">
        <f t="shared" si="72"/>
        <v/>
      </c>
      <c r="W1116" s="12" t="str">
        <f t="shared" si="73"/>
        <v/>
      </c>
    </row>
    <row r="1117" spans="1:23">
      <c r="A1117" t="str">
        <f>IF(ISBLANK('Data Input'!A1117),"",'Data Input'!A1117)</f>
        <v/>
      </c>
      <c r="B1117" t="str">
        <f>IF(ISBLANK('Data Input'!B1117),"",'Data Input'!B1117)</f>
        <v/>
      </c>
      <c r="C1117" t="str">
        <f>IF(ISBLANK('Data Input'!C1117),"",'Data Input'!C1117)</f>
        <v/>
      </c>
      <c r="E1117" t="str">
        <f>IF(ISBLANK('Data Input'!D1117),"",'Data Input'!D1117)</f>
        <v/>
      </c>
      <c r="G1117" t="str">
        <f>IF(ISBLANK('Data Input'!E1117),"",'Data Input'!E1117)</f>
        <v/>
      </c>
      <c r="H1117" t="str">
        <f>IF(ISBLANK('Data Input'!F1117),"",'Data Input'!F1117)</f>
        <v/>
      </c>
      <c r="I1117" t="str">
        <f>IF(ISBLANK('Data Input'!G1117),"",'Data Input'!G1117)</f>
        <v/>
      </c>
      <c r="J1117" t="str">
        <f>IF(ISBLANK('Data Input'!I1117),"",'Data Input'!I1117)</f>
        <v/>
      </c>
      <c r="K1117" t="str">
        <f>IF(ISBLANK('Data Input'!J1117),"",'Data Input'!J1117)</f>
        <v/>
      </c>
      <c r="L1117" t="str">
        <f>IF(ISBLANK('Data Input'!K1117),"",'Data Input'!K1117)</f>
        <v/>
      </c>
      <c r="M1117" t="str">
        <f>IF(ISBLANK('Data Input'!L1117),"",'Data Input'!L1117)</f>
        <v/>
      </c>
      <c r="N1117" t="str">
        <f>IF(ISBLANK('Data Input'!M1117),"",'Data Input'!M1117)</f>
        <v/>
      </c>
      <c r="O1117" t="str">
        <f>IF(ISBLANK('Data Input'!N1117),"",'Data Input'!N1117)</f>
        <v/>
      </c>
      <c r="P1117" t="str">
        <f>IF(ISBLANK('Data Input'!O1117),"",'Data Input'!O1117)</f>
        <v/>
      </c>
      <c r="Q1117" t="str">
        <f>IF(ISBLANK('Data Input'!P1117),"",'Data Input'!P1117)</f>
        <v/>
      </c>
      <c r="R1117" t="str">
        <f>IF(ISBLANK('Data Input'!Q1117),"",'Data Input'!Q1117)</f>
        <v/>
      </c>
      <c r="T1117" s="2" t="e">
        <f t="shared" si="70"/>
        <v>#VALUE!</v>
      </c>
      <c r="U1117" s="12" t="e">
        <f t="shared" si="71"/>
        <v>#VALUE!</v>
      </c>
      <c r="V1117" s="2" t="str">
        <f t="shared" si="72"/>
        <v/>
      </c>
      <c r="W1117" s="12" t="str">
        <f t="shared" si="73"/>
        <v/>
      </c>
    </row>
    <row r="1118" spans="1:23">
      <c r="A1118" t="str">
        <f>IF(ISBLANK('Data Input'!A1118),"",'Data Input'!A1118)</f>
        <v/>
      </c>
      <c r="B1118" t="str">
        <f>IF(ISBLANK('Data Input'!B1118),"",'Data Input'!B1118)</f>
        <v/>
      </c>
      <c r="C1118" t="str">
        <f>IF(ISBLANK('Data Input'!C1118),"",'Data Input'!C1118)</f>
        <v/>
      </c>
      <c r="E1118" t="str">
        <f>IF(ISBLANK('Data Input'!D1118),"",'Data Input'!D1118)</f>
        <v/>
      </c>
      <c r="G1118" t="str">
        <f>IF(ISBLANK('Data Input'!E1118),"",'Data Input'!E1118)</f>
        <v/>
      </c>
      <c r="H1118" t="str">
        <f>IF(ISBLANK('Data Input'!F1118),"",'Data Input'!F1118)</f>
        <v/>
      </c>
      <c r="I1118" t="str">
        <f>IF(ISBLANK('Data Input'!G1118),"",'Data Input'!G1118)</f>
        <v/>
      </c>
      <c r="J1118" t="str">
        <f>IF(ISBLANK('Data Input'!I1118),"",'Data Input'!I1118)</f>
        <v/>
      </c>
      <c r="K1118" t="str">
        <f>IF(ISBLANK('Data Input'!J1118),"",'Data Input'!J1118)</f>
        <v/>
      </c>
      <c r="L1118" t="str">
        <f>IF(ISBLANK('Data Input'!K1118),"",'Data Input'!K1118)</f>
        <v/>
      </c>
      <c r="M1118" t="str">
        <f>IF(ISBLANK('Data Input'!L1118),"",'Data Input'!L1118)</f>
        <v/>
      </c>
      <c r="N1118" t="str">
        <f>IF(ISBLANK('Data Input'!M1118),"",'Data Input'!M1118)</f>
        <v/>
      </c>
      <c r="O1118" t="str">
        <f>IF(ISBLANK('Data Input'!N1118),"",'Data Input'!N1118)</f>
        <v/>
      </c>
      <c r="P1118" t="str">
        <f>IF(ISBLANK('Data Input'!O1118),"",'Data Input'!O1118)</f>
        <v/>
      </c>
      <c r="Q1118" t="str">
        <f>IF(ISBLANK('Data Input'!P1118),"",'Data Input'!P1118)</f>
        <v/>
      </c>
      <c r="R1118" t="str">
        <f>IF(ISBLANK('Data Input'!Q1118),"",'Data Input'!Q1118)</f>
        <v/>
      </c>
      <c r="T1118" s="2" t="e">
        <f t="shared" si="70"/>
        <v>#VALUE!</v>
      </c>
      <c r="U1118" s="12" t="e">
        <f t="shared" si="71"/>
        <v>#VALUE!</v>
      </c>
      <c r="V1118" s="2" t="str">
        <f t="shared" si="72"/>
        <v/>
      </c>
      <c r="W1118" s="12" t="str">
        <f t="shared" si="73"/>
        <v/>
      </c>
    </row>
    <row r="1119" spans="1:23">
      <c r="A1119" t="str">
        <f>IF(ISBLANK('Data Input'!A1119),"",'Data Input'!A1119)</f>
        <v/>
      </c>
      <c r="B1119" t="str">
        <f>IF(ISBLANK('Data Input'!B1119),"",'Data Input'!B1119)</f>
        <v/>
      </c>
      <c r="C1119" t="str">
        <f>IF(ISBLANK('Data Input'!C1119),"",'Data Input'!C1119)</f>
        <v/>
      </c>
      <c r="E1119" t="str">
        <f>IF(ISBLANK('Data Input'!D1119),"",'Data Input'!D1119)</f>
        <v/>
      </c>
      <c r="G1119" t="str">
        <f>IF(ISBLANK('Data Input'!E1119),"",'Data Input'!E1119)</f>
        <v/>
      </c>
      <c r="H1119" t="str">
        <f>IF(ISBLANK('Data Input'!F1119),"",'Data Input'!F1119)</f>
        <v/>
      </c>
      <c r="I1119" t="str">
        <f>IF(ISBLANK('Data Input'!G1119),"",'Data Input'!G1119)</f>
        <v/>
      </c>
      <c r="J1119" t="str">
        <f>IF(ISBLANK('Data Input'!I1119),"",'Data Input'!I1119)</f>
        <v/>
      </c>
      <c r="K1119" t="str">
        <f>IF(ISBLANK('Data Input'!J1119),"",'Data Input'!J1119)</f>
        <v/>
      </c>
      <c r="L1119" t="str">
        <f>IF(ISBLANK('Data Input'!K1119),"",'Data Input'!K1119)</f>
        <v/>
      </c>
      <c r="M1119" t="str">
        <f>IF(ISBLANK('Data Input'!L1119),"",'Data Input'!L1119)</f>
        <v/>
      </c>
      <c r="N1119" t="str">
        <f>IF(ISBLANK('Data Input'!M1119),"",'Data Input'!M1119)</f>
        <v/>
      </c>
      <c r="O1119" t="str">
        <f>IF(ISBLANK('Data Input'!N1119),"",'Data Input'!N1119)</f>
        <v/>
      </c>
      <c r="P1119" t="str">
        <f>IF(ISBLANK('Data Input'!O1119),"",'Data Input'!O1119)</f>
        <v/>
      </c>
      <c r="Q1119" t="str">
        <f>IF(ISBLANK('Data Input'!P1119),"",'Data Input'!P1119)</f>
        <v/>
      </c>
      <c r="R1119" t="str">
        <f>IF(ISBLANK('Data Input'!Q1119),"",'Data Input'!Q1119)</f>
        <v/>
      </c>
      <c r="T1119" s="2" t="e">
        <f t="shared" si="70"/>
        <v>#VALUE!</v>
      </c>
      <c r="U1119" s="12" t="e">
        <f t="shared" si="71"/>
        <v>#VALUE!</v>
      </c>
      <c r="V1119" s="2" t="str">
        <f t="shared" si="72"/>
        <v/>
      </c>
      <c r="W1119" s="12" t="str">
        <f t="shared" si="73"/>
        <v/>
      </c>
    </row>
    <row r="1120" spans="1:23">
      <c r="A1120" t="str">
        <f>IF(ISBLANK('Data Input'!A1120),"",'Data Input'!A1120)</f>
        <v/>
      </c>
      <c r="B1120" t="str">
        <f>IF(ISBLANK('Data Input'!B1120),"",'Data Input'!B1120)</f>
        <v/>
      </c>
      <c r="C1120" t="str">
        <f>IF(ISBLANK('Data Input'!C1120),"",'Data Input'!C1120)</f>
        <v/>
      </c>
      <c r="E1120" t="str">
        <f>IF(ISBLANK('Data Input'!D1120),"",'Data Input'!D1120)</f>
        <v/>
      </c>
      <c r="G1120" t="str">
        <f>IF(ISBLANK('Data Input'!E1120),"",'Data Input'!E1120)</f>
        <v/>
      </c>
      <c r="H1120" t="str">
        <f>IF(ISBLANK('Data Input'!F1120),"",'Data Input'!F1120)</f>
        <v/>
      </c>
      <c r="I1120" t="str">
        <f>IF(ISBLANK('Data Input'!G1120),"",'Data Input'!G1120)</f>
        <v/>
      </c>
      <c r="J1120" t="str">
        <f>IF(ISBLANK('Data Input'!I1120),"",'Data Input'!I1120)</f>
        <v/>
      </c>
      <c r="K1120" t="str">
        <f>IF(ISBLANK('Data Input'!J1120),"",'Data Input'!J1120)</f>
        <v/>
      </c>
      <c r="L1120" t="str">
        <f>IF(ISBLANK('Data Input'!K1120),"",'Data Input'!K1120)</f>
        <v/>
      </c>
      <c r="M1120" t="str">
        <f>IF(ISBLANK('Data Input'!L1120),"",'Data Input'!L1120)</f>
        <v/>
      </c>
      <c r="N1120" t="str">
        <f>IF(ISBLANK('Data Input'!M1120),"",'Data Input'!M1120)</f>
        <v/>
      </c>
      <c r="O1120" t="str">
        <f>IF(ISBLANK('Data Input'!N1120),"",'Data Input'!N1120)</f>
        <v/>
      </c>
      <c r="P1120" t="str">
        <f>IF(ISBLANK('Data Input'!O1120),"",'Data Input'!O1120)</f>
        <v/>
      </c>
      <c r="Q1120" t="str">
        <f>IF(ISBLANK('Data Input'!P1120),"",'Data Input'!P1120)</f>
        <v/>
      </c>
      <c r="R1120" t="str">
        <f>IF(ISBLANK('Data Input'!Q1120),"",'Data Input'!Q1120)</f>
        <v/>
      </c>
      <c r="T1120" s="2" t="e">
        <f t="shared" si="70"/>
        <v>#VALUE!</v>
      </c>
      <c r="U1120" s="12" t="e">
        <f t="shared" si="71"/>
        <v>#VALUE!</v>
      </c>
      <c r="V1120" s="2" t="str">
        <f t="shared" si="72"/>
        <v/>
      </c>
      <c r="W1120" s="12" t="str">
        <f t="shared" si="73"/>
        <v/>
      </c>
    </row>
    <row r="1121" spans="1:23">
      <c r="A1121" t="str">
        <f>IF(ISBLANK('Data Input'!A1121),"",'Data Input'!A1121)</f>
        <v/>
      </c>
      <c r="B1121" t="str">
        <f>IF(ISBLANK('Data Input'!B1121),"",'Data Input'!B1121)</f>
        <v/>
      </c>
      <c r="C1121" t="str">
        <f>IF(ISBLANK('Data Input'!C1121),"",'Data Input'!C1121)</f>
        <v/>
      </c>
      <c r="E1121" t="str">
        <f>IF(ISBLANK('Data Input'!D1121),"",'Data Input'!D1121)</f>
        <v/>
      </c>
      <c r="G1121" t="str">
        <f>IF(ISBLANK('Data Input'!E1121),"",'Data Input'!E1121)</f>
        <v/>
      </c>
      <c r="H1121" t="str">
        <f>IF(ISBLANK('Data Input'!F1121),"",'Data Input'!F1121)</f>
        <v/>
      </c>
      <c r="I1121" t="str">
        <f>IF(ISBLANK('Data Input'!G1121),"",'Data Input'!G1121)</f>
        <v/>
      </c>
      <c r="J1121" t="str">
        <f>IF(ISBLANK('Data Input'!I1121),"",'Data Input'!I1121)</f>
        <v/>
      </c>
      <c r="K1121" t="str">
        <f>IF(ISBLANK('Data Input'!J1121),"",'Data Input'!J1121)</f>
        <v/>
      </c>
      <c r="L1121" t="str">
        <f>IF(ISBLANK('Data Input'!K1121),"",'Data Input'!K1121)</f>
        <v/>
      </c>
      <c r="M1121" t="str">
        <f>IF(ISBLANK('Data Input'!L1121),"",'Data Input'!L1121)</f>
        <v/>
      </c>
      <c r="N1121" t="str">
        <f>IF(ISBLANK('Data Input'!M1121),"",'Data Input'!M1121)</f>
        <v/>
      </c>
      <c r="O1121" t="str">
        <f>IF(ISBLANK('Data Input'!N1121),"",'Data Input'!N1121)</f>
        <v/>
      </c>
      <c r="P1121" t="str">
        <f>IF(ISBLANK('Data Input'!O1121),"",'Data Input'!O1121)</f>
        <v/>
      </c>
      <c r="Q1121" t="str">
        <f>IF(ISBLANK('Data Input'!P1121),"",'Data Input'!P1121)</f>
        <v/>
      </c>
      <c r="R1121" t="str">
        <f>IF(ISBLANK('Data Input'!Q1121),"",'Data Input'!Q1121)</f>
        <v/>
      </c>
      <c r="T1121" s="2" t="e">
        <f t="shared" si="70"/>
        <v>#VALUE!</v>
      </c>
      <c r="U1121" s="12" t="e">
        <f t="shared" si="71"/>
        <v>#VALUE!</v>
      </c>
      <c r="V1121" s="2" t="str">
        <f t="shared" si="72"/>
        <v/>
      </c>
      <c r="W1121" s="12" t="str">
        <f t="shared" si="73"/>
        <v/>
      </c>
    </row>
    <row r="1122" spans="1:23">
      <c r="A1122" t="str">
        <f>IF(ISBLANK('Data Input'!A1122),"",'Data Input'!A1122)</f>
        <v/>
      </c>
      <c r="B1122" t="str">
        <f>IF(ISBLANK('Data Input'!B1122),"",'Data Input'!B1122)</f>
        <v/>
      </c>
      <c r="C1122" t="str">
        <f>IF(ISBLANK('Data Input'!C1122),"",'Data Input'!C1122)</f>
        <v/>
      </c>
      <c r="E1122" t="str">
        <f>IF(ISBLANK('Data Input'!D1122),"",'Data Input'!D1122)</f>
        <v/>
      </c>
      <c r="G1122" t="str">
        <f>IF(ISBLANK('Data Input'!E1122),"",'Data Input'!E1122)</f>
        <v/>
      </c>
      <c r="H1122" t="str">
        <f>IF(ISBLANK('Data Input'!F1122),"",'Data Input'!F1122)</f>
        <v/>
      </c>
      <c r="I1122" t="str">
        <f>IF(ISBLANK('Data Input'!G1122),"",'Data Input'!G1122)</f>
        <v/>
      </c>
      <c r="J1122" t="str">
        <f>IF(ISBLANK('Data Input'!I1122),"",'Data Input'!I1122)</f>
        <v/>
      </c>
      <c r="K1122" t="str">
        <f>IF(ISBLANK('Data Input'!J1122),"",'Data Input'!J1122)</f>
        <v/>
      </c>
      <c r="L1122" t="str">
        <f>IF(ISBLANK('Data Input'!K1122),"",'Data Input'!K1122)</f>
        <v/>
      </c>
      <c r="M1122" t="str">
        <f>IF(ISBLANK('Data Input'!L1122),"",'Data Input'!L1122)</f>
        <v/>
      </c>
      <c r="N1122" t="str">
        <f>IF(ISBLANK('Data Input'!M1122),"",'Data Input'!M1122)</f>
        <v/>
      </c>
      <c r="O1122" t="str">
        <f>IF(ISBLANK('Data Input'!N1122),"",'Data Input'!N1122)</f>
        <v/>
      </c>
      <c r="P1122" t="str">
        <f>IF(ISBLANK('Data Input'!O1122),"",'Data Input'!O1122)</f>
        <v/>
      </c>
      <c r="Q1122" t="str">
        <f>IF(ISBLANK('Data Input'!P1122),"",'Data Input'!P1122)</f>
        <v/>
      </c>
      <c r="R1122" t="str">
        <f>IF(ISBLANK('Data Input'!Q1122),"",'Data Input'!Q1122)</f>
        <v/>
      </c>
      <c r="T1122" s="2" t="e">
        <f t="shared" si="70"/>
        <v>#VALUE!</v>
      </c>
      <c r="U1122" s="12" t="e">
        <f t="shared" si="71"/>
        <v>#VALUE!</v>
      </c>
      <c r="V1122" s="2" t="str">
        <f t="shared" si="72"/>
        <v/>
      </c>
      <c r="W1122" s="12" t="str">
        <f t="shared" si="73"/>
        <v/>
      </c>
    </row>
    <row r="1123" spans="1:23">
      <c r="A1123" t="str">
        <f>IF(ISBLANK('Data Input'!A1123),"",'Data Input'!A1123)</f>
        <v/>
      </c>
      <c r="B1123" t="str">
        <f>IF(ISBLANK('Data Input'!B1123),"",'Data Input'!B1123)</f>
        <v/>
      </c>
      <c r="C1123" t="str">
        <f>IF(ISBLANK('Data Input'!C1123),"",'Data Input'!C1123)</f>
        <v/>
      </c>
      <c r="E1123" t="str">
        <f>IF(ISBLANK('Data Input'!D1123),"",'Data Input'!D1123)</f>
        <v/>
      </c>
      <c r="G1123" t="str">
        <f>IF(ISBLANK('Data Input'!E1123),"",'Data Input'!E1123)</f>
        <v/>
      </c>
      <c r="H1123" t="str">
        <f>IF(ISBLANK('Data Input'!F1123),"",'Data Input'!F1123)</f>
        <v/>
      </c>
      <c r="I1123" t="str">
        <f>IF(ISBLANK('Data Input'!G1123),"",'Data Input'!G1123)</f>
        <v/>
      </c>
      <c r="J1123" t="str">
        <f>IF(ISBLANK('Data Input'!I1123),"",'Data Input'!I1123)</f>
        <v/>
      </c>
      <c r="K1123" t="str">
        <f>IF(ISBLANK('Data Input'!J1123),"",'Data Input'!J1123)</f>
        <v/>
      </c>
      <c r="L1123" t="str">
        <f>IF(ISBLANK('Data Input'!K1123),"",'Data Input'!K1123)</f>
        <v/>
      </c>
      <c r="M1123" t="str">
        <f>IF(ISBLANK('Data Input'!L1123),"",'Data Input'!L1123)</f>
        <v/>
      </c>
      <c r="N1123" t="str">
        <f>IF(ISBLANK('Data Input'!M1123),"",'Data Input'!M1123)</f>
        <v/>
      </c>
      <c r="O1123" t="str">
        <f>IF(ISBLANK('Data Input'!N1123),"",'Data Input'!N1123)</f>
        <v/>
      </c>
      <c r="P1123" t="str">
        <f>IF(ISBLANK('Data Input'!O1123),"",'Data Input'!O1123)</f>
        <v/>
      </c>
      <c r="Q1123" t="str">
        <f>IF(ISBLANK('Data Input'!P1123),"",'Data Input'!P1123)</f>
        <v/>
      </c>
      <c r="R1123" t="str">
        <f>IF(ISBLANK('Data Input'!Q1123),"",'Data Input'!Q1123)</f>
        <v/>
      </c>
      <c r="T1123" s="2" t="e">
        <f t="shared" si="70"/>
        <v>#VALUE!</v>
      </c>
      <c r="U1123" s="12" t="e">
        <f t="shared" si="71"/>
        <v>#VALUE!</v>
      </c>
      <c r="V1123" s="2" t="str">
        <f t="shared" si="72"/>
        <v/>
      </c>
      <c r="W1123" s="12" t="str">
        <f t="shared" si="73"/>
        <v/>
      </c>
    </row>
    <row r="1124" spans="1:23">
      <c r="A1124" t="str">
        <f>IF(ISBLANK('Data Input'!A1124),"",'Data Input'!A1124)</f>
        <v/>
      </c>
      <c r="B1124" t="str">
        <f>IF(ISBLANK('Data Input'!B1124),"",'Data Input'!B1124)</f>
        <v/>
      </c>
      <c r="C1124" t="str">
        <f>IF(ISBLANK('Data Input'!C1124),"",'Data Input'!C1124)</f>
        <v/>
      </c>
      <c r="E1124" t="str">
        <f>IF(ISBLANK('Data Input'!D1124),"",'Data Input'!D1124)</f>
        <v/>
      </c>
      <c r="G1124" t="str">
        <f>IF(ISBLANK('Data Input'!E1124),"",'Data Input'!E1124)</f>
        <v/>
      </c>
      <c r="H1124" t="str">
        <f>IF(ISBLANK('Data Input'!F1124),"",'Data Input'!F1124)</f>
        <v/>
      </c>
      <c r="I1124" t="str">
        <f>IF(ISBLANK('Data Input'!G1124),"",'Data Input'!G1124)</f>
        <v/>
      </c>
      <c r="J1124" t="str">
        <f>IF(ISBLANK('Data Input'!I1124),"",'Data Input'!I1124)</f>
        <v/>
      </c>
      <c r="K1124" t="str">
        <f>IF(ISBLANK('Data Input'!J1124),"",'Data Input'!J1124)</f>
        <v/>
      </c>
      <c r="L1124" t="str">
        <f>IF(ISBLANK('Data Input'!K1124),"",'Data Input'!K1124)</f>
        <v/>
      </c>
      <c r="M1124" t="str">
        <f>IF(ISBLANK('Data Input'!L1124),"",'Data Input'!L1124)</f>
        <v/>
      </c>
      <c r="N1124" t="str">
        <f>IF(ISBLANK('Data Input'!M1124),"",'Data Input'!M1124)</f>
        <v/>
      </c>
      <c r="O1124" t="str">
        <f>IF(ISBLANK('Data Input'!N1124),"",'Data Input'!N1124)</f>
        <v/>
      </c>
      <c r="P1124" t="str">
        <f>IF(ISBLANK('Data Input'!O1124),"",'Data Input'!O1124)</f>
        <v/>
      </c>
      <c r="Q1124" t="str">
        <f>IF(ISBLANK('Data Input'!P1124),"",'Data Input'!P1124)</f>
        <v/>
      </c>
      <c r="R1124" t="str">
        <f>IF(ISBLANK('Data Input'!Q1124),"",'Data Input'!Q1124)</f>
        <v/>
      </c>
      <c r="T1124" s="2" t="e">
        <f t="shared" si="70"/>
        <v>#VALUE!</v>
      </c>
      <c r="U1124" s="12" t="e">
        <f t="shared" si="71"/>
        <v>#VALUE!</v>
      </c>
      <c r="V1124" s="2" t="str">
        <f t="shared" si="72"/>
        <v/>
      </c>
      <c r="W1124" s="12" t="str">
        <f t="shared" si="73"/>
        <v/>
      </c>
    </row>
    <row r="1125" spans="1:23">
      <c r="A1125" t="str">
        <f>IF(ISBLANK('Data Input'!A1125),"",'Data Input'!A1125)</f>
        <v/>
      </c>
      <c r="B1125" t="str">
        <f>IF(ISBLANK('Data Input'!B1125),"",'Data Input'!B1125)</f>
        <v/>
      </c>
      <c r="C1125" t="str">
        <f>IF(ISBLANK('Data Input'!C1125),"",'Data Input'!C1125)</f>
        <v/>
      </c>
      <c r="E1125" t="str">
        <f>IF(ISBLANK('Data Input'!D1125),"",'Data Input'!D1125)</f>
        <v/>
      </c>
      <c r="G1125" t="str">
        <f>IF(ISBLANK('Data Input'!E1125),"",'Data Input'!E1125)</f>
        <v/>
      </c>
      <c r="H1125" t="str">
        <f>IF(ISBLANK('Data Input'!F1125),"",'Data Input'!F1125)</f>
        <v/>
      </c>
      <c r="I1125" t="str">
        <f>IF(ISBLANK('Data Input'!G1125),"",'Data Input'!G1125)</f>
        <v/>
      </c>
      <c r="J1125" t="str">
        <f>IF(ISBLANK('Data Input'!I1125),"",'Data Input'!I1125)</f>
        <v/>
      </c>
      <c r="K1125" t="str">
        <f>IF(ISBLANK('Data Input'!J1125),"",'Data Input'!J1125)</f>
        <v/>
      </c>
      <c r="L1125" t="str">
        <f>IF(ISBLANK('Data Input'!K1125),"",'Data Input'!K1125)</f>
        <v/>
      </c>
      <c r="M1125" t="str">
        <f>IF(ISBLANK('Data Input'!L1125),"",'Data Input'!L1125)</f>
        <v/>
      </c>
      <c r="N1125" t="str">
        <f>IF(ISBLANK('Data Input'!M1125),"",'Data Input'!M1125)</f>
        <v/>
      </c>
      <c r="O1125" t="str">
        <f>IF(ISBLANK('Data Input'!N1125),"",'Data Input'!N1125)</f>
        <v/>
      </c>
      <c r="P1125" t="str">
        <f>IF(ISBLANK('Data Input'!O1125),"",'Data Input'!O1125)</f>
        <v/>
      </c>
      <c r="Q1125" t="str">
        <f>IF(ISBLANK('Data Input'!P1125),"",'Data Input'!P1125)</f>
        <v/>
      </c>
      <c r="R1125" t="str">
        <f>IF(ISBLANK('Data Input'!Q1125),"",'Data Input'!Q1125)</f>
        <v/>
      </c>
      <c r="T1125" s="2" t="e">
        <f t="shared" si="70"/>
        <v>#VALUE!</v>
      </c>
      <c r="U1125" s="12" t="e">
        <f t="shared" si="71"/>
        <v>#VALUE!</v>
      </c>
      <c r="V1125" s="2" t="str">
        <f t="shared" si="72"/>
        <v/>
      </c>
      <c r="W1125" s="12" t="str">
        <f t="shared" si="73"/>
        <v/>
      </c>
    </row>
    <row r="1126" spans="1:23">
      <c r="A1126" t="str">
        <f>IF(ISBLANK('Data Input'!A1126),"",'Data Input'!A1126)</f>
        <v/>
      </c>
      <c r="B1126" t="str">
        <f>IF(ISBLANK('Data Input'!B1126),"",'Data Input'!B1126)</f>
        <v/>
      </c>
      <c r="C1126" t="str">
        <f>IF(ISBLANK('Data Input'!C1126),"",'Data Input'!C1126)</f>
        <v/>
      </c>
      <c r="E1126" t="str">
        <f>IF(ISBLANK('Data Input'!D1126),"",'Data Input'!D1126)</f>
        <v/>
      </c>
      <c r="G1126" t="str">
        <f>IF(ISBLANK('Data Input'!E1126),"",'Data Input'!E1126)</f>
        <v/>
      </c>
      <c r="H1126" t="str">
        <f>IF(ISBLANK('Data Input'!F1126),"",'Data Input'!F1126)</f>
        <v/>
      </c>
      <c r="I1126" t="str">
        <f>IF(ISBLANK('Data Input'!G1126),"",'Data Input'!G1126)</f>
        <v/>
      </c>
      <c r="J1126" t="str">
        <f>IF(ISBLANK('Data Input'!I1126),"",'Data Input'!I1126)</f>
        <v/>
      </c>
      <c r="K1126" t="str">
        <f>IF(ISBLANK('Data Input'!J1126),"",'Data Input'!J1126)</f>
        <v/>
      </c>
      <c r="L1126" t="str">
        <f>IF(ISBLANK('Data Input'!K1126),"",'Data Input'!K1126)</f>
        <v/>
      </c>
      <c r="M1126" t="str">
        <f>IF(ISBLANK('Data Input'!L1126),"",'Data Input'!L1126)</f>
        <v/>
      </c>
      <c r="N1126" t="str">
        <f>IF(ISBLANK('Data Input'!M1126),"",'Data Input'!M1126)</f>
        <v/>
      </c>
      <c r="O1126" t="str">
        <f>IF(ISBLANK('Data Input'!N1126),"",'Data Input'!N1126)</f>
        <v/>
      </c>
      <c r="P1126" t="str">
        <f>IF(ISBLANK('Data Input'!O1126),"",'Data Input'!O1126)</f>
        <v/>
      </c>
      <c r="Q1126" t="str">
        <f>IF(ISBLANK('Data Input'!P1126),"",'Data Input'!P1126)</f>
        <v/>
      </c>
      <c r="R1126" t="str">
        <f>IF(ISBLANK('Data Input'!Q1126),"",'Data Input'!Q1126)</f>
        <v/>
      </c>
      <c r="T1126" s="2" t="e">
        <f t="shared" si="70"/>
        <v>#VALUE!</v>
      </c>
      <c r="U1126" s="12" t="e">
        <f t="shared" si="71"/>
        <v>#VALUE!</v>
      </c>
      <c r="V1126" s="2" t="str">
        <f t="shared" si="72"/>
        <v/>
      </c>
      <c r="W1126" s="12" t="str">
        <f t="shared" si="73"/>
        <v/>
      </c>
    </row>
    <row r="1127" spans="1:23">
      <c r="A1127" t="str">
        <f>IF(ISBLANK('Data Input'!A1127),"",'Data Input'!A1127)</f>
        <v/>
      </c>
      <c r="B1127" t="str">
        <f>IF(ISBLANK('Data Input'!B1127),"",'Data Input'!B1127)</f>
        <v/>
      </c>
      <c r="C1127" t="str">
        <f>IF(ISBLANK('Data Input'!C1127),"",'Data Input'!C1127)</f>
        <v/>
      </c>
      <c r="E1127" t="str">
        <f>IF(ISBLANK('Data Input'!D1127),"",'Data Input'!D1127)</f>
        <v/>
      </c>
      <c r="G1127" t="str">
        <f>IF(ISBLANK('Data Input'!E1127),"",'Data Input'!E1127)</f>
        <v/>
      </c>
      <c r="H1127" t="str">
        <f>IF(ISBLANK('Data Input'!F1127),"",'Data Input'!F1127)</f>
        <v/>
      </c>
      <c r="I1127" t="str">
        <f>IF(ISBLANK('Data Input'!G1127),"",'Data Input'!G1127)</f>
        <v/>
      </c>
      <c r="J1127" t="str">
        <f>IF(ISBLANK('Data Input'!I1127),"",'Data Input'!I1127)</f>
        <v/>
      </c>
      <c r="K1127" t="str">
        <f>IF(ISBLANK('Data Input'!J1127),"",'Data Input'!J1127)</f>
        <v/>
      </c>
      <c r="L1127" t="str">
        <f>IF(ISBLANK('Data Input'!K1127),"",'Data Input'!K1127)</f>
        <v/>
      </c>
      <c r="M1127" t="str">
        <f>IF(ISBLANK('Data Input'!L1127),"",'Data Input'!L1127)</f>
        <v/>
      </c>
      <c r="N1127" t="str">
        <f>IF(ISBLANK('Data Input'!M1127),"",'Data Input'!M1127)</f>
        <v/>
      </c>
      <c r="O1127" t="str">
        <f>IF(ISBLANK('Data Input'!N1127),"",'Data Input'!N1127)</f>
        <v/>
      </c>
      <c r="P1127" t="str">
        <f>IF(ISBLANK('Data Input'!O1127),"",'Data Input'!O1127)</f>
        <v/>
      </c>
      <c r="Q1127" t="str">
        <f>IF(ISBLANK('Data Input'!P1127),"",'Data Input'!P1127)</f>
        <v/>
      </c>
      <c r="R1127" t="str">
        <f>IF(ISBLANK('Data Input'!Q1127),"",'Data Input'!Q1127)</f>
        <v/>
      </c>
      <c r="T1127" s="2" t="e">
        <f t="shared" si="70"/>
        <v>#VALUE!</v>
      </c>
      <c r="U1127" s="12" t="e">
        <f t="shared" si="71"/>
        <v>#VALUE!</v>
      </c>
      <c r="V1127" s="2" t="str">
        <f t="shared" si="72"/>
        <v/>
      </c>
      <c r="W1127" s="12" t="str">
        <f t="shared" si="73"/>
        <v/>
      </c>
    </row>
    <row r="1128" spans="1:23">
      <c r="A1128" t="str">
        <f>IF(ISBLANK('Data Input'!A1128),"",'Data Input'!A1128)</f>
        <v/>
      </c>
      <c r="B1128" t="str">
        <f>IF(ISBLANK('Data Input'!B1128),"",'Data Input'!B1128)</f>
        <v/>
      </c>
      <c r="C1128" t="str">
        <f>IF(ISBLANK('Data Input'!C1128),"",'Data Input'!C1128)</f>
        <v/>
      </c>
      <c r="E1128" t="str">
        <f>IF(ISBLANK('Data Input'!D1128),"",'Data Input'!D1128)</f>
        <v/>
      </c>
      <c r="G1128" t="str">
        <f>IF(ISBLANK('Data Input'!E1128),"",'Data Input'!E1128)</f>
        <v/>
      </c>
      <c r="H1128" t="str">
        <f>IF(ISBLANK('Data Input'!F1128),"",'Data Input'!F1128)</f>
        <v/>
      </c>
      <c r="I1128" t="str">
        <f>IF(ISBLANK('Data Input'!G1128),"",'Data Input'!G1128)</f>
        <v/>
      </c>
      <c r="J1128" t="str">
        <f>IF(ISBLANK('Data Input'!I1128),"",'Data Input'!I1128)</f>
        <v/>
      </c>
      <c r="K1128" t="str">
        <f>IF(ISBLANK('Data Input'!J1128),"",'Data Input'!J1128)</f>
        <v/>
      </c>
      <c r="L1128" t="str">
        <f>IF(ISBLANK('Data Input'!K1128),"",'Data Input'!K1128)</f>
        <v/>
      </c>
      <c r="M1128" t="str">
        <f>IF(ISBLANK('Data Input'!L1128),"",'Data Input'!L1128)</f>
        <v/>
      </c>
      <c r="N1128" t="str">
        <f>IF(ISBLANK('Data Input'!M1128),"",'Data Input'!M1128)</f>
        <v/>
      </c>
      <c r="O1128" t="str">
        <f>IF(ISBLANK('Data Input'!N1128),"",'Data Input'!N1128)</f>
        <v/>
      </c>
      <c r="P1128" t="str">
        <f>IF(ISBLANK('Data Input'!O1128),"",'Data Input'!O1128)</f>
        <v/>
      </c>
      <c r="Q1128" t="str">
        <f>IF(ISBLANK('Data Input'!P1128),"",'Data Input'!P1128)</f>
        <v/>
      </c>
      <c r="R1128" t="str">
        <f>IF(ISBLANK('Data Input'!Q1128),"",'Data Input'!Q1128)</f>
        <v/>
      </c>
      <c r="T1128" s="2" t="e">
        <f t="shared" si="70"/>
        <v>#VALUE!</v>
      </c>
      <c r="U1128" s="12" t="e">
        <f t="shared" si="71"/>
        <v>#VALUE!</v>
      </c>
      <c r="V1128" s="2" t="str">
        <f t="shared" si="72"/>
        <v/>
      </c>
      <c r="W1128" s="12" t="str">
        <f t="shared" si="73"/>
        <v/>
      </c>
    </row>
    <row r="1129" spans="1:23">
      <c r="A1129" t="str">
        <f>IF(ISBLANK('Data Input'!A1129),"",'Data Input'!A1129)</f>
        <v/>
      </c>
      <c r="B1129" t="str">
        <f>IF(ISBLANK('Data Input'!B1129),"",'Data Input'!B1129)</f>
        <v/>
      </c>
      <c r="C1129" t="str">
        <f>IF(ISBLANK('Data Input'!C1129),"",'Data Input'!C1129)</f>
        <v/>
      </c>
      <c r="E1129" t="str">
        <f>IF(ISBLANK('Data Input'!D1129),"",'Data Input'!D1129)</f>
        <v/>
      </c>
      <c r="G1129" t="str">
        <f>IF(ISBLANK('Data Input'!E1129),"",'Data Input'!E1129)</f>
        <v/>
      </c>
      <c r="H1129" t="str">
        <f>IF(ISBLANK('Data Input'!F1129),"",'Data Input'!F1129)</f>
        <v/>
      </c>
      <c r="I1129" t="str">
        <f>IF(ISBLANK('Data Input'!G1129),"",'Data Input'!G1129)</f>
        <v/>
      </c>
      <c r="J1129" t="str">
        <f>IF(ISBLANK('Data Input'!I1129),"",'Data Input'!I1129)</f>
        <v/>
      </c>
      <c r="K1129" t="str">
        <f>IF(ISBLANK('Data Input'!J1129),"",'Data Input'!J1129)</f>
        <v/>
      </c>
      <c r="L1129" t="str">
        <f>IF(ISBLANK('Data Input'!K1129),"",'Data Input'!K1129)</f>
        <v/>
      </c>
      <c r="M1129" t="str">
        <f>IF(ISBLANK('Data Input'!L1129),"",'Data Input'!L1129)</f>
        <v/>
      </c>
      <c r="N1129" t="str">
        <f>IF(ISBLANK('Data Input'!M1129),"",'Data Input'!M1129)</f>
        <v/>
      </c>
      <c r="O1129" t="str">
        <f>IF(ISBLANK('Data Input'!N1129),"",'Data Input'!N1129)</f>
        <v/>
      </c>
      <c r="P1129" t="str">
        <f>IF(ISBLANK('Data Input'!O1129),"",'Data Input'!O1129)</f>
        <v/>
      </c>
      <c r="Q1129" t="str">
        <f>IF(ISBLANK('Data Input'!P1129),"",'Data Input'!P1129)</f>
        <v/>
      </c>
      <c r="R1129" t="str">
        <f>IF(ISBLANK('Data Input'!Q1129),"",'Data Input'!Q1129)</f>
        <v/>
      </c>
      <c r="T1129" s="2" t="e">
        <f t="shared" si="70"/>
        <v>#VALUE!</v>
      </c>
      <c r="U1129" s="12" t="e">
        <f t="shared" si="71"/>
        <v>#VALUE!</v>
      </c>
      <c r="V1129" s="2" t="str">
        <f t="shared" si="72"/>
        <v/>
      </c>
      <c r="W1129" s="12" t="str">
        <f t="shared" si="73"/>
        <v/>
      </c>
    </row>
    <row r="1130" spans="1:23">
      <c r="A1130" t="str">
        <f>IF(ISBLANK('Data Input'!A1130),"",'Data Input'!A1130)</f>
        <v/>
      </c>
      <c r="B1130" t="str">
        <f>IF(ISBLANK('Data Input'!B1130),"",'Data Input'!B1130)</f>
        <v/>
      </c>
      <c r="C1130" t="str">
        <f>IF(ISBLANK('Data Input'!C1130),"",'Data Input'!C1130)</f>
        <v/>
      </c>
      <c r="E1130" t="str">
        <f>IF(ISBLANK('Data Input'!D1130),"",'Data Input'!D1130)</f>
        <v/>
      </c>
      <c r="G1130" t="str">
        <f>IF(ISBLANK('Data Input'!E1130),"",'Data Input'!E1130)</f>
        <v/>
      </c>
      <c r="H1130" t="str">
        <f>IF(ISBLANK('Data Input'!F1130),"",'Data Input'!F1130)</f>
        <v/>
      </c>
      <c r="I1130" t="str">
        <f>IF(ISBLANK('Data Input'!G1130),"",'Data Input'!G1130)</f>
        <v/>
      </c>
      <c r="J1130" t="str">
        <f>IF(ISBLANK('Data Input'!I1130),"",'Data Input'!I1130)</f>
        <v/>
      </c>
      <c r="K1130" t="str">
        <f>IF(ISBLANK('Data Input'!J1130),"",'Data Input'!J1130)</f>
        <v/>
      </c>
      <c r="L1130" t="str">
        <f>IF(ISBLANK('Data Input'!K1130),"",'Data Input'!K1130)</f>
        <v/>
      </c>
      <c r="M1130" t="str">
        <f>IF(ISBLANK('Data Input'!L1130),"",'Data Input'!L1130)</f>
        <v/>
      </c>
      <c r="N1130" t="str">
        <f>IF(ISBLANK('Data Input'!M1130),"",'Data Input'!M1130)</f>
        <v/>
      </c>
      <c r="O1130" t="str">
        <f>IF(ISBLANK('Data Input'!N1130),"",'Data Input'!N1130)</f>
        <v/>
      </c>
      <c r="P1130" t="str">
        <f>IF(ISBLANK('Data Input'!O1130),"",'Data Input'!O1130)</f>
        <v/>
      </c>
      <c r="Q1130" t="str">
        <f>IF(ISBLANK('Data Input'!P1130),"",'Data Input'!P1130)</f>
        <v/>
      </c>
      <c r="R1130" t="str">
        <f>IF(ISBLANK('Data Input'!Q1130),"",'Data Input'!Q1130)</f>
        <v/>
      </c>
      <c r="T1130" s="2" t="e">
        <f t="shared" si="70"/>
        <v>#VALUE!</v>
      </c>
      <c r="U1130" s="12" t="e">
        <f t="shared" si="71"/>
        <v>#VALUE!</v>
      </c>
      <c r="V1130" s="2" t="str">
        <f t="shared" si="72"/>
        <v/>
      </c>
      <c r="W1130" s="12" t="str">
        <f t="shared" si="73"/>
        <v/>
      </c>
    </row>
    <row r="1131" spans="1:23">
      <c r="A1131" t="str">
        <f>IF(ISBLANK('Data Input'!A1131),"",'Data Input'!A1131)</f>
        <v/>
      </c>
      <c r="B1131" t="str">
        <f>IF(ISBLANK('Data Input'!B1131),"",'Data Input'!B1131)</f>
        <v/>
      </c>
      <c r="C1131" t="str">
        <f>IF(ISBLANK('Data Input'!C1131),"",'Data Input'!C1131)</f>
        <v/>
      </c>
      <c r="E1131" t="str">
        <f>IF(ISBLANK('Data Input'!D1131),"",'Data Input'!D1131)</f>
        <v/>
      </c>
      <c r="G1131" t="str">
        <f>IF(ISBLANK('Data Input'!E1131),"",'Data Input'!E1131)</f>
        <v/>
      </c>
      <c r="H1131" t="str">
        <f>IF(ISBLANK('Data Input'!F1131),"",'Data Input'!F1131)</f>
        <v/>
      </c>
      <c r="I1131" t="str">
        <f>IF(ISBLANK('Data Input'!G1131),"",'Data Input'!G1131)</f>
        <v/>
      </c>
      <c r="J1131" t="str">
        <f>IF(ISBLANK('Data Input'!I1131),"",'Data Input'!I1131)</f>
        <v/>
      </c>
      <c r="K1131" t="str">
        <f>IF(ISBLANK('Data Input'!J1131),"",'Data Input'!J1131)</f>
        <v/>
      </c>
      <c r="L1131" t="str">
        <f>IF(ISBLANK('Data Input'!K1131),"",'Data Input'!K1131)</f>
        <v/>
      </c>
      <c r="M1131" t="str">
        <f>IF(ISBLANK('Data Input'!L1131),"",'Data Input'!L1131)</f>
        <v/>
      </c>
      <c r="N1131" t="str">
        <f>IF(ISBLANK('Data Input'!M1131),"",'Data Input'!M1131)</f>
        <v/>
      </c>
      <c r="O1131" t="str">
        <f>IF(ISBLANK('Data Input'!N1131),"",'Data Input'!N1131)</f>
        <v/>
      </c>
      <c r="P1131" t="str">
        <f>IF(ISBLANK('Data Input'!O1131),"",'Data Input'!O1131)</f>
        <v/>
      </c>
      <c r="Q1131" t="str">
        <f>IF(ISBLANK('Data Input'!P1131),"",'Data Input'!P1131)</f>
        <v/>
      </c>
      <c r="R1131" t="str">
        <f>IF(ISBLANK('Data Input'!Q1131),"",'Data Input'!Q1131)</f>
        <v/>
      </c>
      <c r="T1131" s="2" t="e">
        <f t="shared" si="70"/>
        <v>#VALUE!</v>
      </c>
      <c r="U1131" s="12" t="e">
        <f t="shared" si="71"/>
        <v>#VALUE!</v>
      </c>
      <c r="V1131" s="2" t="str">
        <f t="shared" si="72"/>
        <v/>
      </c>
      <c r="W1131" s="12" t="str">
        <f t="shared" si="73"/>
        <v/>
      </c>
    </row>
    <row r="1132" spans="1:23">
      <c r="A1132" t="str">
        <f>IF(ISBLANK('Data Input'!A1132),"",'Data Input'!A1132)</f>
        <v/>
      </c>
      <c r="B1132" t="str">
        <f>IF(ISBLANK('Data Input'!B1132),"",'Data Input'!B1132)</f>
        <v/>
      </c>
      <c r="C1132" t="str">
        <f>IF(ISBLANK('Data Input'!C1132),"",'Data Input'!C1132)</f>
        <v/>
      </c>
      <c r="E1132" t="str">
        <f>IF(ISBLANK('Data Input'!D1132),"",'Data Input'!D1132)</f>
        <v/>
      </c>
      <c r="G1132" t="str">
        <f>IF(ISBLANK('Data Input'!E1132),"",'Data Input'!E1132)</f>
        <v/>
      </c>
      <c r="H1132" t="str">
        <f>IF(ISBLANK('Data Input'!F1132),"",'Data Input'!F1132)</f>
        <v/>
      </c>
      <c r="I1132" t="str">
        <f>IF(ISBLANK('Data Input'!G1132),"",'Data Input'!G1132)</f>
        <v/>
      </c>
      <c r="J1132" t="str">
        <f>IF(ISBLANK('Data Input'!I1132),"",'Data Input'!I1132)</f>
        <v/>
      </c>
      <c r="K1132" t="str">
        <f>IF(ISBLANK('Data Input'!J1132),"",'Data Input'!J1132)</f>
        <v/>
      </c>
      <c r="L1132" t="str">
        <f>IF(ISBLANK('Data Input'!K1132),"",'Data Input'!K1132)</f>
        <v/>
      </c>
      <c r="M1132" t="str">
        <f>IF(ISBLANK('Data Input'!L1132),"",'Data Input'!L1132)</f>
        <v/>
      </c>
      <c r="N1132" t="str">
        <f>IF(ISBLANK('Data Input'!M1132),"",'Data Input'!M1132)</f>
        <v/>
      </c>
      <c r="O1132" t="str">
        <f>IF(ISBLANK('Data Input'!N1132),"",'Data Input'!N1132)</f>
        <v/>
      </c>
      <c r="P1132" t="str">
        <f>IF(ISBLANK('Data Input'!O1132),"",'Data Input'!O1132)</f>
        <v/>
      </c>
      <c r="Q1132" t="str">
        <f>IF(ISBLANK('Data Input'!P1132),"",'Data Input'!P1132)</f>
        <v/>
      </c>
      <c r="R1132" t="str">
        <f>IF(ISBLANK('Data Input'!Q1132),"",'Data Input'!Q1132)</f>
        <v/>
      </c>
      <c r="T1132" s="2" t="e">
        <f t="shared" si="70"/>
        <v>#VALUE!</v>
      </c>
      <c r="U1132" s="12" t="e">
        <f t="shared" si="71"/>
        <v>#VALUE!</v>
      </c>
      <c r="V1132" s="2" t="str">
        <f t="shared" si="72"/>
        <v/>
      </c>
      <c r="W1132" s="12" t="str">
        <f t="shared" si="73"/>
        <v/>
      </c>
    </row>
    <row r="1133" spans="1:23">
      <c r="A1133" t="str">
        <f>IF(ISBLANK('Data Input'!A1133),"",'Data Input'!A1133)</f>
        <v/>
      </c>
      <c r="B1133" t="str">
        <f>IF(ISBLANK('Data Input'!B1133),"",'Data Input'!B1133)</f>
        <v/>
      </c>
      <c r="C1133" t="str">
        <f>IF(ISBLANK('Data Input'!C1133),"",'Data Input'!C1133)</f>
        <v/>
      </c>
      <c r="E1133" t="str">
        <f>IF(ISBLANK('Data Input'!D1133),"",'Data Input'!D1133)</f>
        <v/>
      </c>
      <c r="G1133" t="str">
        <f>IF(ISBLANK('Data Input'!E1133),"",'Data Input'!E1133)</f>
        <v/>
      </c>
      <c r="H1133" t="str">
        <f>IF(ISBLANK('Data Input'!F1133),"",'Data Input'!F1133)</f>
        <v/>
      </c>
      <c r="I1133" t="str">
        <f>IF(ISBLANK('Data Input'!G1133),"",'Data Input'!G1133)</f>
        <v/>
      </c>
      <c r="J1133" t="str">
        <f>IF(ISBLANK('Data Input'!I1133),"",'Data Input'!I1133)</f>
        <v/>
      </c>
      <c r="K1133" t="str">
        <f>IF(ISBLANK('Data Input'!J1133),"",'Data Input'!J1133)</f>
        <v/>
      </c>
      <c r="L1133" t="str">
        <f>IF(ISBLANK('Data Input'!K1133),"",'Data Input'!K1133)</f>
        <v/>
      </c>
      <c r="M1133" t="str">
        <f>IF(ISBLANK('Data Input'!L1133),"",'Data Input'!L1133)</f>
        <v/>
      </c>
      <c r="N1133" t="str">
        <f>IF(ISBLANK('Data Input'!M1133),"",'Data Input'!M1133)</f>
        <v/>
      </c>
      <c r="O1133" t="str">
        <f>IF(ISBLANK('Data Input'!N1133),"",'Data Input'!N1133)</f>
        <v/>
      </c>
      <c r="P1133" t="str">
        <f>IF(ISBLANK('Data Input'!O1133),"",'Data Input'!O1133)</f>
        <v/>
      </c>
      <c r="Q1133" t="str">
        <f>IF(ISBLANK('Data Input'!P1133),"",'Data Input'!P1133)</f>
        <v/>
      </c>
      <c r="R1133" t="str">
        <f>IF(ISBLANK('Data Input'!Q1133),"",'Data Input'!Q1133)</f>
        <v/>
      </c>
      <c r="T1133" s="2" t="e">
        <f t="shared" si="70"/>
        <v>#VALUE!</v>
      </c>
      <c r="U1133" s="12" t="e">
        <f t="shared" si="71"/>
        <v>#VALUE!</v>
      </c>
      <c r="V1133" s="2" t="str">
        <f t="shared" si="72"/>
        <v/>
      </c>
      <c r="W1133" s="12" t="str">
        <f t="shared" si="73"/>
        <v/>
      </c>
    </row>
    <row r="1134" spans="1:23">
      <c r="A1134" t="str">
        <f>IF(ISBLANK('Data Input'!A1134),"",'Data Input'!A1134)</f>
        <v/>
      </c>
      <c r="B1134" t="str">
        <f>IF(ISBLANK('Data Input'!B1134),"",'Data Input'!B1134)</f>
        <v/>
      </c>
      <c r="C1134" t="str">
        <f>IF(ISBLANK('Data Input'!C1134),"",'Data Input'!C1134)</f>
        <v/>
      </c>
      <c r="E1134" t="str">
        <f>IF(ISBLANK('Data Input'!D1134),"",'Data Input'!D1134)</f>
        <v/>
      </c>
      <c r="G1134" t="str">
        <f>IF(ISBLANK('Data Input'!E1134),"",'Data Input'!E1134)</f>
        <v/>
      </c>
      <c r="H1134" t="str">
        <f>IF(ISBLANK('Data Input'!F1134),"",'Data Input'!F1134)</f>
        <v/>
      </c>
      <c r="I1134" t="str">
        <f>IF(ISBLANK('Data Input'!G1134),"",'Data Input'!G1134)</f>
        <v/>
      </c>
      <c r="J1134" t="str">
        <f>IF(ISBLANK('Data Input'!I1134),"",'Data Input'!I1134)</f>
        <v/>
      </c>
      <c r="K1134" t="str">
        <f>IF(ISBLANK('Data Input'!J1134),"",'Data Input'!J1134)</f>
        <v/>
      </c>
      <c r="L1134" t="str">
        <f>IF(ISBLANK('Data Input'!K1134),"",'Data Input'!K1134)</f>
        <v/>
      </c>
      <c r="M1134" t="str">
        <f>IF(ISBLANK('Data Input'!L1134),"",'Data Input'!L1134)</f>
        <v/>
      </c>
      <c r="N1134" t="str">
        <f>IF(ISBLANK('Data Input'!M1134),"",'Data Input'!M1134)</f>
        <v/>
      </c>
      <c r="O1134" t="str">
        <f>IF(ISBLANK('Data Input'!N1134),"",'Data Input'!N1134)</f>
        <v/>
      </c>
      <c r="P1134" t="str">
        <f>IF(ISBLANK('Data Input'!O1134),"",'Data Input'!O1134)</f>
        <v/>
      </c>
      <c r="Q1134" t="str">
        <f>IF(ISBLANK('Data Input'!P1134),"",'Data Input'!P1134)</f>
        <v/>
      </c>
      <c r="R1134" t="str">
        <f>IF(ISBLANK('Data Input'!Q1134),"",'Data Input'!Q1134)</f>
        <v/>
      </c>
      <c r="T1134" s="2" t="e">
        <f t="shared" si="70"/>
        <v>#VALUE!</v>
      </c>
      <c r="U1134" s="12" t="e">
        <f t="shared" si="71"/>
        <v>#VALUE!</v>
      </c>
      <c r="V1134" s="2" t="str">
        <f t="shared" si="72"/>
        <v/>
      </c>
      <c r="W1134" s="12" t="str">
        <f t="shared" si="73"/>
        <v/>
      </c>
    </row>
    <row r="1135" spans="1:23">
      <c r="A1135" t="str">
        <f>IF(ISBLANK('Data Input'!A1135),"",'Data Input'!A1135)</f>
        <v/>
      </c>
      <c r="B1135" t="str">
        <f>IF(ISBLANK('Data Input'!B1135),"",'Data Input'!B1135)</f>
        <v/>
      </c>
      <c r="C1135" t="str">
        <f>IF(ISBLANK('Data Input'!C1135),"",'Data Input'!C1135)</f>
        <v/>
      </c>
      <c r="E1135" t="str">
        <f>IF(ISBLANK('Data Input'!D1135),"",'Data Input'!D1135)</f>
        <v/>
      </c>
      <c r="G1135" t="str">
        <f>IF(ISBLANK('Data Input'!E1135),"",'Data Input'!E1135)</f>
        <v/>
      </c>
      <c r="H1135" t="str">
        <f>IF(ISBLANK('Data Input'!F1135),"",'Data Input'!F1135)</f>
        <v/>
      </c>
      <c r="I1135" t="str">
        <f>IF(ISBLANK('Data Input'!G1135),"",'Data Input'!G1135)</f>
        <v/>
      </c>
      <c r="J1135" t="str">
        <f>IF(ISBLANK('Data Input'!I1135),"",'Data Input'!I1135)</f>
        <v/>
      </c>
      <c r="K1135" t="str">
        <f>IF(ISBLANK('Data Input'!J1135),"",'Data Input'!J1135)</f>
        <v/>
      </c>
      <c r="L1135" t="str">
        <f>IF(ISBLANK('Data Input'!K1135),"",'Data Input'!K1135)</f>
        <v/>
      </c>
      <c r="M1135" t="str">
        <f>IF(ISBLANK('Data Input'!L1135),"",'Data Input'!L1135)</f>
        <v/>
      </c>
      <c r="N1135" t="str">
        <f>IF(ISBLANK('Data Input'!M1135),"",'Data Input'!M1135)</f>
        <v/>
      </c>
      <c r="O1135" t="str">
        <f>IF(ISBLANK('Data Input'!N1135),"",'Data Input'!N1135)</f>
        <v/>
      </c>
      <c r="P1135" t="str">
        <f>IF(ISBLANK('Data Input'!O1135),"",'Data Input'!O1135)</f>
        <v/>
      </c>
      <c r="Q1135" t="str">
        <f>IF(ISBLANK('Data Input'!P1135),"",'Data Input'!P1135)</f>
        <v/>
      </c>
      <c r="R1135" t="str">
        <f>IF(ISBLANK('Data Input'!Q1135),"",'Data Input'!Q1135)</f>
        <v/>
      </c>
      <c r="T1135" s="2" t="e">
        <f t="shared" si="70"/>
        <v>#VALUE!</v>
      </c>
      <c r="U1135" s="12" t="e">
        <f t="shared" si="71"/>
        <v>#VALUE!</v>
      </c>
      <c r="V1135" s="2" t="str">
        <f t="shared" si="72"/>
        <v/>
      </c>
      <c r="W1135" s="12" t="str">
        <f t="shared" si="73"/>
        <v/>
      </c>
    </row>
    <row r="1136" spans="1:23">
      <c r="A1136" t="str">
        <f>IF(ISBLANK('Data Input'!A1136),"",'Data Input'!A1136)</f>
        <v/>
      </c>
      <c r="B1136" t="str">
        <f>IF(ISBLANK('Data Input'!B1136),"",'Data Input'!B1136)</f>
        <v/>
      </c>
      <c r="C1136" t="str">
        <f>IF(ISBLANK('Data Input'!C1136),"",'Data Input'!C1136)</f>
        <v/>
      </c>
      <c r="E1136" t="str">
        <f>IF(ISBLANK('Data Input'!D1136),"",'Data Input'!D1136)</f>
        <v/>
      </c>
      <c r="G1136" t="str">
        <f>IF(ISBLANK('Data Input'!E1136),"",'Data Input'!E1136)</f>
        <v/>
      </c>
      <c r="H1136" t="str">
        <f>IF(ISBLANK('Data Input'!F1136),"",'Data Input'!F1136)</f>
        <v/>
      </c>
      <c r="I1136" t="str">
        <f>IF(ISBLANK('Data Input'!G1136),"",'Data Input'!G1136)</f>
        <v/>
      </c>
      <c r="J1136" t="str">
        <f>IF(ISBLANK('Data Input'!I1136),"",'Data Input'!I1136)</f>
        <v/>
      </c>
      <c r="K1136" t="str">
        <f>IF(ISBLANK('Data Input'!J1136),"",'Data Input'!J1136)</f>
        <v/>
      </c>
      <c r="L1136" t="str">
        <f>IF(ISBLANK('Data Input'!K1136),"",'Data Input'!K1136)</f>
        <v/>
      </c>
      <c r="M1136" t="str">
        <f>IF(ISBLANK('Data Input'!L1136),"",'Data Input'!L1136)</f>
        <v/>
      </c>
      <c r="N1136" t="str">
        <f>IF(ISBLANK('Data Input'!M1136),"",'Data Input'!M1136)</f>
        <v/>
      </c>
      <c r="O1136" t="str">
        <f>IF(ISBLANK('Data Input'!N1136),"",'Data Input'!N1136)</f>
        <v/>
      </c>
      <c r="P1136" t="str">
        <f>IF(ISBLANK('Data Input'!O1136),"",'Data Input'!O1136)</f>
        <v/>
      </c>
      <c r="Q1136" t="str">
        <f>IF(ISBLANK('Data Input'!P1136),"",'Data Input'!P1136)</f>
        <v/>
      </c>
      <c r="R1136" t="str">
        <f>IF(ISBLANK('Data Input'!Q1136),"",'Data Input'!Q1136)</f>
        <v/>
      </c>
      <c r="T1136" s="2" t="e">
        <f t="shared" si="70"/>
        <v>#VALUE!</v>
      </c>
      <c r="U1136" s="12" t="e">
        <f t="shared" si="71"/>
        <v>#VALUE!</v>
      </c>
      <c r="V1136" s="2" t="str">
        <f t="shared" si="72"/>
        <v/>
      </c>
      <c r="W1136" s="12" t="str">
        <f t="shared" si="73"/>
        <v/>
      </c>
    </row>
    <row r="1137" spans="1:23">
      <c r="A1137" t="str">
        <f>IF(ISBLANK('Data Input'!A1137),"",'Data Input'!A1137)</f>
        <v/>
      </c>
      <c r="B1137" t="str">
        <f>IF(ISBLANK('Data Input'!B1137),"",'Data Input'!B1137)</f>
        <v/>
      </c>
      <c r="C1137" t="str">
        <f>IF(ISBLANK('Data Input'!C1137),"",'Data Input'!C1137)</f>
        <v/>
      </c>
      <c r="E1137" t="str">
        <f>IF(ISBLANK('Data Input'!D1137),"",'Data Input'!D1137)</f>
        <v/>
      </c>
      <c r="G1137" t="str">
        <f>IF(ISBLANK('Data Input'!E1137),"",'Data Input'!E1137)</f>
        <v/>
      </c>
      <c r="H1137" t="str">
        <f>IF(ISBLANK('Data Input'!F1137),"",'Data Input'!F1137)</f>
        <v/>
      </c>
      <c r="I1137" t="str">
        <f>IF(ISBLANK('Data Input'!G1137),"",'Data Input'!G1137)</f>
        <v/>
      </c>
      <c r="J1137" t="str">
        <f>IF(ISBLANK('Data Input'!I1137),"",'Data Input'!I1137)</f>
        <v/>
      </c>
      <c r="K1137" t="str">
        <f>IF(ISBLANK('Data Input'!J1137),"",'Data Input'!J1137)</f>
        <v/>
      </c>
      <c r="L1137" t="str">
        <f>IF(ISBLANK('Data Input'!K1137),"",'Data Input'!K1137)</f>
        <v/>
      </c>
      <c r="M1137" t="str">
        <f>IF(ISBLANK('Data Input'!L1137),"",'Data Input'!L1137)</f>
        <v/>
      </c>
      <c r="N1137" t="str">
        <f>IF(ISBLANK('Data Input'!M1137),"",'Data Input'!M1137)</f>
        <v/>
      </c>
      <c r="O1137" t="str">
        <f>IF(ISBLANK('Data Input'!N1137),"",'Data Input'!N1137)</f>
        <v/>
      </c>
      <c r="P1137" t="str">
        <f>IF(ISBLANK('Data Input'!O1137),"",'Data Input'!O1137)</f>
        <v/>
      </c>
      <c r="Q1137" t="str">
        <f>IF(ISBLANK('Data Input'!P1137),"",'Data Input'!P1137)</f>
        <v/>
      </c>
      <c r="R1137" t="str">
        <f>IF(ISBLANK('Data Input'!Q1137),"",'Data Input'!Q1137)</f>
        <v/>
      </c>
      <c r="T1137" s="2" t="e">
        <f t="shared" si="70"/>
        <v>#VALUE!</v>
      </c>
      <c r="U1137" s="12" t="e">
        <f t="shared" si="71"/>
        <v>#VALUE!</v>
      </c>
      <c r="V1137" s="2" t="str">
        <f t="shared" si="72"/>
        <v/>
      </c>
      <c r="W1137" s="12" t="str">
        <f t="shared" si="73"/>
        <v/>
      </c>
    </row>
    <row r="1138" spans="1:23">
      <c r="A1138" t="str">
        <f>IF(ISBLANK('Data Input'!A1138),"",'Data Input'!A1138)</f>
        <v/>
      </c>
      <c r="B1138" t="str">
        <f>IF(ISBLANK('Data Input'!B1138),"",'Data Input'!B1138)</f>
        <v/>
      </c>
      <c r="C1138" t="str">
        <f>IF(ISBLANK('Data Input'!C1138),"",'Data Input'!C1138)</f>
        <v/>
      </c>
      <c r="E1138" t="str">
        <f>IF(ISBLANK('Data Input'!D1138),"",'Data Input'!D1138)</f>
        <v/>
      </c>
      <c r="G1138" t="str">
        <f>IF(ISBLANK('Data Input'!E1138),"",'Data Input'!E1138)</f>
        <v/>
      </c>
      <c r="H1138" t="str">
        <f>IF(ISBLANK('Data Input'!F1138),"",'Data Input'!F1138)</f>
        <v/>
      </c>
      <c r="I1138" t="str">
        <f>IF(ISBLANK('Data Input'!G1138),"",'Data Input'!G1138)</f>
        <v/>
      </c>
      <c r="J1138" t="str">
        <f>IF(ISBLANK('Data Input'!I1138),"",'Data Input'!I1138)</f>
        <v/>
      </c>
      <c r="K1138" t="str">
        <f>IF(ISBLANK('Data Input'!J1138),"",'Data Input'!J1138)</f>
        <v/>
      </c>
      <c r="L1138" t="str">
        <f>IF(ISBLANK('Data Input'!K1138),"",'Data Input'!K1138)</f>
        <v/>
      </c>
      <c r="M1138" t="str">
        <f>IF(ISBLANK('Data Input'!L1138),"",'Data Input'!L1138)</f>
        <v/>
      </c>
      <c r="N1138" t="str">
        <f>IF(ISBLANK('Data Input'!M1138),"",'Data Input'!M1138)</f>
        <v/>
      </c>
      <c r="O1138" t="str">
        <f>IF(ISBLANK('Data Input'!N1138),"",'Data Input'!N1138)</f>
        <v/>
      </c>
      <c r="P1138" t="str">
        <f>IF(ISBLANK('Data Input'!O1138),"",'Data Input'!O1138)</f>
        <v/>
      </c>
      <c r="Q1138" t="str">
        <f>IF(ISBLANK('Data Input'!P1138),"",'Data Input'!P1138)</f>
        <v/>
      </c>
      <c r="R1138" t="str">
        <f>IF(ISBLANK('Data Input'!Q1138),"",'Data Input'!Q1138)</f>
        <v/>
      </c>
      <c r="T1138" s="2" t="e">
        <f t="shared" si="70"/>
        <v>#VALUE!</v>
      </c>
      <c r="U1138" s="12" t="e">
        <f t="shared" si="71"/>
        <v>#VALUE!</v>
      </c>
      <c r="V1138" s="2" t="str">
        <f t="shared" si="72"/>
        <v/>
      </c>
      <c r="W1138" s="12" t="str">
        <f t="shared" si="73"/>
        <v/>
      </c>
    </row>
    <row r="1139" spans="1:23">
      <c r="A1139" t="str">
        <f>IF(ISBLANK('Data Input'!A1139),"",'Data Input'!A1139)</f>
        <v/>
      </c>
      <c r="B1139" t="str">
        <f>IF(ISBLANK('Data Input'!B1139),"",'Data Input'!B1139)</f>
        <v/>
      </c>
      <c r="C1139" t="str">
        <f>IF(ISBLANK('Data Input'!C1139),"",'Data Input'!C1139)</f>
        <v/>
      </c>
      <c r="E1139" t="str">
        <f>IF(ISBLANK('Data Input'!D1139),"",'Data Input'!D1139)</f>
        <v/>
      </c>
      <c r="G1139" t="str">
        <f>IF(ISBLANK('Data Input'!E1139),"",'Data Input'!E1139)</f>
        <v/>
      </c>
      <c r="H1139" t="str">
        <f>IF(ISBLANK('Data Input'!F1139),"",'Data Input'!F1139)</f>
        <v/>
      </c>
      <c r="I1139" t="str">
        <f>IF(ISBLANK('Data Input'!G1139),"",'Data Input'!G1139)</f>
        <v/>
      </c>
      <c r="J1139" t="str">
        <f>IF(ISBLANK('Data Input'!I1139),"",'Data Input'!I1139)</f>
        <v/>
      </c>
      <c r="K1139" t="str">
        <f>IF(ISBLANK('Data Input'!J1139),"",'Data Input'!J1139)</f>
        <v/>
      </c>
      <c r="L1139" t="str">
        <f>IF(ISBLANK('Data Input'!K1139),"",'Data Input'!K1139)</f>
        <v/>
      </c>
      <c r="M1139" t="str">
        <f>IF(ISBLANK('Data Input'!L1139),"",'Data Input'!L1139)</f>
        <v/>
      </c>
      <c r="N1139" t="str">
        <f>IF(ISBLANK('Data Input'!M1139),"",'Data Input'!M1139)</f>
        <v/>
      </c>
      <c r="O1139" t="str">
        <f>IF(ISBLANK('Data Input'!N1139),"",'Data Input'!N1139)</f>
        <v/>
      </c>
      <c r="P1139" t="str">
        <f>IF(ISBLANK('Data Input'!O1139),"",'Data Input'!O1139)</f>
        <v/>
      </c>
      <c r="Q1139" t="str">
        <f>IF(ISBLANK('Data Input'!P1139),"",'Data Input'!P1139)</f>
        <v/>
      </c>
      <c r="R1139" t="str">
        <f>IF(ISBLANK('Data Input'!Q1139),"",'Data Input'!Q1139)</f>
        <v/>
      </c>
      <c r="T1139" s="2" t="e">
        <f t="shared" si="70"/>
        <v>#VALUE!</v>
      </c>
      <c r="U1139" s="12" t="e">
        <f t="shared" si="71"/>
        <v>#VALUE!</v>
      </c>
      <c r="V1139" s="2" t="str">
        <f t="shared" si="72"/>
        <v/>
      </c>
      <c r="W1139" s="12" t="str">
        <f t="shared" si="73"/>
        <v/>
      </c>
    </row>
    <row r="1140" spans="1:23">
      <c r="A1140" t="str">
        <f>IF(ISBLANK('Data Input'!A1140),"",'Data Input'!A1140)</f>
        <v/>
      </c>
      <c r="B1140" t="str">
        <f>IF(ISBLANK('Data Input'!B1140),"",'Data Input'!B1140)</f>
        <v/>
      </c>
      <c r="C1140" t="str">
        <f>IF(ISBLANK('Data Input'!C1140),"",'Data Input'!C1140)</f>
        <v/>
      </c>
      <c r="E1140" t="str">
        <f>IF(ISBLANK('Data Input'!D1140),"",'Data Input'!D1140)</f>
        <v/>
      </c>
      <c r="G1140" t="str">
        <f>IF(ISBLANK('Data Input'!E1140),"",'Data Input'!E1140)</f>
        <v/>
      </c>
      <c r="H1140" t="str">
        <f>IF(ISBLANK('Data Input'!F1140),"",'Data Input'!F1140)</f>
        <v/>
      </c>
      <c r="I1140" t="str">
        <f>IF(ISBLANK('Data Input'!G1140),"",'Data Input'!G1140)</f>
        <v/>
      </c>
      <c r="J1140" t="str">
        <f>IF(ISBLANK('Data Input'!I1140),"",'Data Input'!I1140)</f>
        <v/>
      </c>
      <c r="K1140" t="str">
        <f>IF(ISBLANK('Data Input'!J1140),"",'Data Input'!J1140)</f>
        <v/>
      </c>
      <c r="L1140" t="str">
        <f>IF(ISBLANK('Data Input'!K1140),"",'Data Input'!K1140)</f>
        <v/>
      </c>
      <c r="M1140" t="str">
        <f>IF(ISBLANK('Data Input'!L1140),"",'Data Input'!L1140)</f>
        <v/>
      </c>
      <c r="N1140" t="str">
        <f>IF(ISBLANK('Data Input'!M1140),"",'Data Input'!M1140)</f>
        <v/>
      </c>
      <c r="O1140" t="str">
        <f>IF(ISBLANK('Data Input'!N1140),"",'Data Input'!N1140)</f>
        <v/>
      </c>
      <c r="P1140" t="str">
        <f>IF(ISBLANK('Data Input'!O1140),"",'Data Input'!O1140)</f>
        <v/>
      </c>
      <c r="Q1140" t="str">
        <f>IF(ISBLANK('Data Input'!P1140),"",'Data Input'!P1140)</f>
        <v/>
      </c>
      <c r="R1140" t="str">
        <f>IF(ISBLANK('Data Input'!Q1140),"",'Data Input'!Q1140)</f>
        <v/>
      </c>
      <c r="T1140" s="2" t="e">
        <f t="shared" si="70"/>
        <v>#VALUE!</v>
      </c>
      <c r="U1140" s="12" t="e">
        <f t="shared" si="71"/>
        <v>#VALUE!</v>
      </c>
      <c r="V1140" s="2" t="str">
        <f t="shared" si="72"/>
        <v/>
      </c>
      <c r="W1140" s="12" t="str">
        <f t="shared" si="73"/>
        <v/>
      </c>
    </row>
    <row r="1141" spans="1:23">
      <c r="A1141" t="str">
        <f>IF(ISBLANK('Data Input'!A1141),"",'Data Input'!A1141)</f>
        <v/>
      </c>
      <c r="B1141" t="str">
        <f>IF(ISBLANK('Data Input'!B1141),"",'Data Input'!B1141)</f>
        <v/>
      </c>
      <c r="C1141" t="str">
        <f>IF(ISBLANK('Data Input'!C1141),"",'Data Input'!C1141)</f>
        <v/>
      </c>
      <c r="E1141" t="str">
        <f>IF(ISBLANK('Data Input'!D1141),"",'Data Input'!D1141)</f>
        <v/>
      </c>
      <c r="G1141" t="str">
        <f>IF(ISBLANK('Data Input'!E1141),"",'Data Input'!E1141)</f>
        <v/>
      </c>
      <c r="H1141" t="str">
        <f>IF(ISBLANK('Data Input'!F1141),"",'Data Input'!F1141)</f>
        <v/>
      </c>
      <c r="I1141" t="str">
        <f>IF(ISBLANK('Data Input'!G1141),"",'Data Input'!G1141)</f>
        <v/>
      </c>
      <c r="J1141" t="str">
        <f>IF(ISBLANK('Data Input'!I1141),"",'Data Input'!I1141)</f>
        <v/>
      </c>
      <c r="K1141" t="str">
        <f>IF(ISBLANK('Data Input'!J1141),"",'Data Input'!J1141)</f>
        <v/>
      </c>
      <c r="L1141" t="str">
        <f>IF(ISBLANK('Data Input'!K1141),"",'Data Input'!K1141)</f>
        <v/>
      </c>
      <c r="M1141" t="str">
        <f>IF(ISBLANK('Data Input'!L1141),"",'Data Input'!L1141)</f>
        <v/>
      </c>
      <c r="N1141" t="str">
        <f>IF(ISBLANK('Data Input'!M1141),"",'Data Input'!M1141)</f>
        <v/>
      </c>
      <c r="O1141" t="str">
        <f>IF(ISBLANK('Data Input'!N1141),"",'Data Input'!N1141)</f>
        <v/>
      </c>
      <c r="P1141" t="str">
        <f>IF(ISBLANK('Data Input'!O1141),"",'Data Input'!O1141)</f>
        <v/>
      </c>
      <c r="Q1141" t="str">
        <f>IF(ISBLANK('Data Input'!P1141),"",'Data Input'!P1141)</f>
        <v/>
      </c>
      <c r="R1141" t="str">
        <f>IF(ISBLANK('Data Input'!Q1141),"",'Data Input'!Q1141)</f>
        <v/>
      </c>
      <c r="T1141" s="2" t="e">
        <f t="shared" si="70"/>
        <v>#VALUE!</v>
      </c>
      <c r="U1141" s="12" t="e">
        <f t="shared" si="71"/>
        <v>#VALUE!</v>
      </c>
      <c r="V1141" s="2" t="str">
        <f t="shared" si="72"/>
        <v/>
      </c>
      <c r="W1141" s="12" t="str">
        <f t="shared" si="73"/>
        <v/>
      </c>
    </row>
    <row r="1142" spans="1:23">
      <c r="A1142" t="str">
        <f>IF(ISBLANK('Data Input'!A1142),"",'Data Input'!A1142)</f>
        <v/>
      </c>
      <c r="B1142" t="str">
        <f>IF(ISBLANK('Data Input'!B1142),"",'Data Input'!B1142)</f>
        <v/>
      </c>
      <c r="C1142" t="str">
        <f>IF(ISBLANK('Data Input'!C1142),"",'Data Input'!C1142)</f>
        <v/>
      </c>
      <c r="E1142" t="str">
        <f>IF(ISBLANK('Data Input'!D1142),"",'Data Input'!D1142)</f>
        <v/>
      </c>
      <c r="G1142" t="str">
        <f>IF(ISBLANK('Data Input'!E1142),"",'Data Input'!E1142)</f>
        <v/>
      </c>
      <c r="H1142" t="str">
        <f>IF(ISBLANK('Data Input'!F1142),"",'Data Input'!F1142)</f>
        <v/>
      </c>
      <c r="I1142" t="str">
        <f>IF(ISBLANK('Data Input'!G1142),"",'Data Input'!G1142)</f>
        <v/>
      </c>
      <c r="J1142" t="str">
        <f>IF(ISBLANK('Data Input'!I1142),"",'Data Input'!I1142)</f>
        <v/>
      </c>
      <c r="K1142" t="str">
        <f>IF(ISBLANK('Data Input'!J1142),"",'Data Input'!J1142)</f>
        <v/>
      </c>
      <c r="L1142" t="str">
        <f>IF(ISBLANK('Data Input'!K1142),"",'Data Input'!K1142)</f>
        <v/>
      </c>
      <c r="M1142" t="str">
        <f>IF(ISBLANK('Data Input'!L1142),"",'Data Input'!L1142)</f>
        <v/>
      </c>
      <c r="N1142" t="str">
        <f>IF(ISBLANK('Data Input'!M1142),"",'Data Input'!M1142)</f>
        <v/>
      </c>
      <c r="O1142" t="str">
        <f>IF(ISBLANK('Data Input'!N1142),"",'Data Input'!N1142)</f>
        <v/>
      </c>
      <c r="P1142" t="str">
        <f>IF(ISBLANK('Data Input'!O1142),"",'Data Input'!O1142)</f>
        <v/>
      </c>
      <c r="Q1142" t="str">
        <f>IF(ISBLANK('Data Input'!P1142),"",'Data Input'!P1142)</f>
        <v/>
      </c>
      <c r="R1142" t="str">
        <f>IF(ISBLANK('Data Input'!Q1142),"",'Data Input'!Q1142)</f>
        <v/>
      </c>
      <c r="T1142" s="2" t="e">
        <f t="shared" si="70"/>
        <v>#VALUE!</v>
      </c>
      <c r="U1142" s="12" t="e">
        <f t="shared" si="71"/>
        <v>#VALUE!</v>
      </c>
      <c r="V1142" s="2" t="str">
        <f t="shared" si="72"/>
        <v/>
      </c>
      <c r="W1142" s="12" t="str">
        <f t="shared" si="73"/>
        <v/>
      </c>
    </row>
    <row r="1143" spans="1:23">
      <c r="A1143" t="str">
        <f>IF(ISBLANK('Data Input'!A1143),"",'Data Input'!A1143)</f>
        <v/>
      </c>
      <c r="B1143" t="str">
        <f>IF(ISBLANK('Data Input'!B1143),"",'Data Input'!B1143)</f>
        <v/>
      </c>
      <c r="C1143" t="str">
        <f>IF(ISBLANK('Data Input'!C1143),"",'Data Input'!C1143)</f>
        <v/>
      </c>
      <c r="E1143" t="str">
        <f>IF(ISBLANK('Data Input'!D1143),"",'Data Input'!D1143)</f>
        <v/>
      </c>
      <c r="G1143" t="str">
        <f>IF(ISBLANK('Data Input'!E1143),"",'Data Input'!E1143)</f>
        <v/>
      </c>
      <c r="H1143" t="str">
        <f>IF(ISBLANK('Data Input'!F1143),"",'Data Input'!F1143)</f>
        <v/>
      </c>
      <c r="I1143" t="str">
        <f>IF(ISBLANK('Data Input'!G1143),"",'Data Input'!G1143)</f>
        <v/>
      </c>
      <c r="J1143" t="str">
        <f>IF(ISBLANK('Data Input'!I1143),"",'Data Input'!I1143)</f>
        <v/>
      </c>
      <c r="K1143" t="str">
        <f>IF(ISBLANK('Data Input'!J1143),"",'Data Input'!J1143)</f>
        <v/>
      </c>
      <c r="L1143" t="str">
        <f>IF(ISBLANK('Data Input'!K1143),"",'Data Input'!K1143)</f>
        <v/>
      </c>
      <c r="M1143" t="str">
        <f>IF(ISBLANK('Data Input'!L1143),"",'Data Input'!L1143)</f>
        <v/>
      </c>
      <c r="N1143" t="str">
        <f>IF(ISBLANK('Data Input'!M1143),"",'Data Input'!M1143)</f>
        <v/>
      </c>
      <c r="O1143" t="str">
        <f>IF(ISBLANK('Data Input'!N1143),"",'Data Input'!N1143)</f>
        <v/>
      </c>
      <c r="P1143" t="str">
        <f>IF(ISBLANK('Data Input'!O1143),"",'Data Input'!O1143)</f>
        <v/>
      </c>
      <c r="Q1143" t="str">
        <f>IF(ISBLANK('Data Input'!P1143),"",'Data Input'!P1143)</f>
        <v/>
      </c>
      <c r="R1143" t="str">
        <f>IF(ISBLANK('Data Input'!Q1143),"",'Data Input'!Q1143)</f>
        <v/>
      </c>
      <c r="T1143" s="2" t="e">
        <f t="shared" si="70"/>
        <v>#VALUE!</v>
      </c>
      <c r="U1143" s="12" t="e">
        <f t="shared" si="71"/>
        <v>#VALUE!</v>
      </c>
      <c r="V1143" s="2" t="str">
        <f t="shared" si="72"/>
        <v/>
      </c>
      <c r="W1143" s="12" t="str">
        <f t="shared" si="73"/>
        <v/>
      </c>
    </row>
    <row r="1144" spans="1:23">
      <c r="A1144" t="str">
        <f>IF(ISBLANK('Data Input'!A1144),"",'Data Input'!A1144)</f>
        <v/>
      </c>
      <c r="B1144" t="str">
        <f>IF(ISBLANK('Data Input'!B1144),"",'Data Input'!B1144)</f>
        <v/>
      </c>
      <c r="C1144" t="str">
        <f>IF(ISBLANK('Data Input'!C1144),"",'Data Input'!C1144)</f>
        <v/>
      </c>
      <c r="E1144" t="str">
        <f>IF(ISBLANK('Data Input'!D1144),"",'Data Input'!D1144)</f>
        <v/>
      </c>
      <c r="G1144" t="str">
        <f>IF(ISBLANK('Data Input'!E1144),"",'Data Input'!E1144)</f>
        <v/>
      </c>
      <c r="H1144" t="str">
        <f>IF(ISBLANK('Data Input'!F1144),"",'Data Input'!F1144)</f>
        <v/>
      </c>
      <c r="I1144" t="str">
        <f>IF(ISBLANK('Data Input'!G1144),"",'Data Input'!G1144)</f>
        <v/>
      </c>
      <c r="J1144" t="str">
        <f>IF(ISBLANK('Data Input'!I1144),"",'Data Input'!I1144)</f>
        <v/>
      </c>
      <c r="K1144" t="str">
        <f>IF(ISBLANK('Data Input'!J1144),"",'Data Input'!J1144)</f>
        <v/>
      </c>
      <c r="L1144" t="str">
        <f>IF(ISBLANK('Data Input'!K1144),"",'Data Input'!K1144)</f>
        <v/>
      </c>
      <c r="M1144" t="str">
        <f>IF(ISBLANK('Data Input'!L1144),"",'Data Input'!L1144)</f>
        <v/>
      </c>
      <c r="N1144" t="str">
        <f>IF(ISBLANK('Data Input'!M1144),"",'Data Input'!M1144)</f>
        <v/>
      </c>
      <c r="O1144" t="str">
        <f>IF(ISBLANK('Data Input'!N1144),"",'Data Input'!N1144)</f>
        <v/>
      </c>
      <c r="P1144" t="str">
        <f>IF(ISBLANK('Data Input'!O1144),"",'Data Input'!O1144)</f>
        <v/>
      </c>
      <c r="Q1144" t="str">
        <f>IF(ISBLANK('Data Input'!P1144),"",'Data Input'!P1144)</f>
        <v/>
      </c>
      <c r="R1144" t="str">
        <f>IF(ISBLANK('Data Input'!Q1144),"",'Data Input'!Q1144)</f>
        <v/>
      </c>
      <c r="T1144" s="2" t="e">
        <f t="shared" si="70"/>
        <v>#VALUE!</v>
      </c>
      <c r="U1144" s="12" t="e">
        <f t="shared" si="71"/>
        <v>#VALUE!</v>
      </c>
      <c r="V1144" s="2" t="str">
        <f t="shared" si="72"/>
        <v/>
      </c>
      <c r="W1144" s="12" t="str">
        <f t="shared" si="73"/>
        <v/>
      </c>
    </row>
    <row r="1145" spans="1:23">
      <c r="A1145" t="str">
        <f>IF(ISBLANK('Data Input'!A1145),"",'Data Input'!A1145)</f>
        <v/>
      </c>
      <c r="B1145" t="str">
        <f>IF(ISBLANK('Data Input'!B1145),"",'Data Input'!B1145)</f>
        <v/>
      </c>
      <c r="C1145" t="str">
        <f>IF(ISBLANK('Data Input'!C1145),"",'Data Input'!C1145)</f>
        <v/>
      </c>
      <c r="E1145" t="str">
        <f>IF(ISBLANK('Data Input'!D1145),"",'Data Input'!D1145)</f>
        <v/>
      </c>
      <c r="G1145" t="str">
        <f>IF(ISBLANK('Data Input'!E1145),"",'Data Input'!E1145)</f>
        <v/>
      </c>
      <c r="H1145" t="str">
        <f>IF(ISBLANK('Data Input'!F1145),"",'Data Input'!F1145)</f>
        <v/>
      </c>
      <c r="I1145" t="str">
        <f>IF(ISBLANK('Data Input'!G1145),"",'Data Input'!G1145)</f>
        <v/>
      </c>
      <c r="J1145" t="str">
        <f>IF(ISBLANK('Data Input'!I1145),"",'Data Input'!I1145)</f>
        <v/>
      </c>
      <c r="K1145" t="str">
        <f>IF(ISBLANK('Data Input'!J1145),"",'Data Input'!J1145)</f>
        <v/>
      </c>
      <c r="L1145" t="str">
        <f>IF(ISBLANK('Data Input'!K1145),"",'Data Input'!K1145)</f>
        <v/>
      </c>
      <c r="M1145" t="str">
        <f>IF(ISBLANK('Data Input'!L1145),"",'Data Input'!L1145)</f>
        <v/>
      </c>
      <c r="N1145" t="str">
        <f>IF(ISBLANK('Data Input'!M1145),"",'Data Input'!M1145)</f>
        <v/>
      </c>
      <c r="O1145" t="str">
        <f>IF(ISBLANK('Data Input'!N1145),"",'Data Input'!N1145)</f>
        <v/>
      </c>
      <c r="P1145" t="str">
        <f>IF(ISBLANK('Data Input'!O1145),"",'Data Input'!O1145)</f>
        <v/>
      </c>
      <c r="Q1145" t="str">
        <f>IF(ISBLANK('Data Input'!P1145),"",'Data Input'!P1145)</f>
        <v/>
      </c>
      <c r="R1145" t="str">
        <f>IF(ISBLANK('Data Input'!Q1145),"",'Data Input'!Q1145)</f>
        <v/>
      </c>
      <c r="T1145" s="2" t="e">
        <f t="shared" si="70"/>
        <v>#VALUE!</v>
      </c>
      <c r="U1145" s="12" t="e">
        <f t="shared" si="71"/>
        <v>#VALUE!</v>
      </c>
      <c r="V1145" s="2" t="str">
        <f t="shared" si="72"/>
        <v/>
      </c>
      <c r="W1145" s="12" t="str">
        <f t="shared" si="73"/>
        <v/>
      </c>
    </row>
    <row r="1146" spans="1:23">
      <c r="A1146" t="str">
        <f>IF(ISBLANK('Data Input'!A1146),"",'Data Input'!A1146)</f>
        <v/>
      </c>
      <c r="B1146" t="str">
        <f>IF(ISBLANK('Data Input'!B1146),"",'Data Input'!B1146)</f>
        <v/>
      </c>
      <c r="C1146" t="str">
        <f>IF(ISBLANK('Data Input'!C1146),"",'Data Input'!C1146)</f>
        <v/>
      </c>
      <c r="E1146" t="str">
        <f>IF(ISBLANK('Data Input'!D1146),"",'Data Input'!D1146)</f>
        <v/>
      </c>
      <c r="G1146" t="str">
        <f>IF(ISBLANK('Data Input'!E1146),"",'Data Input'!E1146)</f>
        <v/>
      </c>
      <c r="H1146" t="str">
        <f>IF(ISBLANK('Data Input'!F1146),"",'Data Input'!F1146)</f>
        <v/>
      </c>
      <c r="I1146" t="str">
        <f>IF(ISBLANK('Data Input'!G1146),"",'Data Input'!G1146)</f>
        <v/>
      </c>
      <c r="J1146" t="str">
        <f>IF(ISBLANK('Data Input'!I1146),"",'Data Input'!I1146)</f>
        <v/>
      </c>
      <c r="K1146" t="str">
        <f>IF(ISBLANK('Data Input'!J1146),"",'Data Input'!J1146)</f>
        <v/>
      </c>
      <c r="L1146" t="str">
        <f>IF(ISBLANK('Data Input'!K1146),"",'Data Input'!K1146)</f>
        <v/>
      </c>
      <c r="M1146" t="str">
        <f>IF(ISBLANK('Data Input'!L1146),"",'Data Input'!L1146)</f>
        <v/>
      </c>
      <c r="N1146" t="str">
        <f>IF(ISBLANK('Data Input'!M1146),"",'Data Input'!M1146)</f>
        <v/>
      </c>
      <c r="O1146" t="str">
        <f>IF(ISBLANK('Data Input'!N1146),"",'Data Input'!N1146)</f>
        <v/>
      </c>
      <c r="P1146" t="str">
        <f>IF(ISBLANK('Data Input'!O1146),"",'Data Input'!O1146)</f>
        <v/>
      </c>
      <c r="Q1146" t="str">
        <f>IF(ISBLANK('Data Input'!P1146),"",'Data Input'!P1146)</f>
        <v/>
      </c>
      <c r="R1146" t="str">
        <f>IF(ISBLANK('Data Input'!Q1146),"",'Data Input'!Q1146)</f>
        <v/>
      </c>
      <c r="T1146" s="2" t="e">
        <f t="shared" si="70"/>
        <v>#VALUE!</v>
      </c>
      <c r="U1146" s="12" t="e">
        <f t="shared" si="71"/>
        <v>#VALUE!</v>
      </c>
      <c r="V1146" s="2" t="str">
        <f t="shared" si="72"/>
        <v/>
      </c>
      <c r="W1146" s="12" t="str">
        <f t="shared" si="73"/>
        <v/>
      </c>
    </row>
    <row r="1147" spans="1:23">
      <c r="A1147" t="str">
        <f>IF(ISBLANK('Data Input'!A1147),"",'Data Input'!A1147)</f>
        <v/>
      </c>
      <c r="B1147" t="str">
        <f>IF(ISBLANK('Data Input'!B1147),"",'Data Input'!B1147)</f>
        <v/>
      </c>
      <c r="C1147" t="str">
        <f>IF(ISBLANK('Data Input'!C1147),"",'Data Input'!C1147)</f>
        <v/>
      </c>
      <c r="E1147" t="str">
        <f>IF(ISBLANK('Data Input'!D1147),"",'Data Input'!D1147)</f>
        <v/>
      </c>
      <c r="G1147" t="str">
        <f>IF(ISBLANK('Data Input'!E1147),"",'Data Input'!E1147)</f>
        <v/>
      </c>
      <c r="H1147" t="str">
        <f>IF(ISBLANK('Data Input'!F1147),"",'Data Input'!F1147)</f>
        <v/>
      </c>
      <c r="I1147" t="str">
        <f>IF(ISBLANK('Data Input'!G1147),"",'Data Input'!G1147)</f>
        <v/>
      </c>
      <c r="J1147" t="str">
        <f>IF(ISBLANK('Data Input'!I1147),"",'Data Input'!I1147)</f>
        <v/>
      </c>
      <c r="K1147" t="str">
        <f>IF(ISBLANK('Data Input'!J1147),"",'Data Input'!J1147)</f>
        <v/>
      </c>
      <c r="L1147" t="str">
        <f>IF(ISBLANK('Data Input'!K1147),"",'Data Input'!K1147)</f>
        <v/>
      </c>
      <c r="M1147" t="str">
        <f>IF(ISBLANK('Data Input'!L1147),"",'Data Input'!L1147)</f>
        <v/>
      </c>
      <c r="N1147" t="str">
        <f>IF(ISBLANK('Data Input'!M1147),"",'Data Input'!M1147)</f>
        <v/>
      </c>
      <c r="O1147" t="str">
        <f>IF(ISBLANK('Data Input'!N1147),"",'Data Input'!N1147)</f>
        <v/>
      </c>
      <c r="P1147" t="str">
        <f>IF(ISBLANK('Data Input'!O1147),"",'Data Input'!O1147)</f>
        <v/>
      </c>
      <c r="Q1147" t="str">
        <f>IF(ISBLANK('Data Input'!P1147),"",'Data Input'!P1147)</f>
        <v/>
      </c>
      <c r="R1147" t="str">
        <f>IF(ISBLANK('Data Input'!Q1147),"",'Data Input'!Q1147)</f>
        <v/>
      </c>
      <c r="T1147" s="2" t="e">
        <f t="shared" si="70"/>
        <v>#VALUE!</v>
      </c>
      <c r="U1147" s="12" t="e">
        <f t="shared" si="71"/>
        <v>#VALUE!</v>
      </c>
      <c r="V1147" s="2" t="str">
        <f t="shared" si="72"/>
        <v/>
      </c>
      <c r="W1147" s="12" t="str">
        <f t="shared" si="73"/>
        <v/>
      </c>
    </row>
    <row r="1148" spans="1:23">
      <c r="A1148" t="str">
        <f>IF(ISBLANK('Data Input'!A1148),"",'Data Input'!A1148)</f>
        <v/>
      </c>
      <c r="B1148" t="str">
        <f>IF(ISBLANK('Data Input'!B1148),"",'Data Input'!B1148)</f>
        <v/>
      </c>
      <c r="C1148" t="str">
        <f>IF(ISBLANK('Data Input'!C1148),"",'Data Input'!C1148)</f>
        <v/>
      </c>
      <c r="E1148" t="str">
        <f>IF(ISBLANK('Data Input'!D1148),"",'Data Input'!D1148)</f>
        <v/>
      </c>
      <c r="G1148" t="str">
        <f>IF(ISBLANK('Data Input'!E1148),"",'Data Input'!E1148)</f>
        <v/>
      </c>
      <c r="H1148" t="str">
        <f>IF(ISBLANK('Data Input'!F1148),"",'Data Input'!F1148)</f>
        <v/>
      </c>
      <c r="I1148" t="str">
        <f>IF(ISBLANK('Data Input'!G1148),"",'Data Input'!G1148)</f>
        <v/>
      </c>
      <c r="J1148" t="str">
        <f>IF(ISBLANK('Data Input'!I1148),"",'Data Input'!I1148)</f>
        <v/>
      </c>
      <c r="K1148" t="str">
        <f>IF(ISBLANK('Data Input'!J1148),"",'Data Input'!J1148)</f>
        <v/>
      </c>
      <c r="L1148" t="str">
        <f>IF(ISBLANK('Data Input'!K1148),"",'Data Input'!K1148)</f>
        <v/>
      </c>
      <c r="M1148" t="str">
        <f>IF(ISBLANK('Data Input'!L1148),"",'Data Input'!L1148)</f>
        <v/>
      </c>
      <c r="N1148" t="str">
        <f>IF(ISBLANK('Data Input'!M1148),"",'Data Input'!M1148)</f>
        <v/>
      </c>
      <c r="O1148" t="str">
        <f>IF(ISBLANK('Data Input'!N1148),"",'Data Input'!N1148)</f>
        <v/>
      </c>
      <c r="P1148" t="str">
        <f>IF(ISBLANK('Data Input'!O1148),"",'Data Input'!O1148)</f>
        <v/>
      </c>
      <c r="Q1148" t="str">
        <f>IF(ISBLANK('Data Input'!P1148),"",'Data Input'!P1148)</f>
        <v/>
      </c>
      <c r="R1148" t="str">
        <f>IF(ISBLANK('Data Input'!Q1148),"",'Data Input'!Q1148)</f>
        <v/>
      </c>
      <c r="T1148" s="2" t="e">
        <f t="shared" si="70"/>
        <v>#VALUE!</v>
      </c>
      <c r="U1148" s="12" t="e">
        <f t="shared" si="71"/>
        <v>#VALUE!</v>
      </c>
      <c r="V1148" s="2" t="str">
        <f t="shared" si="72"/>
        <v/>
      </c>
      <c r="W1148" s="12" t="str">
        <f t="shared" si="73"/>
        <v/>
      </c>
    </row>
    <row r="1149" spans="1:23">
      <c r="A1149" t="str">
        <f>IF(ISBLANK('Data Input'!A1149),"",'Data Input'!A1149)</f>
        <v/>
      </c>
      <c r="B1149" t="str">
        <f>IF(ISBLANK('Data Input'!B1149),"",'Data Input'!B1149)</f>
        <v/>
      </c>
      <c r="C1149" t="str">
        <f>IF(ISBLANK('Data Input'!C1149),"",'Data Input'!C1149)</f>
        <v/>
      </c>
      <c r="E1149" t="str">
        <f>IF(ISBLANK('Data Input'!D1149),"",'Data Input'!D1149)</f>
        <v/>
      </c>
      <c r="G1149" t="str">
        <f>IF(ISBLANK('Data Input'!E1149),"",'Data Input'!E1149)</f>
        <v/>
      </c>
      <c r="H1149" t="str">
        <f>IF(ISBLANK('Data Input'!F1149),"",'Data Input'!F1149)</f>
        <v/>
      </c>
      <c r="I1149" t="str">
        <f>IF(ISBLANK('Data Input'!G1149),"",'Data Input'!G1149)</f>
        <v/>
      </c>
      <c r="J1149" t="str">
        <f>IF(ISBLANK('Data Input'!I1149),"",'Data Input'!I1149)</f>
        <v/>
      </c>
      <c r="K1149" t="str">
        <f>IF(ISBLANK('Data Input'!J1149),"",'Data Input'!J1149)</f>
        <v/>
      </c>
      <c r="L1149" t="str">
        <f>IF(ISBLANK('Data Input'!K1149),"",'Data Input'!K1149)</f>
        <v/>
      </c>
      <c r="M1149" t="str">
        <f>IF(ISBLANK('Data Input'!L1149),"",'Data Input'!L1149)</f>
        <v/>
      </c>
      <c r="N1149" t="str">
        <f>IF(ISBLANK('Data Input'!M1149),"",'Data Input'!M1149)</f>
        <v/>
      </c>
      <c r="O1149" t="str">
        <f>IF(ISBLANK('Data Input'!N1149),"",'Data Input'!N1149)</f>
        <v/>
      </c>
      <c r="P1149" t="str">
        <f>IF(ISBLANK('Data Input'!O1149),"",'Data Input'!O1149)</f>
        <v/>
      </c>
      <c r="Q1149" t="str">
        <f>IF(ISBLANK('Data Input'!P1149),"",'Data Input'!P1149)</f>
        <v/>
      </c>
      <c r="R1149" t="str">
        <f>IF(ISBLANK('Data Input'!Q1149),"",'Data Input'!Q1149)</f>
        <v/>
      </c>
      <c r="T1149" s="2" t="e">
        <f t="shared" si="70"/>
        <v>#VALUE!</v>
      </c>
      <c r="U1149" s="12" t="e">
        <f t="shared" si="71"/>
        <v>#VALUE!</v>
      </c>
      <c r="V1149" s="2" t="str">
        <f t="shared" si="72"/>
        <v/>
      </c>
      <c r="W1149" s="12" t="str">
        <f t="shared" si="73"/>
        <v/>
      </c>
    </row>
    <row r="1150" spans="1:23">
      <c r="A1150" t="str">
        <f>IF(ISBLANK('Data Input'!A1150),"",'Data Input'!A1150)</f>
        <v/>
      </c>
      <c r="B1150" t="str">
        <f>IF(ISBLANK('Data Input'!B1150),"",'Data Input'!B1150)</f>
        <v/>
      </c>
      <c r="C1150" t="str">
        <f>IF(ISBLANK('Data Input'!C1150),"",'Data Input'!C1150)</f>
        <v/>
      </c>
      <c r="E1150" t="str">
        <f>IF(ISBLANK('Data Input'!D1150),"",'Data Input'!D1150)</f>
        <v/>
      </c>
      <c r="G1150" t="str">
        <f>IF(ISBLANK('Data Input'!E1150),"",'Data Input'!E1150)</f>
        <v/>
      </c>
      <c r="H1150" t="str">
        <f>IF(ISBLANK('Data Input'!F1150),"",'Data Input'!F1150)</f>
        <v/>
      </c>
      <c r="I1150" t="str">
        <f>IF(ISBLANK('Data Input'!G1150),"",'Data Input'!G1150)</f>
        <v/>
      </c>
      <c r="J1150" t="str">
        <f>IF(ISBLANK('Data Input'!I1150),"",'Data Input'!I1150)</f>
        <v/>
      </c>
      <c r="K1150" t="str">
        <f>IF(ISBLANK('Data Input'!J1150),"",'Data Input'!J1150)</f>
        <v/>
      </c>
      <c r="L1150" t="str">
        <f>IF(ISBLANK('Data Input'!K1150),"",'Data Input'!K1150)</f>
        <v/>
      </c>
      <c r="M1150" t="str">
        <f>IF(ISBLANK('Data Input'!L1150),"",'Data Input'!L1150)</f>
        <v/>
      </c>
      <c r="N1150" t="str">
        <f>IF(ISBLANK('Data Input'!M1150),"",'Data Input'!M1150)</f>
        <v/>
      </c>
      <c r="O1150" t="str">
        <f>IF(ISBLANK('Data Input'!N1150),"",'Data Input'!N1150)</f>
        <v/>
      </c>
      <c r="P1150" t="str">
        <f>IF(ISBLANK('Data Input'!O1150),"",'Data Input'!O1150)</f>
        <v/>
      </c>
      <c r="Q1150" t="str">
        <f>IF(ISBLANK('Data Input'!P1150),"",'Data Input'!P1150)</f>
        <v/>
      </c>
      <c r="R1150" t="str">
        <f>IF(ISBLANK('Data Input'!Q1150),"",'Data Input'!Q1150)</f>
        <v/>
      </c>
      <c r="T1150" s="2" t="e">
        <f t="shared" si="70"/>
        <v>#VALUE!</v>
      </c>
      <c r="U1150" s="12" t="e">
        <f t="shared" si="71"/>
        <v>#VALUE!</v>
      </c>
      <c r="V1150" s="2" t="str">
        <f t="shared" si="72"/>
        <v/>
      </c>
      <c r="W1150" s="12" t="str">
        <f t="shared" si="73"/>
        <v/>
      </c>
    </row>
    <row r="1151" spans="1:23">
      <c r="A1151" t="str">
        <f>IF(ISBLANK('Data Input'!A1151),"",'Data Input'!A1151)</f>
        <v/>
      </c>
      <c r="B1151" t="str">
        <f>IF(ISBLANK('Data Input'!B1151),"",'Data Input'!B1151)</f>
        <v/>
      </c>
      <c r="C1151" t="str">
        <f>IF(ISBLANK('Data Input'!C1151),"",'Data Input'!C1151)</f>
        <v/>
      </c>
      <c r="E1151" t="str">
        <f>IF(ISBLANK('Data Input'!D1151),"",'Data Input'!D1151)</f>
        <v/>
      </c>
      <c r="G1151" t="str">
        <f>IF(ISBLANK('Data Input'!E1151),"",'Data Input'!E1151)</f>
        <v/>
      </c>
      <c r="H1151" t="str">
        <f>IF(ISBLANK('Data Input'!F1151),"",'Data Input'!F1151)</f>
        <v/>
      </c>
      <c r="I1151" t="str">
        <f>IF(ISBLANK('Data Input'!G1151),"",'Data Input'!G1151)</f>
        <v/>
      </c>
      <c r="J1151" t="str">
        <f>IF(ISBLANK('Data Input'!I1151),"",'Data Input'!I1151)</f>
        <v/>
      </c>
      <c r="K1151" t="str">
        <f>IF(ISBLANK('Data Input'!J1151),"",'Data Input'!J1151)</f>
        <v/>
      </c>
      <c r="L1151" t="str">
        <f>IF(ISBLANK('Data Input'!K1151),"",'Data Input'!K1151)</f>
        <v/>
      </c>
      <c r="M1151" t="str">
        <f>IF(ISBLANK('Data Input'!L1151),"",'Data Input'!L1151)</f>
        <v/>
      </c>
      <c r="N1151" t="str">
        <f>IF(ISBLANK('Data Input'!M1151),"",'Data Input'!M1151)</f>
        <v/>
      </c>
      <c r="O1151" t="str">
        <f>IF(ISBLANK('Data Input'!N1151),"",'Data Input'!N1151)</f>
        <v/>
      </c>
      <c r="P1151" t="str">
        <f>IF(ISBLANK('Data Input'!O1151),"",'Data Input'!O1151)</f>
        <v/>
      </c>
      <c r="Q1151" t="str">
        <f>IF(ISBLANK('Data Input'!P1151),"",'Data Input'!P1151)</f>
        <v/>
      </c>
      <c r="R1151" t="str">
        <f>IF(ISBLANK('Data Input'!Q1151),"",'Data Input'!Q1151)</f>
        <v/>
      </c>
      <c r="T1151" s="2" t="e">
        <f t="shared" si="70"/>
        <v>#VALUE!</v>
      </c>
      <c r="U1151" s="12" t="e">
        <f t="shared" si="71"/>
        <v>#VALUE!</v>
      </c>
      <c r="V1151" s="2" t="str">
        <f t="shared" si="72"/>
        <v/>
      </c>
      <c r="W1151" s="12" t="str">
        <f t="shared" si="73"/>
        <v/>
      </c>
    </row>
    <row r="1152" spans="1:23">
      <c r="A1152" t="str">
        <f>IF(ISBLANK('Data Input'!A1152),"",'Data Input'!A1152)</f>
        <v/>
      </c>
      <c r="B1152" t="str">
        <f>IF(ISBLANK('Data Input'!B1152),"",'Data Input'!B1152)</f>
        <v/>
      </c>
      <c r="C1152" t="str">
        <f>IF(ISBLANK('Data Input'!C1152),"",'Data Input'!C1152)</f>
        <v/>
      </c>
      <c r="E1152" t="str">
        <f>IF(ISBLANK('Data Input'!D1152),"",'Data Input'!D1152)</f>
        <v/>
      </c>
      <c r="G1152" t="str">
        <f>IF(ISBLANK('Data Input'!E1152),"",'Data Input'!E1152)</f>
        <v/>
      </c>
      <c r="H1152" t="str">
        <f>IF(ISBLANK('Data Input'!F1152),"",'Data Input'!F1152)</f>
        <v/>
      </c>
      <c r="I1152" t="str">
        <f>IF(ISBLANK('Data Input'!G1152),"",'Data Input'!G1152)</f>
        <v/>
      </c>
      <c r="J1152" t="str">
        <f>IF(ISBLANK('Data Input'!I1152),"",'Data Input'!I1152)</f>
        <v/>
      </c>
      <c r="K1152" t="str">
        <f>IF(ISBLANK('Data Input'!J1152),"",'Data Input'!J1152)</f>
        <v/>
      </c>
      <c r="L1152" t="str">
        <f>IF(ISBLANK('Data Input'!K1152),"",'Data Input'!K1152)</f>
        <v/>
      </c>
      <c r="M1152" t="str">
        <f>IF(ISBLANK('Data Input'!L1152),"",'Data Input'!L1152)</f>
        <v/>
      </c>
      <c r="N1152" t="str">
        <f>IF(ISBLANK('Data Input'!M1152),"",'Data Input'!M1152)</f>
        <v/>
      </c>
      <c r="O1152" t="str">
        <f>IF(ISBLANK('Data Input'!N1152),"",'Data Input'!N1152)</f>
        <v/>
      </c>
      <c r="P1152" t="str">
        <f>IF(ISBLANK('Data Input'!O1152),"",'Data Input'!O1152)</f>
        <v/>
      </c>
      <c r="Q1152" t="str">
        <f>IF(ISBLANK('Data Input'!P1152),"",'Data Input'!P1152)</f>
        <v/>
      </c>
      <c r="R1152" t="str">
        <f>IF(ISBLANK('Data Input'!Q1152),"",'Data Input'!Q1152)</f>
        <v/>
      </c>
      <c r="T1152" s="2" t="e">
        <f t="shared" si="70"/>
        <v>#VALUE!</v>
      </c>
      <c r="U1152" s="12" t="e">
        <f t="shared" si="71"/>
        <v>#VALUE!</v>
      </c>
      <c r="V1152" s="2" t="str">
        <f t="shared" si="72"/>
        <v/>
      </c>
      <c r="W1152" s="12" t="str">
        <f t="shared" si="73"/>
        <v/>
      </c>
    </row>
    <row r="1153" spans="1:23">
      <c r="A1153" t="str">
        <f>IF(ISBLANK('Data Input'!A1153),"",'Data Input'!A1153)</f>
        <v/>
      </c>
      <c r="B1153" t="str">
        <f>IF(ISBLANK('Data Input'!B1153),"",'Data Input'!B1153)</f>
        <v/>
      </c>
      <c r="C1153" t="str">
        <f>IF(ISBLANK('Data Input'!C1153),"",'Data Input'!C1153)</f>
        <v/>
      </c>
      <c r="E1153" t="str">
        <f>IF(ISBLANK('Data Input'!D1153),"",'Data Input'!D1153)</f>
        <v/>
      </c>
      <c r="G1153" t="str">
        <f>IF(ISBLANK('Data Input'!E1153),"",'Data Input'!E1153)</f>
        <v/>
      </c>
      <c r="H1153" t="str">
        <f>IF(ISBLANK('Data Input'!F1153),"",'Data Input'!F1153)</f>
        <v/>
      </c>
      <c r="I1153" t="str">
        <f>IF(ISBLANK('Data Input'!G1153),"",'Data Input'!G1153)</f>
        <v/>
      </c>
      <c r="J1153" t="str">
        <f>IF(ISBLANK('Data Input'!I1153),"",'Data Input'!I1153)</f>
        <v/>
      </c>
      <c r="K1153" t="str">
        <f>IF(ISBLANK('Data Input'!J1153),"",'Data Input'!J1153)</f>
        <v/>
      </c>
      <c r="L1153" t="str">
        <f>IF(ISBLANK('Data Input'!K1153),"",'Data Input'!K1153)</f>
        <v/>
      </c>
      <c r="M1153" t="str">
        <f>IF(ISBLANK('Data Input'!L1153),"",'Data Input'!L1153)</f>
        <v/>
      </c>
      <c r="N1153" t="str">
        <f>IF(ISBLANK('Data Input'!M1153),"",'Data Input'!M1153)</f>
        <v/>
      </c>
      <c r="O1153" t="str">
        <f>IF(ISBLANK('Data Input'!N1153),"",'Data Input'!N1153)</f>
        <v/>
      </c>
      <c r="P1153" t="str">
        <f>IF(ISBLANK('Data Input'!O1153),"",'Data Input'!O1153)</f>
        <v/>
      </c>
      <c r="Q1153" t="str">
        <f>IF(ISBLANK('Data Input'!P1153),"",'Data Input'!P1153)</f>
        <v/>
      </c>
      <c r="R1153" t="str">
        <f>IF(ISBLANK('Data Input'!Q1153),"",'Data Input'!Q1153)</f>
        <v/>
      </c>
      <c r="T1153" s="2" t="e">
        <f t="shared" si="70"/>
        <v>#VALUE!</v>
      </c>
      <c r="U1153" s="12" t="e">
        <f t="shared" si="71"/>
        <v>#VALUE!</v>
      </c>
      <c r="V1153" s="2" t="str">
        <f t="shared" si="72"/>
        <v/>
      </c>
      <c r="W1153" s="12" t="str">
        <f t="shared" si="73"/>
        <v/>
      </c>
    </row>
    <row r="1154" spans="1:23">
      <c r="A1154" t="str">
        <f>IF(ISBLANK('Data Input'!A1154),"",'Data Input'!A1154)</f>
        <v/>
      </c>
      <c r="B1154" t="str">
        <f>IF(ISBLANK('Data Input'!B1154),"",'Data Input'!B1154)</f>
        <v/>
      </c>
      <c r="C1154" t="str">
        <f>IF(ISBLANK('Data Input'!C1154),"",'Data Input'!C1154)</f>
        <v/>
      </c>
      <c r="E1154" t="str">
        <f>IF(ISBLANK('Data Input'!D1154),"",'Data Input'!D1154)</f>
        <v/>
      </c>
      <c r="G1154" t="str">
        <f>IF(ISBLANK('Data Input'!E1154),"",'Data Input'!E1154)</f>
        <v/>
      </c>
      <c r="H1154" t="str">
        <f>IF(ISBLANK('Data Input'!F1154),"",'Data Input'!F1154)</f>
        <v/>
      </c>
      <c r="I1154" t="str">
        <f>IF(ISBLANK('Data Input'!G1154),"",'Data Input'!G1154)</f>
        <v/>
      </c>
      <c r="J1154" t="str">
        <f>IF(ISBLANK('Data Input'!I1154),"",'Data Input'!I1154)</f>
        <v/>
      </c>
      <c r="K1154" t="str">
        <f>IF(ISBLANK('Data Input'!J1154),"",'Data Input'!J1154)</f>
        <v/>
      </c>
      <c r="L1154" t="str">
        <f>IF(ISBLANK('Data Input'!K1154),"",'Data Input'!K1154)</f>
        <v/>
      </c>
      <c r="M1154" t="str">
        <f>IF(ISBLANK('Data Input'!L1154),"",'Data Input'!L1154)</f>
        <v/>
      </c>
      <c r="N1154" t="str">
        <f>IF(ISBLANK('Data Input'!M1154),"",'Data Input'!M1154)</f>
        <v/>
      </c>
      <c r="O1154" t="str">
        <f>IF(ISBLANK('Data Input'!N1154),"",'Data Input'!N1154)</f>
        <v/>
      </c>
      <c r="P1154" t="str">
        <f>IF(ISBLANK('Data Input'!O1154),"",'Data Input'!O1154)</f>
        <v/>
      </c>
      <c r="Q1154" t="str">
        <f>IF(ISBLANK('Data Input'!P1154),"",'Data Input'!P1154)</f>
        <v/>
      </c>
      <c r="R1154" t="str">
        <f>IF(ISBLANK('Data Input'!Q1154),"",'Data Input'!Q1154)</f>
        <v/>
      </c>
      <c r="T1154" s="2" t="e">
        <f t="shared" si="70"/>
        <v>#VALUE!</v>
      </c>
      <c r="U1154" s="12" t="e">
        <f t="shared" si="71"/>
        <v>#VALUE!</v>
      </c>
      <c r="V1154" s="2" t="str">
        <f t="shared" si="72"/>
        <v/>
      </c>
      <c r="W1154" s="12" t="str">
        <f t="shared" si="73"/>
        <v/>
      </c>
    </row>
    <row r="1155" spans="1:23">
      <c r="A1155" t="str">
        <f>IF(ISBLANK('Data Input'!A1155),"",'Data Input'!A1155)</f>
        <v/>
      </c>
      <c r="B1155" t="str">
        <f>IF(ISBLANK('Data Input'!B1155),"",'Data Input'!B1155)</f>
        <v/>
      </c>
      <c r="C1155" t="str">
        <f>IF(ISBLANK('Data Input'!C1155),"",'Data Input'!C1155)</f>
        <v/>
      </c>
      <c r="E1155" t="str">
        <f>IF(ISBLANK('Data Input'!D1155),"",'Data Input'!D1155)</f>
        <v/>
      </c>
      <c r="G1155" t="str">
        <f>IF(ISBLANK('Data Input'!E1155),"",'Data Input'!E1155)</f>
        <v/>
      </c>
      <c r="H1155" t="str">
        <f>IF(ISBLANK('Data Input'!F1155),"",'Data Input'!F1155)</f>
        <v/>
      </c>
      <c r="I1155" t="str">
        <f>IF(ISBLANK('Data Input'!G1155),"",'Data Input'!G1155)</f>
        <v/>
      </c>
      <c r="J1155" t="str">
        <f>IF(ISBLANK('Data Input'!I1155),"",'Data Input'!I1155)</f>
        <v/>
      </c>
      <c r="K1155" t="str">
        <f>IF(ISBLANK('Data Input'!J1155),"",'Data Input'!J1155)</f>
        <v/>
      </c>
      <c r="L1155" t="str">
        <f>IF(ISBLANK('Data Input'!K1155),"",'Data Input'!K1155)</f>
        <v/>
      </c>
      <c r="M1155" t="str">
        <f>IF(ISBLANK('Data Input'!L1155),"",'Data Input'!L1155)</f>
        <v/>
      </c>
      <c r="N1155" t="str">
        <f>IF(ISBLANK('Data Input'!M1155),"",'Data Input'!M1155)</f>
        <v/>
      </c>
      <c r="O1155" t="str">
        <f>IF(ISBLANK('Data Input'!N1155),"",'Data Input'!N1155)</f>
        <v/>
      </c>
      <c r="P1155" t="str">
        <f>IF(ISBLANK('Data Input'!O1155),"",'Data Input'!O1155)</f>
        <v/>
      </c>
      <c r="Q1155" t="str">
        <f>IF(ISBLANK('Data Input'!P1155),"",'Data Input'!P1155)</f>
        <v/>
      </c>
      <c r="R1155" t="str">
        <f>IF(ISBLANK('Data Input'!Q1155),"",'Data Input'!Q1155)</f>
        <v/>
      </c>
      <c r="T1155" s="2" t="e">
        <f t="shared" ref="T1155:T1177" si="74">DATEVALUE(LEFT(C1155,FIND(" ",C1155)))</f>
        <v>#VALUE!</v>
      </c>
      <c r="U1155" s="12" t="e">
        <f t="shared" ref="U1155:U1177" si="75">TIMEVALUE(CONCATENATE(MID(C1155,FIND(" ",C1155)+1,2),":",RIGHT(C1155,LEN(C1155)-FIND(" ",C1155)-2)))</f>
        <v>#VALUE!</v>
      </c>
      <c r="V1155" s="2" t="str">
        <f t="shared" si="72"/>
        <v/>
      </c>
      <c r="W1155" s="12" t="str">
        <f t="shared" si="73"/>
        <v/>
      </c>
    </row>
    <row r="1156" spans="1:23">
      <c r="A1156" t="str">
        <f>IF(ISBLANK('Data Input'!A1156),"",'Data Input'!A1156)</f>
        <v/>
      </c>
      <c r="B1156" t="str">
        <f>IF(ISBLANK('Data Input'!B1156),"",'Data Input'!B1156)</f>
        <v/>
      </c>
      <c r="C1156" t="str">
        <f>IF(ISBLANK('Data Input'!C1156),"",'Data Input'!C1156)</f>
        <v/>
      </c>
      <c r="E1156" t="str">
        <f>IF(ISBLANK('Data Input'!D1156),"",'Data Input'!D1156)</f>
        <v/>
      </c>
      <c r="G1156" t="str">
        <f>IF(ISBLANK('Data Input'!E1156),"",'Data Input'!E1156)</f>
        <v/>
      </c>
      <c r="H1156" t="str">
        <f>IF(ISBLANK('Data Input'!F1156),"",'Data Input'!F1156)</f>
        <v/>
      </c>
      <c r="I1156" t="str">
        <f>IF(ISBLANK('Data Input'!G1156),"",'Data Input'!G1156)</f>
        <v/>
      </c>
      <c r="J1156" t="str">
        <f>IF(ISBLANK('Data Input'!I1156),"",'Data Input'!I1156)</f>
        <v/>
      </c>
      <c r="K1156" t="str">
        <f>IF(ISBLANK('Data Input'!J1156),"",'Data Input'!J1156)</f>
        <v/>
      </c>
      <c r="L1156" t="str">
        <f>IF(ISBLANK('Data Input'!K1156),"",'Data Input'!K1156)</f>
        <v/>
      </c>
      <c r="M1156" t="str">
        <f>IF(ISBLANK('Data Input'!L1156),"",'Data Input'!L1156)</f>
        <v/>
      </c>
      <c r="N1156" t="str">
        <f>IF(ISBLANK('Data Input'!M1156),"",'Data Input'!M1156)</f>
        <v/>
      </c>
      <c r="O1156" t="str">
        <f>IF(ISBLANK('Data Input'!N1156),"",'Data Input'!N1156)</f>
        <v/>
      </c>
      <c r="P1156" t="str">
        <f>IF(ISBLANK('Data Input'!O1156),"",'Data Input'!O1156)</f>
        <v/>
      </c>
      <c r="Q1156" t="str">
        <f>IF(ISBLANK('Data Input'!P1156),"",'Data Input'!P1156)</f>
        <v/>
      </c>
      <c r="R1156" t="str">
        <f>IF(ISBLANK('Data Input'!Q1156),"",'Data Input'!Q1156)</f>
        <v/>
      </c>
      <c r="T1156" s="2" t="e">
        <f t="shared" si="74"/>
        <v>#VALUE!</v>
      </c>
      <c r="U1156" s="12" t="e">
        <f t="shared" si="75"/>
        <v>#VALUE!</v>
      </c>
      <c r="V1156" s="2" t="str">
        <f t="shared" si="72"/>
        <v/>
      </c>
      <c r="W1156" s="12" t="str">
        <f t="shared" si="73"/>
        <v/>
      </c>
    </row>
    <row r="1157" spans="1:23">
      <c r="A1157" t="str">
        <f>IF(ISBLANK('Data Input'!A1157),"",'Data Input'!A1157)</f>
        <v/>
      </c>
      <c r="B1157" t="str">
        <f>IF(ISBLANK('Data Input'!B1157),"",'Data Input'!B1157)</f>
        <v/>
      </c>
      <c r="C1157" t="str">
        <f>IF(ISBLANK('Data Input'!C1157),"",'Data Input'!C1157)</f>
        <v/>
      </c>
      <c r="E1157" t="str">
        <f>IF(ISBLANK('Data Input'!D1157),"",'Data Input'!D1157)</f>
        <v/>
      </c>
      <c r="G1157" t="str">
        <f>IF(ISBLANK('Data Input'!E1157),"",'Data Input'!E1157)</f>
        <v/>
      </c>
      <c r="H1157" t="str">
        <f>IF(ISBLANK('Data Input'!F1157),"",'Data Input'!F1157)</f>
        <v/>
      </c>
      <c r="I1157" t="str">
        <f>IF(ISBLANK('Data Input'!G1157),"",'Data Input'!G1157)</f>
        <v/>
      </c>
      <c r="J1157" t="str">
        <f>IF(ISBLANK('Data Input'!I1157),"",'Data Input'!I1157)</f>
        <v/>
      </c>
      <c r="K1157" t="str">
        <f>IF(ISBLANK('Data Input'!J1157),"",'Data Input'!J1157)</f>
        <v/>
      </c>
      <c r="L1157" t="str">
        <f>IF(ISBLANK('Data Input'!K1157),"",'Data Input'!K1157)</f>
        <v/>
      </c>
      <c r="M1157" t="str">
        <f>IF(ISBLANK('Data Input'!L1157),"",'Data Input'!L1157)</f>
        <v/>
      </c>
      <c r="N1157" t="str">
        <f>IF(ISBLANK('Data Input'!M1157),"",'Data Input'!M1157)</f>
        <v/>
      </c>
      <c r="O1157" t="str">
        <f>IF(ISBLANK('Data Input'!N1157),"",'Data Input'!N1157)</f>
        <v/>
      </c>
      <c r="P1157" t="str">
        <f>IF(ISBLANK('Data Input'!O1157),"",'Data Input'!O1157)</f>
        <v/>
      </c>
      <c r="Q1157" t="str">
        <f>IF(ISBLANK('Data Input'!P1157),"",'Data Input'!P1157)</f>
        <v/>
      </c>
      <c r="R1157" t="str">
        <f>IF(ISBLANK('Data Input'!Q1157),"",'Data Input'!Q1157)</f>
        <v/>
      </c>
      <c r="T1157" s="2" t="e">
        <f t="shared" si="74"/>
        <v>#VALUE!</v>
      </c>
      <c r="U1157" s="12" t="e">
        <f t="shared" si="75"/>
        <v>#VALUE!</v>
      </c>
      <c r="V1157" s="2" t="str">
        <f t="shared" si="72"/>
        <v/>
      </c>
      <c r="W1157" s="12" t="str">
        <f t="shared" si="73"/>
        <v/>
      </c>
    </row>
    <row r="1158" spans="1:23">
      <c r="A1158" t="str">
        <f>IF(ISBLANK('Data Input'!A1158),"",'Data Input'!A1158)</f>
        <v/>
      </c>
      <c r="B1158" t="str">
        <f>IF(ISBLANK('Data Input'!B1158),"",'Data Input'!B1158)</f>
        <v/>
      </c>
      <c r="C1158" t="str">
        <f>IF(ISBLANK('Data Input'!C1158),"",'Data Input'!C1158)</f>
        <v/>
      </c>
      <c r="E1158" t="str">
        <f>IF(ISBLANK('Data Input'!D1158),"",'Data Input'!D1158)</f>
        <v/>
      </c>
      <c r="G1158" t="str">
        <f>IF(ISBLANK('Data Input'!E1158),"",'Data Input'!E1158)</f>
        <v/>
      </c>
      <c r="H1158" t="str">
        <f>IF(ISBLANK('Data Input'!F1158),"",'Data Input'!F1158)</f>
        <v/>
      </c>
      <c r="I1158" t="str">
        <f>IF(ISBLANK('Data Input'!G1158),"",'Data Input'!G1158)</f>
        <v/>
      </c>
      <c r="J1158" t="str">
        <f>IF(ISBLANK('Data Input'!I1158),"",'Data Input'!I1158)</f>
        <v/>
      </c>
      <c r="K1158" t="str">
        <f>IF(ISBLANK('Data Input'!J1158),"",'Data Input'!J1158)</f>
        <v/>
      </c>
      <c r="L1158" t="str">
        <f>IF(ISBLANK('Data Input'!K1158),"",'Data Input'!K1158)</f>
        <v/>
      </c>
      <c r="M1158" t="str">
        <f>IF(ISBLANK('Data Input'!L1158),"",'Data Input'!L1158)</f>
        <v/>
      </c>
      <c r="N1158" t="str">
        <f>IF(ISBLANK('Data Input'!M1158),"",'Data Input'!M1158)</f>
        <v/>
      </c>
      <c r="O1158" t="str">
        <f>IF(ISBLANK('Data Input'!N1158),"",'Data Input'!N1158)</f>
        <v/>
      </c>
      <c r="P1158" t="str">
        <f>IF(ISBLANK('Data Input'!O1158),"",'Data Input'!O1158)</f>
        <v/>
      </c>
      <c r="Q1158" t="str">
        <f>IF(ISBLANK('Data Input'!P1158),"",'Data Input'!P1158)</f>
        <v/>
      </c>
      <c r="R1158" t="str">
        <f>IF(ISBLANK('Data Input'!Q1158),"",'Data Input'!Q1158)</f>
        <v/>
      </c>
      <c r="T1158" s="2" t="e">
        <f t="shared" si="74"/>
        <v>#VALUE!</v>
      </c>
      <c r="U1158" s="12" t="e">
        <f t="shared" si="75"/>
        <v>#VALUE!</v>
      </c>
      <c r="V1158" s="2" t="str">
        <f t="shared" si="72"/>
        <v/>
      </c>
      <c r="W1158" s="12" t="str">
        <f t="shared" si="73"/>
        <v/>
      </c>
    </row>
    <row r="1159" spans="1:23">
      <c r="A1159" t="str">
        <f>IF(ISBLANK('Data Input'!A1159),"",'Data Input'!A1159)</f>
        <v/>
      </c>
      <c r="B1159" t="str">
        <f>IF(ISBLANK('Data Input'!B1159),"",'Data Input'!B1159)</f>
        <v/>
      </c>
      <c r="C1159" t="str">
        <f>IF(ISBLANK('Data Input'!C1159),"",'Data Input'!C1159)</f>
        <v/>
      </c>
      <c r="E1159" t="str">
        <f>IF(ISBLANK('Data Input'!D1159),"",'Data Input'!D1159)</f>
        <v/>
      </c>
      <c r="G1159" t="str">
        <f>IF(ISBLANK('Data Input'!E1159),"",'Data Input'!E1159)</f>
        <v/>
      </c>
      <c r="H1159" t="str">
        <f>IF(ISBLANK('Data Input'!F1159),"",'Data Input'!F1159)</f>
        <v/>
      </c>
      <c r="I1159" t="str">
        <f>IF(ISBLANK('Data Input'!G1159),"",'Data Input'!G1159)</f>
        <v/>
      </c>
      <c r="J1159" t="str">
        <f>IF(ISBLANK('Data Input'!I1159),"",'Data Input'!I1159)</f>
        <v/>
      </c>
      <c r="K1159" t="str">
        <f>IF(ISBLANK('Data Input'!J1159),"",'Data Input'!J1159)</f>
        <v/>
      </c>
      <c r="L1159" t="str">
        <f>IF(ISBLANK('Data Input'!K1159),"",'Data Input'!K1159)</f>
        <v/>
      </c>
      <c r="M1159" t="str">
        <f>IF(ISBLANK('Data Input'!L1159),"",'Data Input'!L1159)</f>
        <v/>
      </c>
      <c r="N1159" t="str">
        <f>IF(ISBLANK('Data Input'!M1159),"",'Data Input'!M1159)</f>
        <v/>
      </c>
      <c r="O1159" t="str">
        <f>IF(ISBLANK('Data Input'!N1159),"",'Data Input'!N1159)</f>
        <v/>
      </c>
      <c r="P1159" t="str">
        <f>IF(ISBLANK('Data Input'!O1159),"",'Data Input'!O1159)</f>
        <v/>
      </c>
      <c r="Q1159" t="str">
        <f>IF(ISBLANK('Data Input'!P1159),"",'Data Input'!P1159)</f>
        <v/>
      </c>
      <c r="R1159" t="str">
        <f>IF(ISBLANK('Data Input'!Q1159),"",'Data Input'!Q1159)</f>
        <v/>
      </c>
      <c r="T1159" s="2" t="e">
        <f t="shared" si="74"/>
        <v>#VALUE!</v>
      </c>
      <c r="U1159" s="12" t="e">
        <f t="shared" si="75"/>
        <v>#VALUE!</v>
      </c>
      <c r="V1159" s="2" t="str">
        <f t="shared" ref="V1159:V1177" si="76">IFERROR(DATEVALUE(LEFT(E1159,FIND(" ",E1159))),E1159)</f>
        <v/>
      </c>
      <c r="W1159" s="12" t="str">
        <f t="shared" ref="W1159:W1177" si="77">IFERROR(TIMEVALUE(CONCATENATE(MID(E1159,FIND(" ",E1159)+1,2),":",RIGHT(E1159,LEN(E1159)-FIND(" ",E1159)-2))),E1159)</f>
        <v/>
      </c>
    </row>
    <row r="1160" spans="1:23">
      <c r="A1160" t="str">
        <f>IF(ISBLANK('Data Input'!A1160),"",'Data Input'!A1160)</f>
        <v/>
      </c>
      <c r="B1160" t="str">
        <f>IF(ISBLANK('Data Input'!B1160),"",'Data Input'!B1160)</f>
        <v/>
      </c>
      <c r="C1160" t="str">
        <f>IF(ISBLANK('Data Input'!C1160),"",'Data Input'!C1160)</f>
        <v/>
      </c>
      <c r="E1160" t="str">
        <f>IF(ISBLANK('Data Input'!D1160),"",'Data Input'!D1160)</f>
        <v/>
      </c>
      <c r="G1160" t="str">
        <f>IF(ISBLANK('Data Input'!E1160),"",'Data Input'!E1160)</f>
        <v/>
      </c>
      <c r="H1160" t="str">
        <f>IF(ISBLANK('Data Input'!F1160),"",'Data Input'!F1160)</f>
        <v/>
      </c>
      <c r="I1160" t="str">
        <f>IF(ISBLANK('Data Input'!G1160),"",'Data Input'!G1160)</f>
        <v/>
      </c>
      <c r="J1160" t="str">
        <f>IF(ISBLANK('Data Input'!I1160),"",'Data Input'!I1160)</f>
        <v/>
      </c>
      <c r="K1160" t="str">
        <f>IF(ISBLANK('Data Input'!J1160),"",'Data Input'!J1160)</f>
        <v/>
      </c>
      <c r="L1160" t="str">
        <f>IF(ISBLANK('Data Input'!K1160),"",'Data Input'!K1160)</f>
        <v/>
      </c>
      <c r="M1160" t="str">
        <f>IF(ISBLANK('Data Input'!L1160),"",'Data Input'!L1160)</f>
        <v/>
      </c>
      <c r="N1160" t="str">
        <f>IF(ISBLANK('Data Input'!M1160),"",'Data Input'!M1160)</f>
        <v/>
      </c>
      <c r="O1160" t="str">
        <f>IF(ISBLANK('Data Input'!N1160),"",'Data Input'!N1160)</f>
        <v/>
      </c>
      <c r="P1160" t="str">
        <f>IF(ISBLANK('Data Input'!O1160),"",'Data Input'!O1160)</f>
        <v/>
      </c>
      <c r="Q1160" t="str">
        <f>IF(ISBLANK('Data Input'!P1160),"",'Data Input'!P1160)</f>
        <v/>
      </c>
      <c r="R1160" t="str">
        <f>IF(ISBLANK('Data Input'!Q1160),"",'Data Input'!Q1160)</f>
        <v/>
      </c>
      <c r="T1160" s="2" t="e">
        <f t="shared" si="74"/>
        <v>#VALUE!</v>
      </c>
      <c r="U1160" s="12" t="e">
        <f t="shared" si="75"/>
        <v>#VALUE!</v>
      </c>
      <c r="V1160" s="2" t="str">
        <f t="shared" si="76"/>
        <v/>
      </c>
      <c r="W1160" s="12" t="str">
        <f t="shared" si="77"/>
        <v/>
      </c>
    </row>
    <row r="1161" spans="1:23">
      <c r="A1161" t="str">
        <f>IF(ISBLANK('Data Input'!A1161),"",'Data Input'!A1161)</f>
        <v/>
      </c>
      <c r="B1161" t="str">
        <f>IF(ISBLANK('Data Input'!B1161),"",'Data Input'!B1161)</f>
        <v/>
      </c>
      <c r="C1161" t="str">
        <f>IF(ISBLANK('Data Input'!C1161),"",'Data Input'!C1161)</f>
        <v/>
      </c>
      <c r="E1161" t="str">
        <f>IF(ISBLANK('Data Input'!D1161),"",'Data Input'!D1161)</f>
        <v/>
      </c>
      <c r="G1161" t="str">
        <f>IF(ISBLANK('Data Input'!E1161),"",'Data Input'!E1161)</f>
        <v/>
      </c>
      <c r="H1161" t="str">
        <f>IF(ISBLANK('Data Input'!F1161),"",'Data Input'!F1161)</f>
        <v/>
      </c>
      <c r="I1161" t="str">
        <f>IF(ISBLANK('Data Input'!G1161),"",'Data Input'!G1161)</f>
        <v/>
      </c>
      <c r="J1161" t="str">
        <f>IF(ISBLANK('Data Input'!I1161),"",'Data Input'!I1161)</f>
        <v/>
      </c>
      <c r="K1161" t="str">
        <f>IF(ISBLANK('Data Input'!J1161),"",'Data Input'!J1161)</f>
        <v/>
      </c>
      <c r="L1161" t="str">
        <f>IF(ISBLANK('Data Input'!K1161),"",'Data Input'!K1161)</f>
        <v/>
      </c>
      <c r="M1161" t="str">
        <f>IF(ISBLANK('Data Input'!L1161),"",'Data Input'!L1161)</f>
        <v/>
      </c>
      <c r="N1161" t="str">
        <f>IF(ISBLANK('Data Input'!M1161),"",'Data Input'!M1161)</f>
        <v/>
      </c>
      <c r="O1161" t="str">
        <f>IF(ISBLANK('Data Input'!N1161),"",'Data Input'!N1161)</f>
        <v/>
      </c>
      <c r="P1161" t="str">
        <f>IF(ISBLANK('Data Input'!O1161),"",'Data Input'!O1161)</f>
        <v/>
      </c>
      <c r="Q1161" t="str">
        <f>IF(ISBLANK('Data Input'!P1161),"",'Data Input'!P1161)</f>
        <v/>
      </c>
      <c r="R1161" t="str">
        <f>IF(ISBLANK('Data Input'!Q1161),"",'Data Input'!Q1161)</f>
        <v/>
      </c>
      <c r="T1161" s="2" t="e">
        <f t="shared" si="74"/>
        <v>#VALUE!</v>
      </c>
      <c r="U1161" s="12" t="e">
        <f t="shared" si="75"/>
        <v>#VALUE!</v>
      </c>
      <c r="V1161" s="2" t="str">
        <f t="shared" si="76"/>
        <v/>
      </c>
      <c r="W1161" s="12" t="str">
        <f t="shared" si="77"/>
        <v/>
      </c>
    </row>
    <row r="1162" spans="1:23">
      <c r="A1162" t="str">
        <f>IF(ISBLANK('Data Input'!A1162),"",'Data Input'!A1162)</f>
        <v/>
      </c>
      <c r="B1162" t="str">
        <f>IF(ISBLANK('Data Input'!B1162),"",'Data Input'!B1162)</f>
        <v/>
      </c>
      <c r="C1162" t="str">
        <f>IF(ISBLANK('Data Input'!C1162),"",'Data Input'!C1162)</f>
        <v/>
      </c>
      <c r="E1162" t="str">
        <f>IF(ISBLANK('Data Input'!D1162),"",'Data Input'!D1162)</f>
        <v/>
      </c>
      <c r="G1162" t="str">
        <f>IF(ISBLANK('Data Input'!E1162),"",'Data Input'!E1162)</f>
        <v/>
      </c>
      <c r="H1162" t="str">
        <f>IF(ISBLANK('Data Input'!F1162),"",'Data Input'!F1162)</f>
        <v/>
      </c>
      <c r="I1162" t="str">
        <f>IF(ISBLANK('Data Input'!G1162),"",'Data Input'!G1162)</f>
        <v/>
      </c>
      <c r="J1162" t="str">
        <f>IF(ISBLANK('Data Input'!I1162),"",'Data Input'!I1162)</f>
        <v/>
      </c>
      <c r="K1162" t="str">
        <f>IF(ISBLANK('Data Input'!J1162),"",'Data Input'!J1162)</f>
        <v/>
      </c>
      <c r="L1162" t="str">
        <f>IF(ISBLANK('Data Input'!K1162),"",'Data Input'!K1162)</f>
        <v/>
      </c>
      <c r="M1162" t="str">
        <f>IF(ISBLANK('Data Input'!L1162),"",'Data Input'!L1162)</f>
        <v/>
      </c>
      <c r="N1162" t="str">
        <f>IF(ISBLANK('Data Input'!M1162),"",'Data Input'!M1162)</f>
        <v/>
      </c>
      <c r="O1162" t="str">
        <f>IF(ISBLANK('Data Input'!N1162),"",'Data Input'!N1162)</f>
        <v/>
      </c>
      <c r="P1162" t="str">
        <f>IF(ISBLANK('Data Input'!O1162),"",'Data Input'!O1162)</f>
        <v/>
      </c>
      <c r="Q1162" t="str">
        <f>IF(ISBLANK('Data Input'!P1162),"",'Data Input'!P1162)</f>
        <v/>
      </c>
      <c r="R1162" t="str">
        <f>IF(ISBLANK('Data Input'!Q1162),"",'Data Input'!Q1162)</f>
        <v/>
      </c>
      <c r="T1162" s="2" t="e">
        <f t="shared" si="74"/>
        <v>#VALUE!</v>
      </c>
      <c r="U1162" s="12" t="e">
        <f t="shared" si="75"/>
        <v>#VALUE!</v>
      </c>
      <c r="V1162" s="2" t="str">
        <f t="shared" si="76"/>
        <v/>
      </c>
      <c r="W1162" s="12" t="str">
        <f t="shared" si="77"/>
        <v/>
      </c>
    </row>
    <row r="1163" spans="1:23">
      <c r="A1163" t="str">
        <f>IF(ISBLANK('Data Input'!A1163),"",'Data Input'!A1163)</f>
        <v/>
      </c>
      <c r="B1163" t="str">
        <f>IF(ISBLANK('Data Input'!B1163),"",'Data Input'!B1163)</f>
        <v/>
      </c>
      <c r="C1163" t="str">
        <f>IF(ISBLANK('Data Input'!C1163),"",'Data Input'!C1163)</f>
        <v/>
      </c>
      <c r="E1163" t="str">
        <f>IF(ISBLANK('Data Input'!D1163),"",'Data Input'!D1163)</f>
        <v/>
      </c>
      <c r="G1163" t="str">
        <f>IF(ISBLANK('Data Input'!E1163),"",'Data Input'!E1163)</f>
        <v/>
      </c>
      <c r="H1163" t="str">
        <f>IF(ISBLANK('Data Input'!F1163),"",'Data Input'!F1163)</f>
        <v/>
      </c>
      <c r="I1163" t="str">
        <f>IF(ISBLANK('Data Input'!G1163),"",'Data Input'!G1163)</f>
        <v/>
      </c>
      <c r="J1163" t="str">
        <f>IF(ISBLANK('Data Input'!I1163),"",'Data Input'!I1163)</f>
        <v/>
      </c>
      <c r="K1163" t="str">
        <f>IF(ISBLANK('Data Input'!J1163),"",'Data Input'!J1163)</f>
        <v/>
      </c>
      <c r="L1163" t="str">
        <f>IF(ISBLANK('Data Input'!K1163),"",'Data Input'!K1163)</f>
        <v/>
      </c>
      <c r="M1163" t="str">
        <f>IF(ISBLANK('Data Input'!L1163),"",'Data Input'!L1163)</f>
        <v/>
      </c>
      <c r="N1163" t="str">
        <f>IF(ISBLANK('Data Input'!M1163),"",'Data Input'!M1163)</f>
        <v/>
      </c>
      <c r="O1163" t="str">
        <f>IF(ISBLANK('Data Input'!N1163),"",'Data Input'!N1163)</f>
        <v/>
      </c>
      <c r="P1163" t="str">
        <f>IF(ISBLANK('Data Input'!O1163),"",'Data Input'!O1163)</f>
        <v/>
      </c>
      <c r="Q1163" t="str">
        <f>IF(ISBLANK('Data Input'!P1163),"",'Data Input'!P1163)</f>
        <v/>
      </c>
      <c r="R1163" t="str">
        <f>IF(ISBLANK('Data Input'!Q1163),"",'Data Input'!Q1163)</f>
        <v/>
      </c>
      <c r="T1163" s="2" t="e">
        <f t="shared" si="74"/>
        <v>#VALUE!</v>
      </c>
      <c r="U1163" s="12" t="e">
        <f t="shared" si="75"/>
        <v>#VALUE!</v>
      </c>
      <c r="V1163" s="2" t="str">
        <f t="shared" si="76"/>
        <v/>
      </c>
      <c r="W1163" s="12" t="str">
        <f t="shared" si="77"/>
        <v/>
      </c>
    </row>
    <row r="1164" spans="1:23">
      <c r="A1164" t="str">
        <f>IF(ISBLANK('Data Input'!A1164),"",'Data Input'!A1164)</f>
        <v/>
      </c>
      <c r="B1164" t="str">
        <f>IF(ISBLANK('Data Input'!B1164),"",'Data Input'!B1164)</f>
        <v/>
      </c>
      <c r="C1164" t="str">
        <f>IF(ISBLANK('Data Input'!C1164),"",'Data Input'!C1164)</f>
        <v/>
      </c>
      <c r="E1164" t="str">
        <f>IF(ISBLANK('Data Input'!D1164),"",'Data Input'!D1164)</f>
        <v/>
      </c>
      <c r="G1164" t="str">
        <f>IF(ISBLANK('Data Input'!E1164),"",'Data Input'!E1164)</f>
        <v/>
      </c>
      <c r="H1164" t="str">
        <f>IF(ISBLANK('Data Input'!F1164),"",'Data Input'!F1164)</f>
        <v/>
      </c>
      <c r="I1164" t="str">
        <f>IF(ISBLANK('Data Input'!G1164),"",'Data Input'!G1164)</f>
        <v/>
      </c>
      <c r="J1164" t="str">
        <f>IF(ISBLANK('Data Input'!I1164),"",'Data Input'!I1164)</f>
        <v/>
      </c>
      <c r="K1164" t="str">
        <f>IF(ISBLANK('Data Input'!J1164),"",'Data Input'!J1164)</f>
        <v/>
      </c>
      <c r="L1164" t="str">
        <f>IF(ISBLANK('Data Input'!K1164),"",'Data Input'!K1164)</f>
        <v/>
      </c>
      <c r="M1164" t="str">
        <f>IF(ISBLANK('Data Input'!L1164),"",'Data Input'!L1164)</f>
        <v/>
      </c>
      <c r="N1164" t="str">
        <f>IF(ISBLANK('Data Input'!M1164),"",'Data Input'!M1164)</f>
        <v/>
      </c>
      <c r="O1164" t="str">
        <f>IF(ISBLANK('Data Input'!N1164),"",'Data Input'!N1164)</f>
        <v/>
      </c>
      <c r="P1164" t="str">
        <f>IF(ISBLANK('Data Input'!O1164),"",'Data Input'!O1164)</f>
        <v/>
      </c>
      <c r="Q1164" t="str">
        <f>IF(ISBLANK('Data Input'!P1164),"",'Data Input'!P1164)</f>
        <v/>
      </c>
      <c r="R1164" t="str">
        <f>IF(ISBLANK('Data Input'!Q1164),"",'Data Input'!Q1164)</f>
        <v/>
      </c>
      <c r="T1164" s="2" t="e">
        <f t="shared" si="74"/>
        <v>#VALUE!</v>
      </c>
      <c r="U1164" s="12" t="e">
        <f t="shared" si="75"/>
        <v>#VALUE!</v>
      </c>
      <c r="V1164" s="2" t="str">
        <f t="shared" si="76"/>
        <v/>
      </c>
      <c r="W1164" s="12" t="str">
        <f t="shared" si="77"/>
        <v/>
      </c>
    </row>
    <row r="1165" spans="1:23">
      <c r="A1165" t="str">
        <f>IF(ISBLANK('Data Input'!A1165),"",'Data Input'!A1165)</f>
        <v/>
      </c>
      <c r="B1165" t="str">
        <f>IF(ISBLANK('Data Input'!B1165),"",'Data Input'!B1165)</f>
        <v/>
      </c>
      <c r="C1165" t="str">
        <f>IF(ISBLANK('Data Input'!C1165),"",'Data Input'!C1165)</f>
        <v/>
      </c>
      <c r="E1165" t="str">
        <f>IF(ISBLANK('Data Input'!D1165),"",'Data Input'!D1165)</f>
        <v/>
      </c>
      <c r="G1165" t="str">
        <f>IF(ISBLANK('Data Input'!E1165),"",'Data Input'!E1165)</f>
        <v/>
      </c>
      <c r="H1165" t="str">
        <f>IF(ISBLANK('Data Input'!F1165),"",'Data Input'!F1165)</f>
        <v/>
      </c>
      <c r="I1165" t="str">
        <f>IF(ISBLANK('Data Input'!G1165),"",'Data Input'!G1165)</f>
        <v/>
      </c>
      <c r="J1165" t="str">
        <f>IF(ISBLANK('Data Input'!I1165),"",'Data Input'!I1165)</f>
        <v/>
      </c>
      <c r="K1165" t="str">
        <f>IF(ISBLANK('Data Input'!J1165),"",'Data Input'!J1165)</f>
        <v/>
      </c>
      <c r="L1165" t="str">
        <f>IF(ISBLANK('Data Input'!K1165),"",'Data Input'!K1165)</f>
        <v/>
      </c>
      <c r="M1165" t="str">
        <f>IF(ISBLANK('Data Input'!L1165),"",'Data Input'!L1165)</f>
        <v/>
      </c>
      <c r="N1165" t="str">
        <f>IF(ISBLANK('Data Input'!M1165),"",'Data Input'!M1165)</f>
        <v/>
      </c>
      <c r="O1165" t="str">
        <f>IF(ISBLANK('Data Input'!N1165),"",'Data Input'!N1165)</f>
        <v/>
      </c>
      <c r="P1165" t="str">
        <f>IF(ISBLANK('Data Input'!O1165),"",'Data Input'!O1165)</f>
        <v/>
      </c>
      <c r="Q1165" t="str">
        <f>IF(ISBLANK('Data Input'!P1165),"",'Data Input'!P1165)</f>
        <v/>
      </c>
      <c r="R1165" t="str">
        <f>IF(ISBLANK('Data Input'!Q1165),"",'Data Input'!Q1165)</f>
        <v/>
      </c>
      <c r="T1165" s="2" t="e">
        <f t="shared" si="74"/>
        <v>#VALUE!</v>
      </c>
      <c r="U1165" s="12" t="e">
        <f t="shared" si="75"/>
        <v>#VALUE!</v>
      </c>
      <c r="V1165" s="2" t="str">
        <f t="shared" si="76"/>
        <v/>
      </c>
      <c r="W1165" s="12" t="str">
        <f t="shared" si="77"/>
        <v/>
      </c>
    </row>
    <row r="1166" spans="1:23">
      <c r="A1166" t="str">
        <f>IF(ISBLANK('Data Input'!A1166),"",'Data Input'!A1166)</f>
        <v/>
      </c>
      <c r="B1166" t="str">
        <f>IF(ISBLANK('Data Input'!B1166),"",'Data Input'!B1166)</f>
        <v/>
      </c>
      <c r="C1166" t="str">
        <f>IF(ISBLANK('Data Input'!C1166),"",'Data Input'!C1166)</f>
        <v/>
      </c>
      <c r="E1166" t="str">
        <f>IF(ISBLANK('Data Input'!D1166),"",'Data Input'!D1166)</f>
        <v/>
      </c>
      <c r="G1166" t="str">
        <f>IF(ISBLANK('Data Input'!E1166),"",'Data Input'!E1166)</f>
        <v/>
      </c>
      <c r="H1166" t="str">
        <f>IF(ISBLANK('Data Input'!F1166),"",'Data Input'!F1166)</f>
        <v/>
      </c>
      <c r="I1166" t="str">
        <f>IF(ISBLANK('Data Input'!G1166),"",'Data Input'!G1166)</f>
        <v/>
      </c>
      <c r="J1166" t="str">
        <f>IF(ISBLANK('Data Input'!I1166),"",'Data Input'!I1166)</f>
        <v/>
      </c>
      <c r="K1166" t="str">
        <f>IF(ISBLANK('Data Input'!J1166),"",'Data Input'!J1166)</f>
        <v/>
      </c>
      <c r="L1166" t="str">
        <f>IF(ISBLANK('Data Input'!K1166),"",'Data Input'!K1166)</f>
        <v/>
      </c>
      <c r="M1166" t="str">
        <f>IF(ISBLANK('Data Input'!L1166),"",'Data Input'!L1166)</f>
        <v/>
      </c>
      <c r="N1166" t="str">
        <f>IF(ISBLANK('Data Input'!M1166),"",'Data Input'!M1166)</f>
        <v/>
      </c>
      <c r="O1166" t="str">
        <f>IF(ISBLANK('Data Input'!N1166),"",'Data Input'!N1166)</f>
        <v/>
      </c>
      <c r="P1166" t="str">
        <f>IF(ISBLANK('Data Input'!O1166),"",'Data Input'!O1166)</f>
        <v/>
      </c>
      <c r="Q1166" t="str">
        <f>IF(ISBLANK('Data Input'!P1166),"",'Data Input'!P1166)</f>
        <v/>
      </c>
      <c r="R1166" t="str">
        <f>IF(ISBLANK('Data Input'!Q1166),"",'Data Input'!Q1166)</f>
        <v/>
      </c>
      <c r="T1166" s="2" t="e">
        <f t="shared" si="74"/>
        <v>#VALUE!</v>
      </c>
      <c r="U1166" s="12" t="e">
        <f t="shared" si="75"/>
        <v>#VALUE!</v>
      </c>
      <c r="V1166" s="2" t="str">
        <f t="shared" si="76"/>
        <v/>
      </c>
      <c r="W1166" s="12" t="str">
        <f t="shared" si="77"/>
        <v/>
      </c>
    </row>
    <row r="1167" spans="1:23">
      <c r="A1167" t="str">
        <f>IF(ISBLANK('Data Input'!A1167),"",'Data Input'!A1167)</f>
        <v/>
      </c>
      <c r="B1167" t="str">
        <f>IF(ISBLANK('Data Input'!B1167),"",'Data Input'!B1167)</f>
        <v/>
      </c>
      <c r="C1167" t="str">
        <f>IF(ISBLANK('Data Input'!C1167),"",'Data Input'!C1167)</f>
        <v/>
      </c>
      <c r="E1167" t="str">
        <f>IF(ISBLANK('Data Input'!D1167),"",'Data Input'!D1167)</f>
        <v/>
      </c>
      <c r="G1167" t="str">
        <f>IF(ISBLANK('Data Input'!E1167),"",'Data Input'!E1167)</f>
        <v/>
      </c>
      <c r="H1167" t="str">
        <f>IF(ISBLANK('Data Input'!F1167),"",'Data Input'!F1167)</f>
        <v/>
      </c>
      <c r="I1167" t="str">
        <f>IF(ISBLANK('Data Input'!G1167),"",'Data Input'!G1167)</f>
        <v/>
      </c>
      <c r="J1167" t="str">
        <f>IF(ISBLANK('Data Input'!I1167),"",'Data Input'!I1167)</f>
        <v/>
      </c>
      <c r="K1167" t="str">
        <f>IF(ISBLANK('Data Input'!J1167),"",'Data Input'!J1167)</f>
        <v/>
      </c>
      <c r="L1167" t="str">
        <f>IF(ISBLANK('Data Input'!K1167),"",'Data Input'!K1167)</f>
        <v/>
      </c>
      <c r="M1167" t="str">
        <f>IF(ISBLANK('Data Input'!L1167),"",'Data Input'!L1167)</f>
        <v/>
      </c>
      <c r="N1167" t="str">
        <f>IF(ISBLANK('Data Input'!M1167),"",'Data Input'!M1167)</f>
        <v/>
      </c>
      <c r="O1167" t="str">
        <f>IF(ISBLANK('Data Input'!N1167),"",'Data Input'!N1167)</f>
        <v/>
      </c>
      <c r="P1167" t="str">
        <f>IF(ISBLANK('Data Input'!O1167),"",'Data Input'!O1167)</f>
        <v/>
      </c>
      <c r="Q1167" t="str">
        <f>IF(ISBLANK('Data Input'!P1167),"",'Data Input'!P1167)</f>
        <v/>
      </c>
      <c r="R1167" t="str">
        <f>IF(ISBLANK('Data Input'!Q1167),"",'Data Input'!Q1167)</f>
        <v/>
      </c>
      <c r="T1167" s="2" t="e">
        <f t="shared" si="74"/>
        <v>#VALUE!</v>
      </c>
      <c r="U1167" s="12" t="e">
        <f t="shared" si="75"/>
        <v>#VALUE!</v>
      </c>
      <c r="V1167" s="2" t="str">
        <f t="shared" si="76"/>
        <v/>
      </c>
      <c r="W1167" s="12" t="str">
        <f t="shared" si="77"/>
        <v/>
      </c>
    </row>
    <row r="1168" spans="1:23">
      <c r="A1168" t="str">
        <f>IF(ISBLANK('Data Input'!A1168),"",'Data Input'!A1168)</f>
        <v/>
      </c>
      <c r="B1168" t="str">
        <f>IF(ISBLANK('Data Input'!B1168),"",'Data Input'!B1168)</f>
        <v/>
      </c>
      <c r="C1168" t="str">
        <f>IF(ISBLANK('Data Input'!C1168),"",'Data Input'!C1168)</f>
        <v/>
      </c>
      <c r="E1168" t="str">
        <f>IF(ISBLANK('Data Input'!D1168),"",'Data Input'!D1168)</f>
        <v/>
      </c>
      <c r="G1168" t="str">
        <f>IF(ISBLANK('Data Input'!E1168),"",'Data Input'!E1168)</f>
        <v/>
      </c>
      <c r="H1168" t="str">
        <f>IF(ISBLANK('Data Input'!F1168),"",'Data Input'!F1168)</f>
        <v/>
      </c>
      <c r="I1168" t="str">
        <f>IF(ISBLANK('Data Input'!G1168),"",'Data Input'!G1168)</f>
        <v/>
      </c>
      <c r="J1168" t="str">
        <f>IF(ISBLANK('Data Input'!I1168),"",'Data Input'!I1168)</f>
        <v/>
      </c>
      <c r="K1168" t="str">
        <f>IF(ISBLANK('Data Input'!J1168),"",'Data Input'!J1168)</f>
        <v/>
      </c>
      <c r="L1168" t="str">
        <f>IF(ISBLANK('Data Input'!K1168),"",'Data Input'!K1168)</f>
        <v/>
      </c>
      <c r="M1168" t="str">
        <f>IF(ISBLANK('Data Input'!L1168),"",'Data Input'!L1168)</f>
        <v/>
      </c>
      <c r="N1168" t="str">
        <f>IF(ISBLANK('Data Input'!M1168),"",'Data Input'!M1168)</f>
        <v/>
      </c>
      <c r="O1168" t="str">
        <f>IF(ISBLANK('Data Input'!N1168),"",'Data Input'!N1168)</f>
        <v/>
      </c>
      <c r="P1168" t="str">
        <f>IF(ISBLANK('Data Input'!O1168),"",'Data Input'!O1168)</f>
        <v/>
      </c>
      <c r="Q1168" t="str">
        <f>IF(ISBLANK('Data Input'!P1168),"",'Data Input'!P1168)</f>
        <v/>
      </c>
      <c r="R1168" t="str">
        <f>IF(ISBLANK('Data Input'!Q1168),"",'Data Input'!Q1168)</f>
        <v/>
      </c>
      <c r="T1168" s="2" t="e">
        <f t="shared" si="74"/>
        <v>#VALUE!</v>
      </c>
      <c r="U1168" s="12" t="e">
        <f t="shared" si="75"/>
        <v>#VALUE!</v>
      </c>
      <c r="V1168" s="2" t="str">
        <f t="shared" si="76"/>
        <v/>
      </c>
      <c r="W1168" s="12" t="str">
        <f t="shared" si="77"/>
        <v/>
      </c>
    </row>
    <row r="1169" spans="1:23">
      <c r="A1169" t="str">
        <f>IF(ISBLANK('Data Input'!A1169),"",'Data Input'!A1169)</f>
        <v/>
      </c>
      <c r="B1169" t="str">
        <f>IF(ISBLANK('Data Input'!B1169),"",'Data Input'!B1169)</f>
        <v/>
      </c>
      <c r="C1169" t="str">
        <f>IF(ISBLANK('Data Input'!C1169),"",'Data Input'!C1169)</f>
        <v/>
      </c>
      <c r="E1169" t="str">
        <f>IF(ISBLANK('Data Input'!D1169),"",'Data Input'!D1169)</f>
        <v/>
      </c>
      <c r="G1169" t="str">
        <f>IF(ISBLANK('Data Input'!E1169),"",'Data Input'!E1169)</f>
        <v/>
      </c>
      <c r="H1169" t="str">
        <f>IF(ISBLANK('Data Input'!F1169),"",'Data Input'!F1169)</f>
        <v/>
      </c>
      <c r="I1169" t="str">
        <f>IF(ISBLANK('Data Input'!G1169),"",'Data Input'!G1169)</f>
        <v/>
      </c>
      <c r="J1169" t="str">
        <f>IF(ISBLANK('Data Input'!I1169),"",'Data Input'!I1169)</f>
        <v/>
      </c>
      <c r="K1169" t="str">
        <f>IF(ISBLANK('Data Input'!J1169),"",'Data Input'!J1169)</f>
        <v/>
      </c>
      <c r="L1169" t="str">
        <f>IF(ISBLANK('Data Input'!K1169),"",'Data Input'!K1169)</f>
        <v/>
      </c>
      <c r="M1169" t="str">
        <f>IF(ISBLANK('Data Input'!L1169),"",'Data Input'!L1169)</f>
        <v/>
      </c>
      <c r="N1169" t="str">
        <f>IF(ISBLANK('Data Input'!M1169),"",'Data Input'!M1169)</f>
        <v/>
      </c>
      <c r="O1169" t="str">
        <f>IF(ISBLANK('Data Input'!N1169),"",'Data Input'!N1169)</f>
        <v/>
      </c>
      <c r="P1169" t="str">
        <f>IF(ISBLANK('Data Input'!O1169),"",'Data Input'!O1169)</f>
        <v/>
      </c>
      <c r="Q1169" t="str">
        <f>IF(ISBLANK('Data Input'!P1169),"",'Data Input'!P1169)</f>
        <v/>
      </c>
      <c r="R1169" t="str">
        <f>IF(ISBLANK('Data Input'!Q1169),"",'Data Input'!Q1169)</f>
        <v/>
      </c>
      <c r="T1169" s="2" t="e">
        <f t="shared" si="74"/>
        <v>#VALUE!</v>
      </c>
      <c r="U1169" s="12" t="e">
        <f t="shared" si="75"/>
        <v>#VALUE!</v>
      </c>
      <c r="V1169" s="2" t="str">
        <f t="shared" si="76"/>
        <v/>
      </c>
      <c r="W1169" s="12" t="str">
        <f t="shared" si="77"/>
        <v/>
      </c>
    </row>
    <row r="1170" spans="1:23">
      <c r="A1170" t="str">
        <f>IF(ISBLANK('Data Input'!A1170),"",'Data Input'!A1170)</f>
        <v/>
      </c>
      <c r="B1170" t="str">
        <f>IF(ISBLANK('Data Input'!B1170),"",'Data Input'!B1170)</f>
        <v/>
      </c>
      <c r="C1170" t="str">
        <f>IF(ISBLANK('Data Input'!C1170),"",'Data Input'!C1170)</f>
        <v/>
      </c>
      <c r="E1170" t="str">
        <f>IF(ISBLANK('Data Input'!D1170),"",'Data Input'!D1170)</f>
        <v/>
      </c>
      <c r="G1170" t="str">
        <f>IF(ISBLANK('Data Input'!E1170),"",'Data Input'!E1170)</f>
        <v/>
      </c>
      <c r="H1170" t="str">
        <f>IF(ISBLANK('Data Input'!F1170),"",'Data Input'!F1170)</f>
        <v/>
      </c>
      <c r="I1170" t="str">
        <f>IF(ISBLANK('Data Input'!G1170),"",'Data Input'!G1170)</f>
        <v/>
      </c>
      <c r="J1170" t="str">
        <f>IF(ISBLANK('Data Input'!I1170),"",'Data Input'!I1170)</f>
        <v/>
      </c>
      <c r="K1170" t="str">
        <f>IF(ISBLANK('Data Input'!J1170),"",'Data Input'!J1170)</f>
        <v/>
      </c>
      <c r="L1170" t="str">
        <f>IF(ISBLANK('Data Input'!K1170),"",'Data Input'!K1170)</f>
        <v/>
      </c>
      <c r="M1170" t="str">
        <f>IF(ISBLANK('Data Input'!L1170),"",'Data Input'!L1170)</f>
        <v/>
      </c>
      <c r="N1170" t="str">
        <f>IF(ISBLANK('Data Input'!M1170),"",'Data Input'!M1170)</f>
        <v/>
      </c>
      <c r="O1170" t="str">
        <f>IF(ISBLANK('Data Input'!N1170),"",'Data Input'!N1170)</f>
        <v/>
      </c>
      <c r="P1170" t="str">
        <f>IF(ISBLANK('Data Input'!O1170),"",'Data Input'!O1170)</f>
        <v/>
      </c>
      <c r="Q1170" t="str">
        <f>IF(ISBLANK('Data Input'!P1170),"",'Data Input'!P1170)</f>
        <v/>
      </c>
      <c r="R1170" t="str">
        <f>IF(ISBLANK('Data Input'!Q1170),"",'Data Input'!Q1170)</f>
        <v/>
      </c>
      <c r="T1170" s="2" t="e">
        <f t="shared" si="74"/>
        <v>#VALUE!</v>
      </c>
      <c r="U1170" s="12" t="e">
        <f t="shared" si="75"/>
        <v>#VALUE!</v>
      </c>
      <c r="V1170" s="2" t="str">
        <f t="shared" si="76"/>
        <v/>
      </c>
      <c r="W1170" s="12" t="str">
        <f t="shared" si="77"/>
        <v/>
      </c>
    </row>
    <row r="1171" spans="1:23">
      <c r="A1171" t="str">
        <f>IF(ISBLANK('Data Input'!A1171),"",'Data Input'!A1171)</f>
        <v/>
      </c>
      <c r="B1171" t="str">
        <f>IF(ISBLANK('Data Input'!B1171),"",'Data Input'!B1171)</f>
        <v/>
      </c>
      <c r="C1171" t="str">
        <f>IF(ISBLANK('Data Input'!C1171),"",'Data Input'!C1171)</f>
        <v/>
      </c>
      <c r="E1171" t="str">
        <f>IF(ISBLANK('Data Input'!D1171),"",'Data Input'!D1171)</f>
        <v/>
      </c>
      <c r="G1171" t="str">
        <f>IF(ISBLANK('Data Input'!E1171),"",'Data Input'!E1171)</f>
        <v/>
      </c>
      <c r="H1171" t="str">
        <f>IF(ISBLANK('Data Input'!F1171),"",'Data Input'!F1171)</f>
        <v/>
      </c>
      <c r="I1171" t="str">
        <f>IF(ISBLANK('Data Input'!G1171),"",'Data Input'!G1171)</f>
        <v/>
      </c>
      <c r="J1171" t="str">
        <f>IF(ISBLANK('Data Input'!I1171),"",'Data Input'!I1171)</f>
        <v/>
      </c>
      <c r="K1171" t="str">
        <f>IF(ISBLANK('Data Input'!J1171),"",'Data Input'!J1171)</f>
        <v/>
      </c>
      <c r="L1171" t="str">
        <f>IF(ISBLANK('Data Input'!K1171),"",'Data Input'!K1171)</f>
        <v/>
      </c>
      <c r="M1171" t="str">
        <f>IF(ISBLANK('Data Input'!L1171),"",'Data Input'!L1171)</f>
        <v/>
      </c>
      <c r="N1171" t="str">
        <f>IF(ISBLANK('Data Input'!M1171),"",'Data Input'!M1171)</f>
        <v/>
      </c>
      <c r="O1171" t="str">
        <f>IF(ISBLANK('Data Input'!N1171),"",'Data Input'!N1171)</f>
        <v/>
      </c>
      <c r="P1171" t="str">
        <f>IF(ISBLANK('Data Input'!O1171),"",'Data Input'!O1171)</f>
        <v/>
      </c>
      <c r="Q1171" t="str">
        <f>IF(ISBLANK('Data Input'!P1171),"",'Data Input'!P1171)</f>
        <v/>
      </c>
      <c r="R1171" t="str">
        <f>IF(ISBLANK('Data Input'!Q1171),"",'Data Input'!Q1171)</f>
        <v/>
      </c>
      <c r="T1171" s="2" t="e">
        <f t="shared" si="74"/>
        <v>#VALUE!</v>
      </c>
      <c r="U1171" s="12" t="e">
        <f t="shared" si="75"/>
        <v>#VALUE!</v>
      </c>
      <c r="V1171" s="2" t="str">
        <f t="shared" si="76"/>
        <v/>
      </c>
      <c r="W1171" s="12" t="str">
        <f t="shared" si="77"/>
        <v/>
      </c>
    </row>
    <row r="1172" spans="1:23">
      <c r="A1172" t="str">
        <f>IF(ISBLANK('Data Input'!A1172),"",'Data Input'!A1172)</f>
        <v/>
      </c>
      <c r="B1172" t="str">
        <f>IF(ISBLANK('Data Input'!B1172),"",'Data Input'!B1172)</f>
        <v/>
      </c>
      <c r="C1172" t="str">
        <f>IF(ISBLANK('Data Input'!C1172),"",'Data Input'!C1172)</f>
        <v/>
      </c>
      <c r="E1172" t="str">
        <f>IF(ISBLANK('Data Input'!D1172),"",'Data Input'!D1172)</f>
        <v/>
      </c>
      <c r="G1172" t="str">
        <f>IF(ISBLANK('Data Input'!E1172),"",'Data Input'!E1172)</f>
        <v/>
      </c>
      <c r="H1172" t="str">
        <f>IF(ISBLANK('Data Input'!F1172),"",'Data Input'!F1172)</f>
        <v/>
      </c>
      <c r="I1172" t="str">
        <f>IF(ISBLANK('Data Input'!G1172),"",'Data Input'!G1172)</f>
        <v/>
      </c>
      <c r="J1172" t="str">
        <f>IF(ISBLANK('Data Input'!I1172),"",'Data Input'!I1172)</f>
        <v/>
      </c>
      <c r="K1172" t="str">
        <f>IF(ISBLANK('Data Input'!J1172),"",'Data Input'!J1172)</f>
        <v/>
      </c>
      <c r="L1172" t="str">
        <f>IF(ISBLANK('Data Input'!K1172),"",'Data Input'!K1172)</f>
        <v/>
      </c>
      <c r="M1172" t="str">
        <f>IF(ISBLANK('Data Input'!L1172),"",'Data Input'!L1172)</f>
        <v/>
      </c>
      <c r="N1172" t="str">
        <f>IF(ISBLANK('Data Input'!M1172),"",'Data Input'!M1172)</f>
        <v/>
      </c>
      <c r="O1172" t="str">
        <f>IF(ISBLANK('Data Input'!N1172),"",'Data Input'!N1172)</f>
        <v/>
      </c>
      <c r="P1172" t="str">
        <f>IF(ISBLANK('Data Input'!O1172),"",'Data Input'!O1172)</f>
        <v/>
      </c>
      <c r="Q1172" t="str">
        <f>IF(ISBLANK('Data Input'!P1172),"",'Data Input'!P1172)</f>
        <v/>
      </c>
      <c r="R1172" t="str">
        <f>IF(ISBLANK('Data Input'!Q1172),"",'Data Input'!Q1172)</f>
        <v/>
      </c>
      <c r="T1172" s="2" t="e">
        <f t="shared" si="74"/>
        <v>#VALUE!</v>
      </c>
      <c r="U1172" s="12" t="e">
        <f t="shared" si="75"/>
        <v>#VALUE!</v>
      </c>
      <c r="V1172" s="2" t="str">
        <f t="shared" si="76"/>
        <v/>
      </c>
      <c r="W1172" s="12" t="str">
        <f t="shared" si="77"/>
        <v/>
      </c>
    </row>
    <row r="1173" spans="1:23">
      <c r="A1173" t="str">
        <f>IF(ISBLANK('Data Input'!A1173),"",'Data Input'!A1173)</f>
        <v/>
      </c>
      <c r="B1173" t="str">
        <f>IF(ISBLANK('Data Input'!B1173),"",'Data Input'!B1173)</f>
        <v/>
      </c>
      <c r="C1173" t="str">
        <f>IF(ISBLANK('Data Input'!C1173),"",'Data Input'!C1173)</f>
        <v/>
      </c>
      <c r="E1173" t="str">
        <f>IF(ISBLANK('Data Input'!D1173),"",'Data Input'!D1173)</f>
        <v/>
      </c>
      <c r="G1173" t="str">
        <f>IF(ISBLANK('Data Input'!E1173),"",'Data Input'!E1173)</f>
        <v/>
      </c>
      <c r="H1173" t="str">
        <f>IF(ISBLANK('Data Input'!F1173),"",'Data Input'!F1173)</f>
        <v/>
      </c>
      <c r="I1173" t="str">
        <f>IF(ISBLANK('Data Input'!G1173),"",'Data Input'!G1173)</f>
        <v/>
      </c>
      <c r="J1173" t="str">
        <f>IF(ISBLANK('Data Input'!I1173),"",'Data Input'!I1173)</f>
        <v/>
      </c>
      <c r="K1173" t="str">
        <f>IF(ISBLANK('Data Input'!J1173),"",'Data Input'!J1173)</f>
        <v/>
      </c>
      <c r="L1173" t="str">
        <f>IF(ISBLANK('Data Input'!K1173),"",'Data Input'!K1173)</f>
        <v/>
      </c>
      <c r="M1173" t="str">
        <f>IF(ISBLANK('Data Input'!L1173),"",'Data Input'!L1173)</f>
        <v/>
      </c>
      <c r="N1173" t="str">
        <f>IF(ISBLANK('Data Input'!M1173),"",'Data Input'!M1173)</f>
        <v/>
      </c>
      <c r="O1173" t="str">
        <f>IF(ISBLANK('Data Input'!N1173),"",'Data Input'!N1173)</f>
        <v/>
      </c>
      <c r="P1173" t="str">
        <f>IF(ISBLANK('Data Input'!O1173),"",'Data Input'!O1173)</f>
        <v/>
      </c>
      <c r="Q1173" t="str">
        <f>IF(ISBLANK('Data Input'!P1173),"",'Data Input'!P1173)</f>
        <v/>
      </c>
      <c r="R1173" t="str">
        <f>IF(ISBLANK('Data Input'!Q1173),"",'Data Input'!Q1173)</f>
        <v/>
      </c>
      <c r="T1173" s="2" t="e">
        <f t="shared" si="74"/>
        <v>#VALUE!</v>
      </c>
      <c r="U1173" s="12" t="e">
        <f t="shared" si="75"/>
        <v>#VALUE!</v>
      </c>
      <c r="V1173" s="2" t="str">
        <f t="shared" si="76"/>
        <v/>
      </c>
      <c r="W1173" s="12" t="str">
        <f t="shared" si="77"/>
        <v/>
      </c>
    </row>
    <row r="1174" spans="1:23">
      <c r="A1174" t="str">
        <f>IF(ISBLANK('Data Input'!A1174),"",'Data Input'!A1174)</f>
        <v/>
      </c>
      <c r="B1174" t="str">
        <f>IF(ISBLANK('Data Input'!B1174),"",'Data Input'!B1174)</f>
        <v/>
      </c>
      <c r="C1174" t="str">
        <f>IF(ISBLANK('Data Input'!C1174),"",'Data Input'!C1174)</f>
        <v/>
      </c>
      <c r="E1174" t="str">
        <f>IF(ISBLANK('Data Input'!D1174),"",'Data Input'!D1174)</f>
        <v/>
      </c>
      <c r="G1174" t="str">
        <f>IF(ISBLANK('Data Input'!E1174),"",'Data Input'!E1174)</f>
        <v/>
      </c>
      <c r="H1174" t="str">
        <f>IF(ISBLANK('Data Input'!F1174),"",'Data Input'!F1174)</f>
        <v/>
      </c>
      <c r="I1174" t="str">
        <f>IF(ISBLANK('Data Input'!G1174),"",'Data Input'!G1174)</f>
        <v/>
      </c>
      <c r="J1174" t="str">
        <f>IF(ISBLANK('Data Input'!I1174),"",'Data Input'!I1174)</f>
        <v/>
      </c>
      <c r="K1174" t="str">
        <f>IF(ISBLANK('Data Input'!J1174),"",'Data Input'!J1174)</f>
        <v/>
      </c>
      <c r="L1174" t="str">
        <f>IF(ISBLANK('Data Input'!K1174),"",'Data Input'!K1174)</f>
        <v/>
      </c>
      <c r="M1174" t="str">
        <f>IF(ISBLANK('Data Input'!L1174),"",'Data Input'!L1174)</f>
        <v/>
      </c>
      <c r="N1174" t="str">
        <f>IF(ISBLANK('Data Input'!M1174),"",'Data Input'!M1174)</f>
        <v/>
      </c>
      <c r="O1174" t="str">
        <f>IF(ISBLANK('Data Input'!N1174),"",'Data Input'!N1174)</f>
        <v/>
      </c>
      <c r="P1174" t="str">
        <f>IF(ISBLANK('Data Input'!O1174),"",'Data Input'!O1174)</f>
        <v/>
      </c>
      <c r="Q1174" t="str">
        <f>IF(ISBLANK('Data Input'!P1174),"",'Data Input'!P1174)</f>
        <v/>
      </c>
      <c r="R1174" t="str">
        <f>IF(ISBLANK('Data Input'!Q1174),"",'Data Input'!Q1174)</f>
        <v/>
      </c>
      <c r="T1174" s="2" t="e">
        <f t="shared" si="74"/>
        <v>#VALUE!</v>
      </c>
      <c r="U1174" s="12" t="e">
        <f t="shared" si="75"/>
        <v>#VALUE!</v>
      </c>
      <c r="V1174" s="2" t="str">
        <f t="shared" si="76"/>
        <v/>
      </c>
      <c r="W1174" s="12" t="str">
        <f t="shared" si="77"/>
        <v/>
      </c>
    </row>
    <row r="1175" spans="1:23">
      <c r="A1175" t="str">
        <f>IF(ISBLANK('Data Input'!A1175),"",'Data Input'!A1175)</f>
        <v/>
      </c>
      <c r="B1175" t="str">
        <f>IF(ISBLANK('Data Input'!B1175),"",'Data Input'!B1175)</f>
        <v/>
      </c>
      <c r="C1175" t="str">
        <f>IF(ISBLANK('Data Input'!C1175),"",'Data Input'!C1175)</f>
        <v/>
      </c>
      <c r="E1175" t="str">
        <f>IF(ISBLANK('Data Input'!D1175),"",'Data Input'!D1175)</f>
        <v/>
      </c>
      <c r="G1175" t="str">
        <f>IF(ISBLANK('Data Input'!E1175),"",'Data Input'!E1175)</f>
        <v/>
      </c>
      <c r="H1175" t="str">
        <f>IF(ISBLANK('Data Input'!F1175),"",'Data Input'!F1175)</f>
        <v/>
      </c>
      <c r="I1175" t="str">
        <f>IF(ISBLANK('Data Input'!G1175),"",'Data Input'!G1175)</f>
        <v/>
      </c>
      <c r="J1175" t="str">
        <f>IF(ISBLANK('Data Input'!I1175),"",'Data Input'!I1175)</f>
        <v/>
      </c>
      <c r="K1175" t="str">
        <f>IF(ISBLANK('Data Input'!J1175),"",'Data Input'!J1175)</f>
        <v/>
      </c>
      <c r="L1175" t="str">
        <f>IF(ISBLANK('Data Input'!K1175),"",'Data Input'!K1175)</f>
        <v/>
      </c>
      <c r="M1175" t="str">
        <f>IF(ISBLANK('Data Input'!L1175),"",'Data Input'!L1175)</f>
        <v/>
      </c>
      <c r="N1175" t="str">
        <f>IF(ISBLANK('Data Input'!M1175),"",'Data Input'!M1175)</f>
        <v/>
      </c>
      <c r="O1175" t="str">
        <f>IF(ISBLANK('Data Input'!N1175),"",'Data Input'!N1175)</f>
        <v/>
      </c>
      <c r="P1175" t="str">
        <f>IF(ISBLANK('Data Input'!O1175),"",'Data Input'!O1175)</f>
        <v/>
      </c>
      <c r="Q1175" t="str">
        <f>IF(ISBLANK('Data Input'!P1175),"",'Data Input'!P1175)</f>
        <v/>
      </c>
      <c r="R1175" t="str">
        <f>IF(ISBLANK('Data Input'!Q1175),"",'Data Input'!Q1175)</f>
        <v/>
      </c>
      <c r="T1175" s="2" t="e">
        <f t="shared" si="74"/>
        <v>#VALUE!</v>
      </c>
      <c r="U1175" s="12" t="e">
        <f t="shared" si="75"/>
        <v>#VALUE!</v>
      </c>
      <c r="V1175" s="2" t="str">
        <f t="shared" si="76"/>
        <v/>
      </c>
      <c r="W1175" s="12" t="str">
        <f t="shared" si="77"/>
        <v/>
      </c>
    </row>
    <row r="1176" spans="1:23">
      <c r="A1176" t="str">
        <f>IF(ISBLANK('Data Input'!A1176),"",'Data Input'!A1176)</f>
        <v/>
      </c>
      <c r="B1176" t="str">
        <f>IF(ISBLANK('Data Input'!B1176),"",'Data Input'!B1176)</f>
        <v/>
      </c>
      <c r="C1176" t="str">
        <f>IF(ISBLANK('Data Input'!C1176),"",'Data Input'!C1176)</f>
        <v/>
      </c>
      <c r="E1176" t="str">
        <f>IF(ISBLANK('Data Input'!D1176),"",'Data Input'!D1176)</f>
        <v/>
      </c>
      <c r="G1176" t="str">
        <f>IF(ISBLANK('Data Input'!E1176),"",'Data Input'!E1176)</f>
        <v/>
      </c>
      <c r="H1176" t="str">
        <f>IF(ISBLANK('Data Input'!F1176),"",'Data Input'!F1176)</f>
        <v/>
      </c>
      <c r="I1176" t="str">
        <f>IF(ISBLANK('Data Input'!G1176),"",'Data Input'!G1176)</f>
        <v/>
      </c>
      <c r="J1176" t="str">
        <f>IF(ISBLANK('Data Input'!I1176),"",'Data Input'!I1176)</f>
        <v/>
      </c>
      <c r="K1176" t="str">
        <f>IF(ISBLANK('Data Input'!J1176),"",'Data Input'!J1176)</f>
        <v/>
      </c>
      <c r="L1176" t="str">
        <f>IF(ISBLANK('Data Input'!K1176),"",'Data Input'!K1176)</f>
        <v/>
      </c>
      <c r="M1176" t="str">
        <f>IF(ISBLANK('Data Input'!L1176),"",'Data Input'!L1176)</f>
        <v/>
      </c>
      <c r="N1176" t="str">
        <f>IF(ISBLANK('Data Input'!M1176),"",'Data Input'!M1176)</f>
        <v/>
      </c>
      <c r="O1176" t="str">
        <f>IF(ISBLANK('Data Input'!N1176),"",'Data Input'!N1176)</f>
        <v/>
      </c>
      <c r="P1176" t="str">
        <f>IF(ISBLANK('Data Input'!O1176),"",'Data Input'!O1176)</f>
        <v/>
      </c>
      <c r="Q1176" t="str">
        <f>IF(ISBLANK('Data Input'!P1176),"",'Data Input'!P1176)</f>
        <v/>
      </c>
      <c r="R1176" t="str">
        <f>IF(ISBLANK('Data Input'!Q1176),"",'Data Input'!Q1176)</f>
        <v/>
      </c>
      <c r="T1176" s="2" t="e">
        <f t="shared" si="74"/>
        <v>#VALUE!</v>
      </c>
      <c r="U1176" s="12" t="e">
        <f t="shared" si="75"/>
        <v>#VALUE!</v>
      </c>
      <c r="V1176" s="2" t="str">
        <f t="shared" si="76"/>
        <v/>
      </c>
      <c r="W1176" s="12" t="str">
        <f t="shared" si="77"/>
        <v/>
      </c>
    </row>
    <row r="1177" spans="1:23">
      <c r="A1177" t="str">
        <f>IF(ISBLANK('Data Input'!A1177),"",'Data Input'!A1177)</f>
        <v/>
      </c>
      <c r="B1177" t="str">
        <f>IF(ISBLANK('Data Input'!B1177),"",'Data Input'!B1177)</f>
        <v/>
      </c>
      <c r="C1177" t="str">
        <f>IF(ISBLANK('Data Input'!C1177),"",'Data Input'!C1177)</f>
        <v/>
      </c>
      <c r="E1177" t="str">
        <f>IF(ISBLANK('Data Input'!D1177),"",'Data Input'!D1177)</f>
        <v/>
      </c>
      <c r="G1177" t="str">
        <f>IF(ISBLANK('Data Input'!E1177),"",'Data Input'!E1177)</f>
        <v/>
      </c>
      <c r="H1177" t="str">
        <f>IF(ISBLANK('Data Input'!F1177),"",'Data Input'!F1177)</f>
        <v/>
      </c>
      <c r="I1177" t="str">
        <f>IF(ISBLANK('Data Input'!G1177),"",'Data Input'!G1177)</f>
        <v/>
      </c>
      <c r="J1177" t="str">
        <f>IF(ISBLANK('Data Input'!I1177),"",'Data Input'!I1177)</f>
        <v/>
      </c>
      <c r="K1177" t="str">
        <f>IF(ISBLANK('Data Input'!J1177),"",'Data Input'!J1177)</f>
        <v/>
      </c>
      <c r="L1177" t="str">
        <f>IF(ISBLANK('Data Input'!K1177),"",'Data Input'!K1177)</f>
        <v/>
      </c>
      <c r="M1177" t="str">
        <f>IF(ISBLANK('Data Input'!L1177),"",'Data Input'!L1177)</f>
        <v/>
      </c>
      <c r="N1177" t="str">
        <f>IF(ISBLANK('Data Input'!M1177),"",'Data Input'!M1177)</f>
        <v/>
      </c>
      <c r="O1177" t="str">
        <f>IF(ISBLANK('Data Input'!N1177),"",'Data Input'!N1177)</f>
        <v/>
      </c>
      <c r="P1177" t="str">
        <f>IF(ISBLANK('Data Input'!O1177),"",'Data Input'!O1177)</f>
        <v/>
      </c>
      <c r="Q1177" t="str">
        <f>IF(ISBLANK('Data Input'!P1177),"",'Data Input'!P1177)</f>
        <v/>
      </c>
      <c r="R1177" t="str">
        <f>IF(ISBLANK('Data Input'!Q1177),"",'Data Input'!Q1177)</f>
        <v/>
      </c>
      <c r="T1177" s="2" t="e">
        <f t="shared" si="74"/>
        <v>#VALUE!</v>
      </c>
      <c r="U1177" s="12" t="e">
        <f t="shared" si="75"/>
        <v>#VALUE!</v>
      </c>
      <c r="V1177" s="2" t="str">
        <f t="shared" si="76"/>
        <v/>
      </c>
      <c r="W1177" s="12" t="str">
        <f t="shared" si="77"/>
        <v/>
      </c>
    </row>
  </sheetData>
  <conditionalFormatting sqref="A2:R1177">
    <cfRule type="expression" dxfId="0" priority="3">
      <formula>$R2=TRUE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9EE7-450B-4947-B989-75D8AD6A7163}">
  <dimension ref="A1:E29"/>
  <sheetViews>
    <sheetView workbookViewId="0">
      <selection activeCell="C3" sqref="C3"/>
    </sheetView>
  </sheetViews>
  <sheetFormatPr baseColWidth="10" defaultRowHeight="16"/>
  <cols>
    <col min="3" max="3" width="20.83203125" bestFit="1" customWidth="1"/>
  </cols>
  <sheetData>
    <row r="1" spans="1:5">
      <c r="A1" s="4" t="s">
        <v>46</v>
      </c>
      <c r="B1" s="4" t="s">
        <v>45</v>
      </c>
      <c r="C1" s="4" t="s">
        <v>8</v>
      </c>
      <c r="D1" s="4" t="s">
        <v>444</v>
      </c>
    </row>
    <row r="2" spans="1:5">
      <c r="A2" s="11" t="s">
        <v>943</v>
      </c>
      <c r="B2" s="11" t="s">
        <v>977</v>
      </c>
      <c r="C2" s="11" t="s">
        <v>979</v>
      </c>
      <c r="D2" s="11" t="s">
        <v>978</v>
      </c>
    </row>
    <row r="3" spans="1:5">
      <c r="A3" s="5" t="s">
        <v>269</v>
      </c>
      <c r="B3" s="5" t="s">
        <v>17</v>
      </c>
      <c r="C3" s="5" t="s">
        <v>438</v>
      </c>
      <c r="D3" s="5">
        <v>1</v>
      </c>
    </row>
    <row r="4" spans="1:5">
      <c r="A4" s="5" t="s">
        <v>270</v>
      </c>
      <c r="B4" s="5" t="s">
        <v>43</v>
      </c>
      <c r="C4" s="5" t="s">
        <v>449</v>
      </c>
      <c r="D4" s="5" t="s">
        <v>66</v>
      </c>
    </row>
    <row r="5" spans="1:5">
      <c r="A5" s="5" t="s">
        <v>271</v>
      </c>
      <c r="B5" s="5" t="s">
        <v>38</v>
      </c>
      <c r="C5" s="5" t="s">
        <v>443</v>
      </c>
      <c r="D5" s="5">
        <v>2</v>
      </c>
    </row>
    <row r="6" spans="1:5">
      <c r="A6" s="5" t="s">
        <v>440</v>
      </c>
      <c r="B6" s="5" t="s">
        <v>441</v>
      </c>
      <c r="C6" s="5" t="s">
        <v>442</v>
      </c>
      <c r="D6" s="5">
        <v>1</v>
      </c>
    </row>
    <row r="7" spans="1:5">
      <c r="A7" s="5" t="s">
        <v>272</v>
      </c>
      <c r="B7" s="5" t="s">
        <v>44</v>
      </c>
      <c r="C7" s="5" t="s">
        <v>439</v>
      </c>
      <c r="D7" s="5" t="s">
        <v>66</v>
      </c>
    </row>
    <row r="8" spans="1:5">
      <c r="A8" s="5" t="s">
        <v>445</v>
      </c>
      <c r="B8" s="5" t="s">
        <v>448</v>
      </c>
      <c r="C8" s="5"/>
      <c r="D8" s="5"/>
    </row>
    <row r="9" spans="1:5">
      <c r="A9" s="5" t="s">
        <v>446</v>
      </c>
      <c r="B9" s="5" t="s">
        <v>447</v>
      </c>
      <c r="C9" s="5" t="s">
        <v>449</v>
      </c>
      <c r="D9" s="5" t="s">
        <v>66</v>
      </c>
    </row>
    <row r="11" spans="1:5">
      <c r="A11" s="5" t="s">
        <v>361</v>
      </c>
      <c r="B11" s="5"/>
    </row>
    <row r="12" spans="1:5">
      <c r="A12" s="5" t="s">
        <v>362</v>
      </c>
      <c r="B12" s="5" t="s">
        <v>363</v>
      </c>
    </row>
    <row r="14" spans="1:5">
      <c r="A14" s="6" t="s">
        <v>821</v>
      </c>
    </row>
    <row r="15" spans="1:5">
      <c r="A15" s="7">
        <f>MAX('Data Export'!A2:A700)</f>
        <v>166</v>
      </c>
      <c r="B15" s="8" t="s">
        <v>822</v>
      </c>
      <c r="C15" s="9"/>
      <c r="D15" s="9"/>
      <c r="E15" s="10"/>
    </row>
    <row r="16" spans="1:5">
      <c r="A16" s="7">
        <f>COUNTIF('Data Input'!I:I,"NA")</f>
        <v>11</v>
      </c>
      <c r="B16" s="8" t="s">
        <v>823</v>
      </c>
      <c r="C16" s="9"/>
      <c r="D16" s="9"/>
      <c r="E16" s="10"/>
    </row>
    <row r="17" spans="1:5">
      <c r="A17" s="7"/>
      <c r="B17" s="8"/>
      <c r="C17" s="9"/>
      <c r="D17" s="9"/>
      <c r="E17" s="10"/>
    </row>
    <row r="18" spans="1:5">
      <c r="A18" s="7"/>
      <c r="B18" s="8"/>
      <c r="C18" s="9"/>
      <c r="D18" s="9"/>
      <c r="E18" s="10"/>
    </row>
    <row r="19" spans="1:5">
      <c r="A19" s="7"/>
      <c r="B19" s="8"/>
      <c r="C19" s="9"/>
      <c r="D19" s="9"/>
      <c r="E19" s="10"/>
    </row>
    <row r="20" spans="1:5">
      <c r="A20" s="7"/>
      <c r="B20" s="8"/>
      <c r="C20" s="9"/>
      <c r="D20" s="9"/>
      <c r="E20" s="10"/>
    </row>
    <row r="21" spans="1:5">
      <c r="A21" s="7"/>
      <c r="B21" s="8"/>
      <c r="C21" s="9"/>
      <c r="D21" s="9"/>
      <c r="E21" s="10"/>
    </row>
    <row r="23" spans="1:5">
      <c r="A23" t="s">
        <v>825</v>
      </c>
    </row>
    <row r="26" spans="1:5">
      <c r="A26" t="s">
        <v>826</v>
      </c>
      <c r="B26" t="s">
        <v>828</v>
      </c>
      <c r="C26" t="s">
        <v>830</v>
      </c>
    </row>
    <row r="27" spans="1:5">
      <c r="A27">
        <f>COUNTIF('Data Input'!$J$2:$J$700,"tt - Tylenol")</f>
        <v>27</v>
      </c>
      <c r="B27">
        <f>COUNTIF('Data Input'!$K$2:$K$700,650)</f>
        <v>26</v>
      </c>
      <c r="C27" t="b">
        <f>A27=B27</f>
        <v>0</v>
      </c>
    </row>
    <row r="28" spans="1:5">
      <c r="A28" t="s">
        <v>827</v>
      </c>
      <c r="B28" t="s">
        <v>829</v>
      </c>
    </row>
    <row r="29" spans="1:5">
      <c r="A29">
        <f>COUNTIF('Data Input'!$J$2:$J$700,"te - Tylenol")</f>
        <v>9</v>
      </c>
      <c r="B29">
        <f>COUNTIF('Data Input'!$K$2:$K$700,1000)</f>
        <v>9</v>
      </c>
      <c r="C29" t="b">
        <f>A29=B29</f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Input</vt:lpstr>
      <vt:lpstr>Sheet1</vt:lpstr>
      <vt:lpstr>Data Export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Autore</dc:creator>
  <cp:lastModifiedBy>Herman Autore</cp:lastModifiedBy>
  <dcterms:created xsi:type="dcterms:W3CDTF">2018-07-11T21:32:00Z</dcterms:created>
  <dcterms:modified xsi:type="dcterms:W3CDTF">2018-08-31T01:17:52Z</dcterms:modified>
</cp:coreProperties>
</file>